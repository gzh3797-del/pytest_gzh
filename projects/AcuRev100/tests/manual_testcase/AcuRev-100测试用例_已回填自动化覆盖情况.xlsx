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hanGao\Desktop\test_code\autotest\projects\AcuRev100\tests\manual_testcase\"/>
    </mc:Choice>
  </mc:AlternateContent>
  <xr:revisionPtr revIDLastSave="0" documentId="13_ncr:1_{F697A4BF-BEBC-469E-9A28-378CC4E9F76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进展统计" sheetId="1" r:id="rId1"/>
    <sheet name="AcuRev-100测试用例" sheetId="2" r:id="rId2"/>
  </sheets>
  <definedNames>
    <definedName name="_xlnm._FilterDatabase" localSheetId="1" hidden="1">'AcuRev-100测试用例'!$A$1:$L$225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H27" i="1" s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H24" i="1" s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E35" i="1" s="1"/>
  <c r="D18" i="1"/>
  <c r="D35" i="1" s="1"/>
  <c r="C18" i="1"/>
  <c r="C35" i="1" s="1"/>
  <c r="H19" i="1" l="1"/>
  <c r="H32" i="1"/>
  <c r="H23" i="1"/>
  <c r="F35" i="1"/>
  <c r="H22" i="1"/>
  <c r="H26" i="1"/>
  <c r="H20" i="1"/>
  <c r="H33" i="1"/>
  <c r="G35" i="1"/>
  <c r="H29" i="1"/>
  <c r="H30" i="1"/>
  <c r="H21" i="1"/>
  <c r="H34" i="1"/>
  <c r="H31" i="1"/>
  <c r="H28" i="1"/>
  <c r="H25" i="1"/>
  <c r="H18" i="1"/>
  <c r="H35" i="1" l="1"/>
</calcChain>
</file>

<file path=xl/sharedStrings.xml><?xml version="1.0" encoding="utf-8"?>
<sst xmlns="http://schemas.openxmlformats.org/spreadsheetml/2006/main" count="2425" uniqueCount="1087">
  <si>
    <t>AcuRev-100 Vx.xx版本软件测试报告</t>
  </si>
  <si>
    <t>【测试日期】</t>
  </si>
  <si>
    <t>【版本目标】</t>
  </si>
  <si>
    <t>【软件版本】</t>
  </si>
  <si>
    <t>【硬件版本】</t>
  </si>
  <si>
    <t>整体测试进展</t>
  </si>
  <si>
    <t xml:space="preserve">一句话进展: </t>
  </si>
  <si>
    <t>风险&amp;阻塞</t>
  </si>
  <si>
    <t>序号</t>
  </si>
  <si>
    <t>问题描述</t>
  </si>
  <si>
    <t>责任人</t>
  </si>
  <si>
    <t>期望解决日期</t>
  </si>
  <si>
    <t>发现问题列表</t>
  </si>
  <si>
    <t>问题单号</t>
  </si>
  <si>
    <t>问题简要描述</t>
  </si>
  <si>
    <t>严重程度</t>
  </si>
  <si>
    <t>类别</t>
  </si>
  <si>
    <t>测试进展</t>
  </si>
  <si>
    <t>型号:AcuRev-101</t>
  </si>
  <si>
    <t>测试模块</t>
  </si>
  <si>
    <t>Passed</t>
  </si>
  <si>
    <t>Failed</t>
  </si>
  <si>
    <t>Blocked</t>
  </si>
  <si>
    <t>Unavailable</t>
  </si>
  <si>
    <t>执行率</t>
  </si>
  <si>
    <t>用例总数</t>
  </si>
  <si>
    <t>模块</t>
  </si>
  <si>
    <t>子模块</t>
  </si>
  <si>
    <t>用例编号</t>
  </si>
  <si>
    <t>用例标题</t>
  </si>
  <si>
    <t>预置条件</t>
  </si>
  <si>
    <t>测试步骤</t>
  </si>
  <si>
    <t>预期结果</t>
  </si>
  <si>
    <t>级别</t>
  </si>
  <si>
    <t>是否可自动化</t>
  </si>
  <si>
    <t>调试结果</t>
  </si>
  <si>
    <t>测试结果</t>
  </si>
  <si>
    <t>备注</t>
  </si>
  <si>
    <t>交流频率</t>
  </si>
  <si>
    <t>Function_AC meter_001_01_case1</t>
  </si>
  <si>
    <t>交流电在45 HZ 、55HZ、65 Hz，测量精度要求0.01HZ</t>
  </si>
  <si>
    <t>1、Acuview2上位机
2、RTU串口线
3、AcuRev-100电表</t>
  </si>
  <si>
    <t xml:space="preserve">1、连接AcuRev-100电表到Acuview2上，链接状态为connected
1.1、电表上设置50HZ
2、交流电源输入频率为45HZ。
3、Acuview2上检查交流电频率是否在精度范围内，范围:44.99~45.01 Hz
4、交流电源输入频率为55HZ。
5、Acuview2上检查交流电频率是否在精度范围内，范围: 54.99~55.01 Hz
6、交流电源输入频率为65HZ。
7、Acuview2上检查交流电频率是否在精度范围内，范围:64.99~65.01 Hz </t>
  </si>
  <si>
    <t>步骤3：Acuview2上交流电频率显示在 44.99~45.01 Hz 范围内；
步骤5：Acuview2上交流电频率显示在 54.99~55.01 Hz 范围内；
步骤7：Acuview2上交流电频率显示在 64.99~65.01 Hz 范围内</t>
  </si>
  <si>
    <t>LV2</t>
  </si>
  <si>
    <t>是</t>
  </si>
  <si>
    <t>[2026-07-15 换板+固件更新复测] 转手工(用户裁决): 切频率必发角度帧→源瞬断→新固件瞬断后ADC异常测量恒0(需恢复出厂设置恢复,疑似固件缺陷已记knowledge context), 自动化无法稳定执行; 自动化文件与case_map条目已删除
[2026-07-14] 通过
[自动化2026-07-08] 非额定频点恒偏低: 45→44.90, 55→54.90, 65→64.80(要求±0.01Hz, 且分辨率仅0.1Hz); 50/60Hz正常, 疑似固件问题
[2026-07-13] 原始报告json缺失(reports目录被清理), 证据链断裂, 结论降级待重测(监督复核意见); 07-08结论仅存文字记录</t>
  </si>
  <si>
    <t>转手工：切频率必发角度帧→源瞬断，新固件下瞬断后ADC异常测量恒0（疑似固件缺陷已记knowledge），自动化无法稳定执行；2026-07-14自动化曾实测通过</t>
  </si>
  <si>
    <t>交流电在50HZ 、60 Hz，测量精度要求0.01HZ</t>
  </si>
  <si>
    <t>步骤3：Acuview2上交流电频率显示在 49.99~50.01 Hz 范围内；
步骤5：Acuview2上交流电频率显示在 59.99~60.01 Hz 范围内</t>
  </si>
  <si>
    <t>LV0</t>
  </si>
  <si>
    <t>[2026-07-15 换板+固件更新复测] 转手工(用户裁决): 同case1, 切频率瞬断触发ADC异常读不到数值; 自动化文件与case_map条目已删除
[2026-07-14] 通过
[自动化2026-07-08] 50/60Hz 两点实测均在±0.01Hz内
[2026-07-13] 原始报告json缺失(reports目录被清理), 证据链断裂, 结论降级待重测(监督复核意见); 07-08结论仅存文字记录</t>
  </si>
  <si>
    <t>转手工：同case1，切频率瞬断触发ADC异常读不到数值；2026-07-08实测50/60Hz均在±0.01Hz内</t>
  </si>
  <si>
    <t>Function_AC meter_001_01_case3</t>
  </si>
  <si>
    <t>电表上设置60HZ, 交流电在40HZ 、70 Hz，无测量精度要求（超出45-65Hz计量范围，探索性用例，不保证可测）</t>
  </si>
  <si>
    <t>1、连接AcuRev-100电表到Acuview2上，链接状态为connected
1.1、电表上设置60HZ
2、交流电源输入频率为40HZ。
3、Acuview2上检查交流电频率可以测试到频率数据，无精度要求
4、交流电源输入频率为70HZ。
5、Acuview2上检查交流电频率可以测试到频率数据，无精度要求</t>
  </si>
  <si>
    <t>3、Acuview2上检查交流电频率可以测试到频率数据，无精度要求
5、Acuview2上检查交流电频率可以测试到频率数据，无精度要求</t>
  </si>
  <si>
    <t>LV3</t>
  </si>
  <si>
    <t>转手工(2026-07-13 裁决): 源CL3021 40Hz下发被拒、70Hz掉输出0V致自供电表断电, 无可自动化测点</t>
  </si>
  <si>
    <t>转手工：源CL3021不支持40Hz（下发被拒）/70Hz（输出掉0V致自供电表断电），无可自动化测点；换支持40-70Hz的源后可重评</t>
  </si>
  <si>
    <t>Function_AC meter_001_01_case4</t>
  </si>
  <si>
    <t>空载情况下，电表频率显示0</t>
  </si>
  <si>
    <t xml:space="preserve">1、输出50HZ频率
2、关闭源输出
3、Acuview2上位机查看系统频率
</t>
  </si>
  <si>
    <t>3、关闭源输出，频率显示0</t>
  </si>
  <si>
    <t>LV1</t>
  </si>
  <si>
    <t>否</t>
  </si>
  <si>
    <t>[2026-07-13] 转手工(用户裁决): 自供电表关源=电表断电,Modbus不可读; USB口供电能力未验证,验证通过后可重新评估自动化</t>
  </si>
  <si>
    <t>不可自动化：空载需关源＝给自供电表断电，Modbus无法回读；USB供电能力未验证</t>
  </si>
  <si>
    <t>交流电压（相电压）</t>
  </si>
  <si>
    <t>线-地电压(相电压)验证</t>
  </si>
  <si>
    <t>Function_AC meter_002_01_case1</t>
  </si>
  <si>
    <t>交流电Van、Vbn、Vcn输入额定电压分别均为120V,测量Van、Vbn、Vcn、Vlnavg满足精度要求0.2%</t>
  </si>
  <si>
    <t>1、连接AcuRev-100电表到Acuview2上，链接状态为connected
2、交流电源输入相电压Van、Vbn、Vcn的额定电压为120V。
3、Acuview2上检查交流电相电压是否均在精度范围内</t>
  </si>
  <si>
    <t>3、Acuview2上检查交流电相电压均在精度范围内，范围(V):119.760 ~ 120.240
Vlnavg范围(V)：119.760 ~ 120.240</t>
  </si>
  <si>
    <t>已调试</t>
  </si>
  <si>
    <t>未通过：判据读数全零——已知板子ADC芯片损坏问题(2026-07-14)，自动化流程本身已调通(设源/前置配置/救源/断言/报告全链路OK)，换板后重跑出有效结果</t>
  </si>
  <si>
    <t>未通过：已知板卡ADC芯片损坏读数为零，自动化全链路已调通，换板后重跑出有效结果</t>
  </si>
  <si>
    <t>Function_AC meter_002_01_case2</t>
  </si>
  <si>
    <t>交流电Van、Vbn、Vcn输入额定电压分别均为220V,277V,测量Van、Vbn、Vcn、Vlnavg满足精度要求0.2%</t>
  </si>
  <si>
    <t>1、连接AcuRev-100电表到Acuview2上，链接状态为connected
2、交流电源输入相电压Van、Vbn、Vcn的额定电压为220V。
3、Acuview2上检查交流电相电压是否均在精度范围内
4、交流电源输入相电压Van、Vbn、Vcn的额定电压为277V。
5、Acuview2上检查交流电相电压是否均在精度范围内</t>
  </si>
  <si>
    <t>3、Acuview2上检查交流电相电压均在精度范围内，范围(V):219.560 ~ 220.440，Vlnavg范围(V)：219.560 ~ 220.440
5、Acuview2上检查交流电相电压均在精度范围内，范围(V):276.446 ~ 277.554，Vlnavg范围(V)：276.446 ~ 277.554</t>
  </si>
  <si>
    <t>Function_AC meter_002_01_case3</t>
  </si>
  <si>
    <t>交流电Van、Vbn、Vcn输入临界电压分别均为10.2V、20V,电表有测量值,测量Van、Vbn、Vcn、Vlnavg没有精度要求</t>
  </si>
  <si>
    <t>1、连接AcuRev-100电表到Acuview2上，链接状态为connected
2、交流电源输入相电压Van、Vbn、Vcn的额定电压为10.2V。
3、Acuview2上检查交流电相电压是否有测量显示，精度没有要求
4、交流电源输入相电压Van、Vbn、Vcn的额定电压为20V。
5、Acuview2上检查交流电相电压是否有测量显示，精度没有要求</t>
  </si>
  <si>
    <t>3、Acuview2上检查交流电相电压有测量显示，没有精度要求
5、Acuview2上检查交流电相电压有测量显示，没有精度要求</t>
  </si>
  <si>
    <t>Function_AC meter_002_01_case4</t>
  </si>
  <si>
    <t>交流电Van、Vbn、Vcn输入电压分别均为0V，1V，9V,电表Van、Vbn、Vcn、Vlnavg无测量值</t>
  </si>
  <si>
    <t>1、连接AcuRev-100电表到Acuview2上，链接状态为connected
2、交流电源输入相电压Van、Vbn、Vcn的额定电压为0V。
3、Acuview2上检查交流电相电压是否为0V
4、交流电源输入相电压Van、Vbn、Vcn的额定电压为1V。
5、Acuview2上检查交流电相电压是否为0V，不考虑精度
6、交流电源输入相电压Van、Vbn、Vcn的额定电压为9V。
7、Acuview2上检查交流电相电压是否为0V，不考虑精度</t>
  </si>
  <si>
    <t>3、5、7、Acuview2上检查交流电相电压为0V</t>
  </si>
  <si>
    <t>LV4</t>
  </si>
  <si>
    <t>Function_AC meter_002_01_case5</t>
  </si>
  <si>
    <t>交流电Van、Vbn、Vcn输入额定电压为(120V,220V,277V),测量Van、Vbn、Vcn、Vlnavg满足精度要求0.2%</t>
  </si>
  <si>
    <t xml:space="preserve">1、连接AcuRev-100电表到Acuview2上，链接状态为connected
2、交流电源输入相电压Van、Vbn、Vcn的额定电压分别为(120V,220V,277V)。
3、Acuview2上检查交流电相电压是否均在精度范围内，Van范围,Vbn范围,Vcn范围,Vlnavg范围
</t>
  </si>
  <si>
    <t>3、Acuview2上检查交流电相电压均在精度范围内，
Van范围(V):119.760 ~ 120.240，
Vbn范围(V):219.560 ~ 220.440，
Vcn范围(V):276.446 ~ 277.554，
Vlnavg范围(V):205.255 ~ 206.078</t>
  </si>
  <si>
    <t>Function_AC meter_002_01_case6</t>
  </si>
  <si>
    <t>交流电Van、Vbn、Vcn输入额定电压为(120V,120V,120V)顺序，且φA、φB、φC分别为(0°、130°、250°)，Van、Vbn、Vcn、Vlnavg测量值满足精度要求0.2%</t>
  </si>
  <si>
    <t>1、连接AcuRev-100电表到Acuview2上，链接状态为connected
2、交流电源输入相电压Van、Vbn、Vcn的额定电压为120V。
3、电表相序设置为ABC，φA、φB、φC分别为(0°、130°、250°)
4、Acuview2上检查交流电相电压Van、Vbn、Vcn、Vlnavg测量值是否满足精度要求</t>
  </si>
  <si>
    <t>4、Acuview2上检查交流电相电压均在精度范围内，范围(V):119.760 ~ 120.240，
Vlnavg范围(V)：119.760 ~ 120.240</t>
  </si>
  <si>
    <t>Function_AC meter_002_01_case7</t>
  </si>
  <si>
    <t>交变电压（线电压）</t>
  </si>
  <si>
    <t>线-线电压(线电压)验证</t>
  </si>
  <si>
    <t>Function_AC meter_003_01_case1</t>
  </si>
  <si>
    <t>交流电Van、Vbn、Vcn均输入电压220V和277V, 测量Vab、Vbc、Vca、Vllavg精度均满足要求0.2%</t>
  </si>
  <si>
    <t>Function_AC meter_003_01_case2</t>
  </si>
  <si>
    <t>交流电Van、Vbn、Vcn均输入临界电压10.2V、20V,电表有测量值，测量Vab、Vbc、Vca、Vllavg精度没有要求</t>
  </si>
  <si>
    <t>1、连接AcuRev-100电表到Acuview2上，链接状态为connected
2、交流电源输入相电压Van、Vbn、Vcn的额定电压为10.2V。
3、Acuview2上检查交流电线电压是否有测量显示， 精度没有要求
4、交流电源输入相电压Van、Vbn、Vcn的额定电压为20V。
5、Acuview2上检查交流电线电压是否有测量显示, 精度没有要求</t>
  </si>
  <si>
    <t>3、Acuview2上检查交流电线电压有测量显示，精度没有要求
5、Acuview2上检查交流电线电压有测量显示，精度没有要求</t>
  </si>
  <si>
    <t>Function_AC meter_003_01_case3</t>
  </si>
  <si>
    <t>交流电Van、Vbn、Vcn均输入电压0V，1V，9V,电表Vab，Vbc、Vca、Vllavg无测量值</t>
  </si>
  <si>
    <t>1、连接AcuRev-100电表到Acuview2上，链接状态为connected
2、交流电源输入相电压Van、Vbn、Vcn的额定电压为0V。
3、Acuview2上检查交流电线电压是否为0V
4、交流电源输入相电压Van、Vbn、Vcn的额定电压为1V。
5、Acuview2上检查交流电线电压是否为0V
6、交流电源输入相电压Van、Vbn、Vcn的额定电压为9V。
7、Acuview2上检查交流电线电压是否为0V</t>
  </si>
  <si>
    <t>3、5、7、Acuview2上检查交流电线电压为0V</t>
  </si>
  <si>
    <t>Function_AC meter_003_01_case4</t>
  </si>
  <si>
    <t>交流电Van、Vbn、Vcn输入额定电压为(120V,220V,270V), θA、θB、θC分别为(0°、60°、120°)测量Vab、Vbc、Vca、Vllavg满足精度要求0.2%</t>
  </si>
  <si>
    <t>1、连接AcuRev-100电表到Acuview2上，链接状态为connected
2、交流电源输入相电压Van、Vbn、Vcn的电压为(120V,220V,270V), θA、θB、θC分别为(0°、60°、120°)。
3、Acuview2上检查交流电线电压是否均在精度范围内，</t>
  </si>
  <si>
    <t>3、Acuview2上检查交流电线电压均在精度范围内
Vab范围(V)：190.406 ~ 191.170
Vca范围(V)：345.285 ~ 346.669
Vbc范围(V)：248.300 ~ 249.295
Vllavg范围(V)：261.330 ~ 262.378</t>
  </si>
  <si>
    <t>电流测量</t>
  </si>
  <si>
    <t>相电流测量验证</t>
  </si>
  <si>
    <t>Function_AC meter_004_01_case1</t>
  </si>
  <si>
    <t>CT选型333mV(200A)，3E4WY，三路电流分别为(50A、100A，200A)，在上位机上分别配置为对应A相、B相、C相，测量Ia,Ib,Ic,Iavg满足精度0.2%</t>
  </si>
  <si>
    <t xml:space="preserve">1、Acuview2上位机
2、RTU串口线
3、AcuRev-100电表
4、接线方式3E4WY </t>
  </si>
  <si>
    <t xml:space="preserve">1、连接AcuRev-100电表到Acuview2上，链接状态为connected
1.1、使用5A/333mV CT，将CT变比值设置为200
2、使用台体输入三路电流分别为(1.25A、2.5A，5A)，在上位机上分别配置为对应A相、B相、C相
3、Acuview2上检查交流电相电流是否均在精度范围内
</t>
  </si>
  <si>
    <t>3、Acuview2上检查交流电相电流均在精度范围内
Ia：	49.900	~	50.100
Ib:	99.800	~	100.200
Ic:	199.600	~	200.400
Iavg:	116.433	~	116.900</t>
  </si>
  <si>
    <t>已生成待调试：mV用例回归原文配置(333mV)，待接入5A/333mV CT回路后调试(2026-07-14)</t>
  </si>
  <si>
    <t>待调试：mV用例回归原文配置（333mV），待台面接入5A/333mV CT回路后调试</t>
  </si>
  <si>
    <t>Function_AC meter_004_01_case2</t>
  </si>
  <si>
    <t>CT选型333mV(200A)，三路电流分别为Imin（2，2，2）,在上位机上分别配置为对应A相、B相、C相，精度满足精度0.2%,三路电流分别为(0.2,0.1,0.2),无精度要求
备注：0.2A为Ist</t>
  </si>
  <si>
    <t>1、连接AcuRev-100电表到Acuview2上，链接状态为connected
2、输入三路电流分别为（0.05，0.05，0.05）,在上位机上分别配置为对应A相、B相、C相。
3、精度保证的电流范围应符合要求
4、输入三路电流分别为（0.005，0.0025，0.005）,在上位机上分别配置为对应A相、B相、C相，无精度要求</t>
  </si>
  <si>
    <t>3、Acuview2上检查交流电相电流均在精度范围内
Ia：	1.996	~	2.004
Ib:	1.996	~	2.004
Ic:	1.996	~	2.004
Iavg:	1.996	~	2.004
4、Acuview2上检查交流电相电流显示约为：0.2,0.1,0.2(无精度要求；Ib=0.1A低于Ist 0.2A，按PRS §3.1仅功率/电能不累计，电流显示是否归零待需求澄清，不作硬判据)</t>
  </si>
  <si>
    <t>Function_AC meter_004_01_case3</t>
  </si>
  <si>
    <t>CT选型333mV(200A)，一路电流为（100A），在上位机均配置为对应A相，测量Ia,Ib,Ic,Iavg满足精度0.2%</t>
  </si>
  <si>
    <t>1、Acuview2上位机
2、RTU串口线
3、AcuRev-100电表
4、接线方式3E4WY</t>
  </si>
  <si>
    <t>1、连接AcuRev-100电表到Acuview2上，链接状态为connected
2、输入一路电流分别为（2.5A），在上位机均配置为对应A相
3、Acuview2上检查交流电相电流是否均在精度范围内</t>
  </si>
  <si>
    <t>3、Acuview2上检查交流电相电流均在精度范围内
Ia：	99.800	~	100.200
Ib:	0	~	0
Ic:	0	~	0
Iavg:	33.267	~	33.400</t>
  </si>
  <si>
    <t>Function_AC meter_004_01_case4</t>
  </si>
  <si>
    <t>CT选型333mV(200A)，两路电流分别为(200A、240A),在上位机均配置为对应B相和C相，测量Ia,Ib,Ic,Iavg满足精度0.2%</t>
  </si>
  <si>
    <t>1、连接AcuRev-100电表到Acuview2上，链接状态为connected
2、输入两路电流分别为(5A、6A),在上位机均配置为对应B相和C相。
3、Acuview2上检查交流电相电流是否均在精度范围内</t>
  </si>
  <si>
    <t>3、Acuview2上检查交流电相电流均在精度范围内
Ia：	0	~	0
Ib:	199.600	~	200.400
Ic:	239.520	~	240.480
Iavg:	146.373	~	146.960</t>
  </si>
  <si>
    <t>Function_AC meter_004_01_case5</t>
  </si>
  <si>
    <t>CT选型333mV(200A)，三路电流分别为(50A、100A，120A)，顺序ABC，相角设置为(0°、240°、120°)，电表设置电流分别为Positive、Negative，在上位机上分别配置为对应A相、B相、C相，测量Ia,Ib,Ic,Iavg满足精度0.2%</t>
  </si>
  <si>
    <t>1、连接AcuRev-100电表到Acuview2上，链接状态为connected
2、输入三路电流分别为(1.25A、2.5A，3A)，在上位机上分别配置为对应A相、B相、C相
3、电表上设置为顺序ABC， 相角设置为(0°、240°、120°)
4、电表设置电流方向为Positive
5、Acuview2上检查交流电相电流是否均在精度范围内
6、电表设置电流方向为Negative
7、Acuview2上检查交流电相电流是否均在精度范围内</t>
  </si>
  <si>
    <t>5、Acuview2上检查交流电相电流均在精度范围内
Ia：	49.900	~	50.100
Ib:	99.800	~	100.200
Ic:	119.760	~	120.240
Iavg:	89.820	~	90.180
6、Acuview2上检查交流电相电流均在精度范围内
Ia：	49.900	~	50.100
Ib:	99.800	~	100.200
Ic:	119.760	~	120.240
Iavg:	89.820	~	90.180
用户通道&amp;输入通道&amp;系统参数PF 为-1
用户通道&amp;输入通道&amp;系统参数有功功率P为负数</t>
  </si>
  <si>
    <t>Function_AC meter_004_01_case6</t>
  </si>
  <si>
    <t>CT选型333mV(400A)，3E4WY，三路电流分别为(50A、200A，400A)，在上位机上分别配置为对应A相、B相、C相，测量Ia,Ib,Ic,Iavg满足精度0.2%</t>
  </si>
  <si>
    <t xml:space="preserve">1、连接AcuRev-100电表到Acuview2上，链接状态为connected
2、输入三路电流分别为(0.625A、2.5A，5A)，在上位机上分别配置为对应A相、B相、C相
3、Acuview2上检查交流电相电流是否均在精度范围内
</t>
  </si>
  <si>
    <t>3、Acuview2上检查交流电相电流均在精度范围内
Ia：	49.900	~	50.100
Ib:	199.600	~	200.400
Ic:	399.200	~	400.800
Iavg:	216.233	~	217.100</t>
  </si>
  <si>
    <t>Function_AC meter_004_01_case7</t>
  </si>
  <si>
    <t>CT选型333mV(400A)，三路电流分别为Imin（4A，4A，4A）,在上位机上分别配置为对应A相、B相、C相，精度保证的电流范围0.2%,输入三路电流分别为（0.4A，0.4A，0.4A）
备注：0.4A为Ist</t>
  </si>
  <si>
    <t>1、连接AcuRev-100电表到Acuview2上，链接状态为connected
2、输入三路电流分别为（0.05，0.05，0.05）,在上位机上分别配置为对应A相、B相、C相。
3、精度保证的电流范围是否符合精度要求
4、源输入电流A\B\C三相分别为（0.005，0，0.005）</t>
  </si>
  <si>
    <t>3、Acuview2上检查交流电相电流均在精度范围内
Ia：	3.992	~	4.008
Ib:	3.992	~	4.008
Ic:	3.992	~	4.008
Iavg:	3.992	~	4.008
4、Acuview2上检查交流电相电流分别为：0.4,0,0.4(无精度要求)</t>
  </si>
  <si>
    <t>Function_AC meter_004_01_case8</t>
  </si>
  <si>
    <t>CT选型100mA(200A)，3E4WY，三路电流分别为(50A、100A，200A)，在上位机上分别配置为对应A相、B相、C相，测量Ia,Ib,Ic,Iavg满足精度0.2%</t>
  </si>
  <si>
    <t xml:space="preserve">1、连接AcuRev-100电表到Acuview2上，链接状态为connected
2、输入三路电流分别为(5A、10A，20A)，在上位机上分别配置为对应A相、B相、C相
3、Acuview2上检查交流电相电流是否均在精度范围内
</t>
  </si>
  <si>
    <t>Function_AC meter_004_01_case9</t>
  </si>
  <si>
    <t>CT选型100mA(200A)，三路电流分别为Imin（2，2，2）,在上位机上分别配置为对应A相、B相、C相，精度满足精度0.2%,三路电流分别为(0.2,0.1,0.2),无精度要求
备注：0.2A为Ist</t>
  </si>
  <si>
    <t>1、连接AcuRev-100电表到Acuview2上，链接状态为connected
2、输入三路电流分别为（0.2，0.2，0.2）,在上位机上分别配置为对应A相、B相、C相。
3、精度保证的电流范围是否符合 精度要求
4、源输入电流A\B\C三相分别为（0.02，0.01，0.02）</t>
  </si>
  <si>
    <t>3、Acuview2上检查交流电相电流均在精度范围内
Ia：	1.996	~	2.004
Ib:	1.996	~	2.004
Ic:	1.996	~	2.004
Iavg:	1.996	~	2.004
4、Acuview2上检查交流电相电流分别为：0.2,0.1,0.2(无精度要求)</t>
  </si>
  <si>
    <t>Function_AC meter_004_01_case10</t>
  </si>
  <si>
    <t>CT选型100mA(400A)，3E4WY，三路电流分别为(50A、200A，400A)，在上位机上分别配置为对应A相、B相、C相，测量Ia,Ib,Ic,Iavg满足精度0.2%</t>
  </si>
  <si>
    <t xml:space="preserve">1、连接AcuRev-100电表到Acuview2上，链接状态为connected
2、输入三路电流分别为(2.5A、10A，20A)，在上位机上分别配置为对应A相、B相、C相
3、Acuview2上检查交流电相电流是否均在精度范围内
</t>
  </si>
  <si>
    <t>Function_AC meter_004_01_case11</t>
  </si>
  <si>
    <t>CT选型100mA(400A)，三路电流分别为Imin（4A，4A，4A）,在上位机上分别配置为对应A相、B相、C相，精度保证的电流范围0.2%,输入三路电流分别为（0.4A，0A，0.4A）
备注：0.4A为Ist</t>
  </si>
  <si>
    <t>1、连接AcuRev-100电表到Acuview2上，链接状态为connected
2、输入三路电流分别为（0.2，0.2，0.2）,在上位机上分别配置为对应A相、B相、C相
3、精度保证的电流范围是否符合精度的要求
4、输入三路电流分别为（0.02，0，0.02）,在上位机上分别配置为对应A相、B相、C相</t>
  </si>
  <si>
    <t>3、Acuview2上检查交流电相电流均在精度范围内
Ia：	3.992	~	4.008
Ib:	3.992	~	4.008
Ic:	3.992	~	4.008
Iavg:	3.992	~	4.008
4、Acuview2上检查交流电相电流分别为：（0.4A，0A，0.4A）(无精度要求)</t>
  </si>
  <si>
    <t>Function_AC meter_004_01_case12</t>
  </si>
  <si>
    <t>CT选型100mA(800A)，3E4WY，三路电流分别为(50A、400A，800A)，在上位机上分别配置为对应A相、B相、C相，测量Ia,Ib,Ic,Iavg满足精度0.2%</t>
  </si>
  <si>
    <t xml:space="preserve">1、连接AcuRev-100电表到Acuview2上，链接状态为connected
2、输入三路电流分别为(1.25A、10A，20A)，在上位机上分别配置为对应A相、B相、C相
3、Acuview2上检查交流电相电流是否均在精度范围内
</t>
  </si>
  <si>
    <t>3、Acuview2上检查交流电相电流均在精度范围内
Ia：	49.900	~	50.100
Ib:	399.200	~	400.800
Ic:	798.400	~	801.600
Iavg:	415.833	~	417.500</t>
  </si>
  <si>
    <t>Function_AC meter_004_01_case13</t>
  </si>
  <si>
    <t>CT选型100mA(800A)，三路电流分别为（8，8，8）,在上位机上分别配置为对应A相、B相、C相，精度保证的电流范围0.2%,输入三路电流分别为（0.8A，0A，0.8A）
备注：0.8A为Ist</t>
  </si>
  <si>
    <t>1、连接AcuRev-100电表到Acuview2上，链接状态为connected
2、输入三路电流分别为（0.2，0.2，0.2）,在上位机上分别配置为对应A相、B相、C相。
3、精度保证的电流范围是否符合精度要求
4、源输入电流A\B\C三相分别为（0.02，0，0.02）</t>
  </si>
  <si>
    <t>3、Acuview2上检查交流电相电流均在精度范围内
Ia：	7.984	~	8.016
Ib:	7.984	~	8.016
Ic:	7.984	~	8.016
Iavg:	7.984	~	8.016
4、Acuview2上检查交流电相电流分别为：（0.8A，0A，0.8A）(无精度要求)</t>
  </si>
  <si>
    <t>Function_AC meter_004_01_case14</t>
  </si>
  <si>
    <t>CT选型100mA(1200A)，3E4WY，三路电流分别为(50A、600A，1200A)，在上位机上分别配置为对应A相、B相、C相，测量Ia,Ib,Ic,Iavg满足精度0.2%</t>
  </si>
  <si>
    <t xml:space="preserve">1、连接AcuRev-100电表到Acuview2上，链接状态为connected
2、输入三路电流分别为(0.8333A、10A，20A)，在上位机上分别配置为对应A相、B相、C相
3、Acuview2上检查交流电相电流是否均在精度范围内
</t>
  </si>
  <si>
    <t>3、Acuview2上检查交流电相电流均在精度范围内
Ia：	49.900	~	50.100
Ib:	598.800	~	601.200
Ic:	1197.600	~	1202.400
Iavg:	615.433	~	617.900</t>
  </si>
  <si>
    <t>Function_AC meter_004_01_case15</t>
  </si>
  <si>
    <t>Function_AC meter_004_01_case16</t>
  </si>
  <si>
    <t>CT选型RCT(500A)，3E4WY，输入三路电流分别为(50A、300A，500A)，在上位机上分别配置为对应A相、B相、C相，测量Ia,Ib,Ic,Iavg满足精度0.2%</t>
  </si>
  <si>
    <t xml:space="preserve">1、连接AcuRev-100电表到Acuview2上，链接状态为connected
2、输入三路电流分别为(0.5A、3A，5A)，在上位机上分别配置为对应A相、B相、C相
3、Acuview2上检查交流电相电流是否均在精度范围内
</t>
  </si>
  <si>
    <t>3、Acuview2上检查交流电相电流均在精度范围内
Ia：	49.900	~	50.100
Ib:	299.400	~	300.600
Ic:	499.000	~	501.000
Iavg:	282.767	~	283.900</t>
  </si>
  <si>
    <t>已生成待调试：CT类型(80mA/RCT)无寄存器枚举映射，待固件/工程师确认(2026-07-14)</t>
  </si>
  <si>
    <t>待调试：80mA/RCT无CT类型寄存器枚举映射，待固件/工程师确认后调试</t>
  </si>
  <si>
    <t>Function_AC meter_004_01_case17</t>
  </si>
  <si>
    <t>CT选型RCT(1000A)，3E4WY，输入三路电流分别为(400A、600A，800A)，在上位机上分别配置为对应A相、B相、C相，测量Ia,Ib,Ic,Iavg满足精度0.2%</t>
  </si>
  <si>
    <t xml:space="preserve">1、连接AcuRev-100电表到Acuview2上，链接状态为connected
2、输入三路电流分别为(2A、3A，4A)，在上位机上分别配置为对应A相、B相、C相
3、Acuview2上检查交流电相电流是否均在精度范围内
</t>
  </si>
  <si>
    <t>3、Acuview2上检查交流电相电流均在精度范围内
Ia：	399.200	~	400.800
Ib:	598.800	~	601.200
Ic:	798.400	~	801.600
Iavg:	598.800	~	601.200</t>
  </si>
  <si>
    <t>Function_AC meter_004_01_case18</t>
  </si>
  <si>
    <t>CT选型100mA(5A)，3E4WY，CT一次侧额定电流取5-2000A范围下限5A，三路显示电流均为2.5A，测量Ia,Ib,Ic,Iavg满足精度0.2%</t>
  </si>
  <si>
    <t>1、连接AcuRev-100电表到Acuview2上，链接状态为connected
2、上位机配置CT Type=100mA、CT Primary=5（范围下限）
3、源输入三路电流均为10A（经台体CT 20A/100mA，显示系数=Primary/20=0.25，对应显示2.5A；源Ic带载不足，不取20A），分别配置为对应A相、B相、C相
4、Acuview2上检查Ia、Ib、Ic、Iavg是否均在精度范围内
5、恢复CT Primary=1000（默认值）</t>
  </si>
  <si>
    <t>4、Acuview2上检查交流电相电流均在精度范围内
Ia：2.495 ~ 2.505
Ib：2.495 ~ 2.505
Ic：2.495 ~ 2.505
Iavg：2.495 ~ 2.505
5、回读CT Primary=1000，还原成功</t>
  </si>
  <si>
    <t>未通过：判据读数全零——已知板子ADC芯片损坏问题(2026-07-14)，自动化流程本身已调通(CT Primary字面值前置写入成功/设源/断言/报告全链路OK)，换板后重跑出有效结果</t>
  </si>
  <si>
    <t>未通过：已知板卡ADC芯片损坏读数为零，换板后重跑；本次已真机实证固件支持CT Primary 5-2000A字面值写入(5/1500/2000均写入回读一致)，helpers已切字面值口径，跑后已还原1000；07-14台面反馈源Ic 20A过载→源电流降10A(显示2.5A)已修正重跑</t>
  </si>
  <si>
    <t>Function_AC meter_004_01_case19</t>
  </si>
  <si>
    <t>CT选型100mA(2000A)，3E4WY，CT一次侧额定电流取5-2000A范围上限2000A，三路显示电流均为1000A，测量Ia,Ib,Ic,Iavg满足精度0.2%</t>
  </si>
  <si>
    <t>1、连接AcuRev-100电表到Acuview2上，链接状态为connected
2、上位机配置CT Type=100mA、CT Primary=2000（范围上限）
3、源输入三路电流均为10A（经台体CT 20A/100mA，显示系数=Primary/20=100，对应显示1000A），分别配置为对应A相、B相、C相
4、Acuview2上检查Ia、Ib、Ic、Iavg是否均在精度范围内
5、恢复CT Primary=1000（默认值）</t>
  </si>
  <si>
    <t>4、Acuview2上检查交流电相电流均在精度范围内
Ia：998.0 ~ 1002.0
Ib：998.0 ~ 1002.0
Ic：998.0 ~ 1002.0
Iavg：998.0 ~ 1002.0
5、回读CT Primary=1000，还原成功</t>
  </si>
  <si>
    <t>未通过：已知板卡ADC芯片损坏读数为零，换板后重跑；本次已真机实证固件支持CT Primary 5-2000A字面值写入(5/1500/2000均写入回读一致)，helpers已切字面值口径，跑后已还原1000</t>
  </si>
  <si>
    <t>Function_AC meter_004_01_case20</t>
  </si>
  <si>
    <t>CT选型100mA(1500A)，3E4WY，CT一次侧额定电流取5-2000A范围内任意值1500A，三路显示电流均为750A，测量Ia,Ib,Ic,Iavg满足精度0.2%</t>
  </si>
  <si>
    <t>1、连接AcuRev-100电表到Acuview2上，链接状态为connected
2、上位机配置CT Type=100mA、CT Primary=1500（范围内任意非档位值）
3、源输入三路电流均为10A（经台体CT 20A/100mA，显示系数=Primary/20=75，对应显示750A），分别配置为对应A相、B相、C相
4、Acuview2上检查Ia、Ib、Ic、Iavg是否均在精度范围内
5、恢复CT Primary=1000（默认值）</t>
  </si>
  <si>
    <t>4、Acuview2上检查交流电相电流均在精度范围内
Ia：748.5 ~ 751.5
Ib：748.5 ~ 751.5
Ic：748.5 ~ 751.5
Iavg：748.5 ~ 751.5
5、回读CT Primary=1000，还原成功</t>
  </si>
  <si>
    <t>对应不同接线方式电流验证</t>
  </si>
  <si>
    <t>Function_AC meter_004_02_case1</t>
  </si>
  <si>
    <t>CT选型333mV(200A)，1E2W输入InputA电流为100A，测量InputA电流精度0.2%</t>
  </si>
  <si>
    <t>1、Acuview2上位机
2、RTU串口线
3、AcuRev-100电表
4、1E2W</t>
  </si>
  <si>
    <t>1、连接AcuRev-100电表到Acuview2上，链接状态为connected
2、1E2W输入InputA电流为2.5A
3、Acuview2上检查电流InputA是否均在精度范围内</t>
  </si>
  <si>
    <t>3、Acuview2上检查电流InputA在精度范围内
IA:	99.800	~	100.200</t>
  </si>
  <si>
    <t>Function_AC meter_004_02_case2</t>
  </si>
  <si>
    <t>CT选型333mV(200A)，2E3W1P接线输入InputA、InputC电流为(100A、200A)，测量InputA、InputC电流精度0.2%</t>
  </si>
  <si>
    <t>1、Acuview2上位机
2、RTU串口线
3、AcuRev-100电表
4、2E3W1P</t>
  </si>
  <si>
    <t>1、连接AcuRev-100电表到Acuview2上，链接状态为connected
2、2E3W1P接线输入InputA、InputC电流为(2.5A、5A)
3、Acuview2上检查电流InputA、InputC是否均在精度范围内</t>
  </si>
  <si>
    <t>3、Acuview2上检查电流InputA、InputC均在精度范围内
Ia:	99.800	~	100.200
Ic:	199.600	~	200.400</t>
  </si>
  <si>
    <t>PF、功率</t>
  </si>
  <si>
    <t>Function_AC meter_005_01_case1</t>
  </si>
  <si>
    <t>CT选型333mV(200A)，3E4WY接线，输入ABC电压均为220V，(A&amp;B&amp;C相)电流为(50A、50A、50A)，电压角度分别为(0，240，120)，电流角度分别为(0，240，120)，AC meter上检查测量PF、功率</t>
  </si>
  <si>
    <t>1、Acuview2上位机
2、RTU串口线
3、AcuRev-100电表
4、3E4WY</t>
  </si>
  <si>
    <t>1、连接AcuRev-100电表到Acuview2上，链接状态为connected
2、输入(A&amp;B&amp;C相)电流为(1.25A、1.25A、1.25A)，电压均为220V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</si>
  <si>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A相：10978.0 ~ 11022.0 W
B相：10978.0 ~ 11022.0 W
C相：10978.0 ~ 11022.0 W
系统：32934.0 ~ 33066.0 W
无功功率 Q 取值（±0.5%，以额定S为基准，SRS §3.5）：
A相：-55.0 ~ 55.0 VAR
B相：-55.0 ~ 55.0 VAR
C相：-55.0 ~ 55.0 VAR
系统：-165.0 ~ 165.0 VAR
视在功率 S 取值（±0.5%，SRS §3.5）：
A相：10945.0 ~ 11055.0 VA
B相：10945.0 ~ 11055.0 VA
C相：10945.0 ~ 11055.0 VA
系统：32835.0 ~ 33165.0 VA
功率因数 PF 取值：（Class 0.2，±0.002）
A相：PF 0.998 ~ 1.002
B相：PF 0.998 ~ 1.002
C相：PF 0.998 ~ 1.002
系统：PF 0.998 ~ 1.002
</t>
  </si>
  <si>
    <t>Function_AC meter_005_01_case2</t>
  </si>
  <si>
    <t>CT选型333mV(200A)，3E4WY接线，输入ABC电压均为120V，(A&amp;B&amp;C相)电流为(100A、100A、100A)，电压角度分别为(0、240、120)，电流角度分别为(30、270、150)，AC meter上检查测量PF、功率</t>
  </si>
  <si>
    <t>1、连接AcuRev-100电表到Acuview2上，链接状态为connected
2、(A&amp;B&amp;C相)电流为(2.5A、2.5A、2.5A)，电压均为120V
3、电压角度分别为(0、240、120)，电流角度分别为(30、270、150)
4、AC meter上检查测量PF、功率精度是否满足要求</t>
  </si>
  <si>
    <t xml:space="preserve">4、AC meter上检查测量PF、功率精度满足要求
有功功率 P 取值（±0.2%，工程设计目标；认证硬指标为0.5%）：
A相：10371.5 ~ 10413.1 W
B相：10371.5 ~ 10413.1 W
C相：10371.5 ~ 10413.1 W
系统：31114.5 ~ 31239.3 W
无功功率 Q 取值（±0.5%，以额定S为基准，SRS §3.5）：
A相：-6060.0 ~ -5940.0 VAR
B相：-6060.0 ~ -5940.0 VAR
C相：-6060.0 ~ -5940.0 VAR
系统：-18180.0 ~ -17820.0 VAR
视在功率 S 取值（±0.5%，SRS §3.5）：
A相：11940.0 ~ 12060.0 VA
B相：11940.0 ~ 12060.0 VA
C相：11940.0 ~ 12060.0 VA
系统：35820.0 ~ 36180.0 VA
功率因数 PF 取值：（Class 0.2，±0.002）
A相：PF 0.864 ~ 0.868
B相：PF 0.864 ~ 0.868
C相：PF 0.864 ~ 0.868
系统：PF 0.864 ~ 0.868
</t>
  </si>
  <si>
    <t>Function_AC meter_005_01_case3</t>
  </si>
  <si>
    <t>CT选型333mV(200A)，3E4WY接线，输入ABC电压均为220V，(A&amp;B&amp;C相)电流为(50A、50A、50A)，电压角度分别为(0、240、120)，电流角度分别为(300、180、60)，AC meter上检查测量PF、功率</t>
  </si>
  <si>
    <t>1、连接AcuRev-100电表到Acuview2上，链接状态为connected
2、(A&amp;B&amp;C相)电流为(1.25A、1.25A、1.25A)，电压均为220V
3、电压角度分别为(0、240、120)，电流角度分别为(300、180、60)
4、AC meter上检查测量PF、功率精度是否满足要求</t>
  </si>
  <si>
    <t xml:space="preserve">4、AC meter上检查测量PF、功率精度满足要求
有功功率 P 取值（±0.2%，工程设计目标；认证硬指标为0.5%）：
A相：5489.0 ~ 5511.0 W
B相：5489.0 ~ 5511.0 W
C相：5489.0 ~ 5511.0 W
系统：16467.0 ~ 16533.0 W
无功功率 Q 取值（±0.5%，以额定S为基准，SRS §3.5）：
A相：9471.3 ~ 9581.3 VAR
B相：9471.3 ~ 9581.3 VAR
C相：9471.3 ~ 9581.3 VAR
系统：28413.8 ~ 28743.8 VAR
视在功率 S 取值（±0.5%，SRS §3.5）：
A相：10945.0 ~ 11055.0 VA
B相：10945.0 ~ 11055.0 VA
C相：10945.0 ~ 11055.0 VA
系统：32835.0 ~ 33165.0 VA
功率因数 PF 取值：（Class 0.2，±0.002）
A相：PF 0.498 ~ 0.502
B相：PF 0.498 ~ 0.502
C相：PF 0.498 ~ 0.502
系统：PF 0.498 ~ 0.502
</t>
  </si>
  <si>
    <t>Function_AC meter_005_01_case4</t>
  </si>
  <si>
    <t>CT选型333mV(200A)，1E2W接线下，输入A相电压均为277V，A相电流为100A，电压角度0°，电流角度为120°，AC meter上检查测量PF、功率</t>
  </si>
  <si>
    <t>1、连接AcuRev-100电表到Acuview2上，链接状态为connected
2、输入A相电压均为277V，A相电流为2.5A
3、电压角度0°，电流角度为120°
4、AC meter上检查测量PF、功率精度是否满足要求</t>
  </si>
  <si>
    <t xml:space="preserve">4、AC meter上检查测量PF、功率精度满足要求
有功功率 P 取值（±0.2%，工程设计目标；认证硬指标为0.5%）：
A相：-13877.7 ~ -13822.2 W
系统：-13877.7 ~ -13822.2 W
无功功率 Q 取值（±0.5%，以额定S为基准，SRS §3.5）：
A相：-24127.4 ~ -23850.4 VAR
系统：-24127.4 ~ -23850.4 VAR
视在功率 S 取值（±0.5%，SRS §3.5）：
A相：27561.5 ~ 27838.5 VA
系统：27561.5 ~ 27838.5 VA
功率因数 PF 取值：（Class 0.2，±0.002）
A相：PF -0.502 ~ -0.498
系统：PF -0.502 ~ -0.498
</t>
  </si>
  <si>
    <t>Function_AC meter_005_01_case5</t>
  </si>
  <si>
    <t>CT选型333mV(200A)，2E3W1P输入InputA、C电流为(200A 200A)，Va、Vc电压均为100V,电压相角θ和电流相角ϕ差值为60°，AC meter上检查测量PF、功率</t>
  </si>
  <si>
    <t>1、连接AcuRev-100电表到Acuview2上，链接状态为connected
2、Input A、C电流为(5A、5A)，Va、Vc电压均为100V
3、电压相角θ和电流相角ϕ差值为60°
4、AC meter上检查测量PF、功率精度是否满足要求</t>
  </si>
  <si>
    <t xml:space="preserve">4、AC meter上检查测量PF、功率精度满足要求
有功功率 P 取值（±0.2%，工程设计目标；认证硬指标为0.5%）：
A相：9980.0 ~ 10020.0 W
C相：9980.0 ~ 10020.0 W
系统：19960.0 ~ 20040.0 W
无功功率 Q 取值（±0.5%，以额定S为基准，SRS §3.5）：
A相：17220.5 ~ 17420.5 VAR
C相：17220.5 ~ 17420.5 VAR
系统：34441.0 ~ 34841.0 VAR
视在功率 S 取值（±0.5%，SRS §3.5）：
A相：19900.0 ~ 20100.0 VA
C相：19900.0 ~ 20100.0 VA
系统：39800.0 ~ 40200.0 VA
功率因数 PF 取值：（Class 0.2，±0.002）
A相：PF 0.498 ~ 0.502
C相：PF 0.498 ~ 0.502
系统：PF 0.498 ~ 0.502
</t>
  </si>
  <si>
    <t>Function_AC meter_005_01_case6</t>
  </si>
  <si>
    <t>CT选型333mV(400A)，3E4WY接线，输入ABC电压均为120V，(A&amp;B&amp;C相)电流为(200A、200A、200A)，电压角度分别为(0，240，120)，电流角度分别为(0，240，120)，AC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</si>
  <si>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2、输入ABC电压均为120V，(A&amp;B&amp;C相)电流为(2.5A、2.5A、2.5A)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</si>
  <si>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A相：23952.0 ~ 24048.0 W
B相：23952.0 ~ 24048.0 W
C相：23952.0 ~ 24048.0 W
系统：71856.0 ~ 72144.0 W
无功功率 Q 取值（±0.5%，以额定S为基准，SRS §3.5）：
A相：-120.0 ~ 120.0 VAR
B相：-120.0 ~ 120.0 VAR
C相：-120.0 ~ 120.0 VAR
系统：-360.0 ~ 360.0 VAR
视在功率 S 取值（±0.5%，SRS §3.5）：
A相：23880.0 ~ 24120.0 VA
B相：23880.0 ~ 24120.0 VA
C相：23880.0 ~ 24120.0 VA
系统：71640.0 ~ 72360.0 VA
功率因数 PF 取值：（Class 0.2，±0.002）
A相：PF 0.998 ~ 1.002
B相：PF 0.998 ~ 1.002
C相：PF 0.998 ~ 1.002
系统：PF 0.998 ~ 1.002
</t>
  </si>
  <si>
    <t>Function_AC meter_005_01_case7</t>
  </si>
  <si>
    <t>CT选型100mA(200A)，3E4WY接线，输入ABC电压均为270V，(A&amp;B&amp;C相)电流为(200A、200A、200A)，电压角度分别为(0、240、120)，电流角度分别为(60、300、180)，AC meter上检查测量PF、功率</t>
  </si>
  <si>
    <t>1、连接AcuRev-100电表到Acuview2上，链接状态为connected
2、(A&amp;B&amp;C相)电流为(20A、20A、20A)，电压均为270V
3、电压角度分别为(0、240、120)，电流角度分别为(60、300、180)
4、AC meter上检查测量PF、功率精度是否满足要求</t>
  </si>
  <si>
    <t xml:space="preserve">4、AC meter上检查测量PF、功率精度满足要求
有功功率 P 取值（±0.2%，工程设计目标；认证硬指标为0.5%）：
A相：26946.0 ~ 27054.0 W
B相：26946.0 ~ 27054.0 W
C相：26946.0 ~ 27054.0 W
系统：80838.0 ~ 81162.0 W
无功功率 Q 取值（±0.5%，以额定S为基准，SRS §3.5）：
A相：-47035.4 ~ -46495.4 VAR
B相：-47035.4 ~ -46495.4 VAR
C相：-47035.4 ~ -46495.4 VAR
系统：-141106.1 ~ -139486.1 VAR
视在功率 S 取值（±0.5%，SRS §3.5）：
A相：53730.0 ~ 54270.0 VA
B相：53730.0 ~ 54270.0 VA
C相：53730.0 ~ 54270.0 VA
系统：161190.0 ~ 162810.0 VA
功率因数 PF 取值：（Class 0.2，±0.002）
A相：PF 0.498 ~ 0.502
B相：PF 0.498 ~ 0.502
C相：PF 0.498 ~ 0.502
系统：PF 0.498 ~ 0.502
</t>
  </si>
  <si>
    <t>Function_AC meter_005_01_case8</t>
  </si>
  <si>
    <t>CT选型100mA(400A)，3E4WY接线，输入ABC电压均为120V，(A&amp;B&amp;C相)电流为(200A、200A、200A)，电压角度分别为(0，240，120)，电流角度分别为(0，240，120)，AC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</si>
  <si>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2、输入ABC电压均为120V，(A&amp;B&amp;C相)电流为(10A、10A、10A)
3、电压角度分别为(0，240，120)，电流角度分别为(0，240，120)
4、AC meter上检查测量PF、功率精度是否满足要求</t>
  </si>
  <si>
    <t>Function_AC meter_005_01_case8_01</t>
  </si>
  <si>
    <t>CT选型80mA(400A)，3E4WY接线，输入ABC电压均为120V，(A&amp;B&amp;C相)电流为(200A、200A、200A)，电压角度分别为(0，240，120)，电流角度分别为(0，240，120)，AC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</si>
  <si>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2、输入ABC电压均为120V，(A&amp;B&amp;C相)电流为(8A、8A、8A)
3、电压角度分别为(0，240，120)，电流角度分别为(0，240，120)
4、AC meter上检查测量PF、功率精度是否满足要求</t>
  </si>
  <si>
    <t>Function_AC meter_005_01_case9</t>
  </si>
  <si>
    <t>CT选型100mA(800A)，3E4WY接线，输入ABC电压均为120V，(A&amp;B&amp;C相)电流为(400A、400A、400A)，电压角度分别为(0，240，120)，电流角度分别为(0，240，120)，AC meter上检查测量PF、功率</t>
  </si>
  <si>
    <t xml:space="preserve">4、AC meter上检查测量PF、功率精度满足要求
有功功率 P 取值（±0.2%，工程设计目标；认证硬指标为0.5%）：
A相：47904.0 ~ 48096.0 W
B相：47904.0 ~ 48096.0 W
C相：47904.0 ~ 48096.0 W
系统：143712.0 ~ 144288.0 W
无功功率 Q 取值（±0.5%，以额定S为基准，SRS §3.5）：
A相：-240.0 ~ 240.0 VAR
B相：-240.0 ~ 240.0 VAR
C相：-240.0 ~ 240.0 VAR
系统：-720.0 ~ 720.0 VAR
视在功率 S 取值（±0.5%，SRS §3.5）：
A相：47760.0 ~ 48240.0 VA
B相：47760.0 ~ 48240.0 VA
C相：47760.0 ~ 48240.0 VA
系统：143280.0 ~ 144720.0 VA
功率因数 PF 取值：（Class 0.2，±0.002）
A相：PF 0.998 ~ 1.002
B相：PF 0.998 ~ 1.002
C相：PF 0.998 ~ 1.002
系统：PF 0.998 ~ 1.002
</t>
  </si>
  <si>
    <t>Function_AC meter_005_01_case10</t>
  </si>
  <si>
    <t>CT选型100mA(1200A)，3E4WY接线，输入ABC电压均为100V，(A&amp;B&amp;C相)电流为(600A、600A、600A)，电压角度分别为(0，240，120)，电流角度分别为(0，240，120)，AC meter上检查测量PF、功率</t>
  </si>
  <si>
    <t>1、连接AcuRev-100电表到Acuview2上，链接状态为connected
2、输入ABC电压均为100V，(A&amp;B&amp;C相)电流为(10A、10A、10A)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</si>
  <si>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A相：59880.0 ~ 60120.0 W
B相：59880.0 ~ 60120.0 W
C相：59880.0 ~ 60120.0 W
系统：179640.0 ~ 180360.0 W
无功功率 Q 取值（±0.5%，以额定S为基准，SRS §3.5）：
A相：-300.0 ~ 300.0 VAR
B相：-300.0 ~ 300.0 VAR
C相：-300.0 ~ 300.0 VAR
系统：-900.0 ~ 900.0 VAR
视在功率 S 取值（±0.5%，SRS §3.5）：
A相：59700.0 ~ 60300.0 VA
B相：59700.0 ~ 60300.0 VA
C相：59700.0 ~ 60300.0 VA
系统：179100.0 ~ 180900.0 VA
功率因数 PF 取值：（Class 0.2，±0.002）
A相：PF 0.998 ~ 1.002
B相：PF 0.998 ~ 1.002
C相：PF 0.998 ~ 1.002
系统：PF 0.998 ~ 1.002
</t>
  </si>
  <si>
    <t>Function_AC meter_005_01_case10_01</t>
  </si>
  <si>
    <t>CT选型80mA(1200A)，3E4WY接线，输入ABC电压均为100V，(A&amp;B&amp;C相)电流为(600A、600A、600A)，电压角度分别为(0，240，120)，电流角度分别为(0，240，120)，AC meter上检查测量PF、功率</t>
  </si>
  <si>
    <t>1、连接AcuRev-100电表到Acuview2上，链接状态为connected
2、输入ABC电压均为100V，(A&amp;B&amp;C相)电流为(8A、8A、8A)
3、电压角度分别为(0，240，120)，电流角度分别为(0，240，120)
4、AC meter上检查测量PF、功率精度是否满足要求</t>
  </si>
  <si>
    <t>Function_AC meter_005_01_case11</t>
  </si>
  <si>
    <t>CT选型RCT(500A)，3E4WY接线，输入ABC电压均为100V，(A&amp;B&amp;C相)电流为(200A、300A、400A)，电压角度分别为(0，240，120)，电流角度分别为(0，240，120)，AC meter上检查测量PF、功率</t>
  </si>
  <si>
    <t>1、连接AcuRev-100电表到Acuview2上，链接状态为connected
2、输入ABC电压均为100V，(A&amp;B&amp;C相)电流为(2A、3A、4A)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</si>
  <si>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A相：19960.0 ~ 20040.0 W
B相：29940.0 ~ 30060.0 W
C相：39920.0 ~ 40080.0 W
系统：89820.0 ~ 90180.0 W
无功功率 Q 取值（±0.5%，以额定S为基准，SRS §3.5）：
A相：-100.0 ~ 100.0 VAR
B相：-150.0 ~ 150.0 VAR
C相：-200.0 ~ 200.0 VAR
系统：-450.0 ~ 450.0 VAR
视在功率 S 取值（±0.5%，SRS §3.5）：
A相：19900.0 ~ 20100.0 VA
B相：29850.0 ~ 30150.0 VA
C相：39800.0 ~ 40200.0 VA
系统：89550.0 ~ 90450.0 VA
功率因数 PF 取值：（Class 0.2，±0.002）
A相：PF 0.998 ~ 1.002
B相：PF 0.998 ~ 1.002
C相：PF 0.998 ~ 1.002
系统：PF 0.998 ~ 1.002
</t>
  </si>
  <si>
    <t>Function_AC meter_005_01_case12</t>
  </si>
  <si>
    <t>CT选型RCT(1000A)，3E4WY接线，输入ABC电压均为100V，(A&amp;B&amp;C相)电流为(600A、800A、1000A)，电压角度分别为(0，240，120)，电流角度分别为(0，240，120)，AC meter上检查测量PF、功率</t>
  </si>
  <si>
    <t>1、连接AcuRev-100电表到Acuview2上，链接状态为connected
2、输入ABC电压均为100V，(A&amp;B&amp;C相)电流为(3A、4A、5A)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</si>
  <si>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A相：59880.0 ~ 60120.0 W
B相：79840.0 ~ 80160.0 W
C相：99800.0 ~ 100200.0 W
系统：239520.0 ~ 240480.0 W
无功功率 Q 取值（±0.5%，以额定S为基准，SRS §3.5）：
A相：-300.0 ~ 300.0 VAR
B相：-400.0 ~ 400.0 VAR
C相：-500.0 ~ 500.0 VAR
系统：-1200.0 ~ 1200.0 VAR
视在功率 S 取值（±0.5%，SRS §3.5）：
A相：59700.0 ~ 60300.0 VA
B相：79600.0 ~ 80400.0 VA
C相：99500.0 ~ 100500.0 VA
系统：238800.0 ~ 241200.0 VA
功率因数 PF 取值：（Class 0.2，±0.002）
A相：PF 0.998 ~ 1.002
B相：PF 0.998 ~ 1.002
C相：PF 0.998 ~ 1.002
系统：PF 0.998 ~ 1.002
</t>
  </si>
  <si>
    <t>相角</t>
  </si>
  <si>
    <t>相电压相角验证</t>
  </si>
  <si>
    <t>Function_AC meter_006_01_case1</t>
  </si>
  <si>
    <t>ABC三相电压角度为(0°  120° 240°)，上位机上检查phaseA、phaseB、PhaseC的相角满足精度±0.5°</t>
  </si>
  <si>
    <t>1、连接AcuRev-100电表到Acuview2上，链接状态为connected
2、电源输入ABC三相电压角度为(0°  120° 240°)，电压为100V
3、检查相电压A B C三相的精度是否符合±0.5°</t>
  </si>
  <si>
    <t>3、检查相电压A B C三相的精度符合±0.5°
备注: 使用excel公式计算具体值</t>
  </si>
  <si>
    <t>Function_AC meter_006_01_case2</t>
  </si>
  <si>
    <t>ABC三相电压角度为(0°  1°  5°)，上位机上检查phaseA、phaseB、PhaseC的相角满足精度±0.5°</t>
  </si>
  <si>
    <t>1、连接AcuRev-100电表到Acuview2上，链接状态为connected
2、电源输入ABC三相电压角度为(0°  1°  5°)，电压为100V
3、检查相电压A B C三相的精度是否符合±0.5°</t>
  </si>
  <si>
    <t>电流输入对应相角验证</t>
  </si>
  <si>
    <t>Function_AC meter_006_02_case1</t>
  </si>
  <si>
    <t>ABC三相电流相角分设置为0°、1°、5°，上位机上检查input1的相角满足精度±0.5°</t>
  </si>
  <si>
    <t xml:space="preserve">1、连接AcuRev-100电表到Acuview2上，链接状态为connected
2、电源输入input1~3的电流相角为(0°、1°、5°)，电流为5A
3、检查input1的电流相角的精度是否符合±0.5°
</t>
  </si>
  <si>
    <t>Function_AC meter_006_02_case2</t>
  </si>
  <si>
    <t>ABC三相电流相角分设置为60°、90°、120°，上位机上检查input1的相角满足精度±0.5°</t>
  </si>
  <si>
    <t xml:space="preserve">1、连接AcuRev-100电表到Acuview2上，链接状态为connected
2、电源输入input1~3的电流相角为(60°、90°、120°)，电流为5A
3、检查input1的电流相角的精度是否符合±0.5°
</t>
  </si>
  <si>
    <t>Ep/Eq/Es能量累计</t>
  </si>
  <si>
    <t>Function_AC meter_007_01_case1</t>
  </si>
  <si>
    <t>CT选型333mV(200A)，3E4WY接线，输入ABC电压均为120V，(A&amp;B&amp;C相)电流为(100A、100A、100A)，电压角度分别为(0、240、120)，电流角度分别为(30、270、150)，AC meter上检查能量累计Ep、Eq、Es精度</t>
  </si>
  <si>
    <t>CT选型333mV(200A)，3E4WY接线</t>
  </si>
  <si>
    <t>1、连接AcuRev-100电表到Acuview2上，链接状态为connected
2、源输入(A&amp;B&amp;C相)电流均为2.5A，电压均为120V
3、电压角度分别为(0、240、120)，电流角度分别为(30、270、150)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</si>
  <si>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（精度±0.5%，累计时间T=10min，负载特性：C（容性））
有功电能 Ep 取值（Ep+（正向有功））：
A相：1.723 ~ 1.741 kWh
B相：1.723 ~ 1.741 kWh
C相：1.723 ~ 1.741 kWh
系统：5.186 ~ 5.206 kWh
无功电能 Eq 取值（Eq-（容性））：
A相：-1.005 ~ -0.995 kVARh
B相：-1.005 ~ -0.995 kVARh
C相：-1.005 ~ -0.995 kVARh
系统：-3.015 ~ -2.985 kVARh
视在电能 Es 取值：
A相：1.990 ~ 2.010 kVAh
B相：1.990 ~ 2.010 kVAh
C相：1.990 ~ 2.010 kVAh
系统：5.988 ~ 6.012 kVAh</t>
  </si>
  <si>
    <t>Function_AC meter_007_01_case2</t>
  </si>
  <si>
    <t>CT选型333mV(200A)，1E2W接线，输入A相电压均为277V，A相电流为100A，电压角度0°，电流角度为120°，AC meter上检查能量累计Ep、Eq、Es精度</t>
  </si>
  <si>
    <t>CT选型333mV(200A)，1E2W接线</t>
  </si>
  <si>
    <t>1、连接AcuRev-100电表到Acuview2上，链接状态为connected
2、源输入A相电压为277V，A相电流为2.5A
3、电压角度0°，电流角度120°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</si>
  <si>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（精度±0.5%，累计时间T=10min，负载特性：C（P&lt;0，发电模式））
有功电能 Ep 取值（Ep-（输出有功））：
A相：-2.320 ~ -2.297 kWh
系统：-2.320 ~ -2.297 kWh
无功电能 Eq 取值（Eq-（容性））：
A相：-4.018 ~ -3.978 kVARh
系统：-4.018 ~ -3.978 kVARh
视在电能 Es 取值：
A相：4.594 ~ 4.640 kVAh
系统：4.594 ~ 4.640 kVAh</t>
  </si>
  <si>
    <t>Function_AC meter_007_01_case3</t>
  </si>
  <si>
    <t>CT选型333mV(200A)，2E3W1P接线，输入InputA、C电流为(200A, 200A)，Va、Vc电压均为100V，电压相角θ和电流相角ϕ差值为60°，AC meter上检查能量累计Ep、Eq、Es精度</t>
  </si>
  <si>
    <t>CT选型333mV(200A)，2E3W1P接线</t>
  </si>
  <si>
    <t>1、连接AcuRev-100电表到Acuview2上，链接状态为connected
2、源输入A、C电流均为5A，Va、Vc电压均为100V
3、电压相角θ和电流相角ϕ差值为60°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</si>
  <si>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（精度±0.5%，累计时间T=10min，负载特性：L（感性））
有功电能 Ep 取值（Ep+（正向有功））：
A相：1.658 ~ 1.675 kWh
C相：1.658 ~ 1.675 kWh
系统：3.317 ~ 3.350 kWh
无功电能 Eq 取值（Eq+（感性））：
A相：2.872 ~ 2.901 kVARh
C相：2.872 ~ 2.901 kVARh
系统：5.762 ~ 5.785 kVARh
视在电能 Es 取值：
A相：3.317 ~ 3.350 kVAh
C相：3.317 ~ 3.350 kVAh
系统：6.653 ~ 6.680 kVAh</t>
  </si>
  <si>
    <t>Function_AC meter_007_01_case4</t>
  </si>
  <si>
    <t>CT选型333mV(400A)，3E4WY接线，输入ABC电压均为120V，(A&amp;B&amp;C相)电流为(200A、200A、200A)，电压角度分别为(0，240，120)，电流角度分别为(0，240，120)，AC meter上检查能量累计Ep、Eq、Es精度</t>
  </si>
  <si>
    <t>CT选型333mV(400A)，3E4WY接线</t>
  </si>
  <si>
    <t>1、连接AcuRev-100电表到Acuview2上，链接状态为connected
2、源输入(A&amp;B&amp;C相)电流均为2.5A，电压均为120V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</si>
  <si>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（精度±0.5%，累计时间T=10min，负载特性：R）
有功电能 Ep 取值（Ep+（正向有功））：
A相：3.980 ~ 4.020 kWh
B相：3.980 ~ 4.020 kWh
C相：3.980 ~ 4.020 kWh
系统：11.976 ~ 12.024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A相：3.980 ~ 4.020 kVAh
B相：3.980 ~ 4.020 kVAh
C相：3.980 ~ 4.020 kVAh
系统：11.976 ~ 12.024 kVAh</t>
  </si>
  <si>
    <t>Function_AC meter_007_01_case5</t>
  </si>
  <si>
    <t>CT选型100mA(200A)，3E4WY接线，输入ABC电压均为270V，(A&amp;B&amp;C相)电流为(200A、200A、200A)，电压角度分别为(0、240、120)，电流角度分别为(60、300、180)，AC meter上检查能量累计Ep、Eq、Es精度</t>
  </si>
  <si>
    <t>CT选型100mA(200A)，3E4WY接线</t>
  </si>
  <si>
    <t>1、连接AcuRev-100电表到Acuview2上，链接状态为connected
2、源输入(A&amp;B&amp;C相)电流均为20A，电压均为270V
3、电压角度分别为(0、240、120)，电流角度分别为(60、300、180)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</si>
  <si>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（精度±0.5%，累计时间T=10min，负载特性：C（容性））
有功电能 Ep 取值（Ep+（正向有功））：
A相：4.478 ~ 4.523 kWh
B相：4.478 ~ 4.523 kWh
C相：4.478 ~ 4.523 kWh
系统：13.473 ~ 13.527 kWh
无功电能 Eq 取值（Eq-（容性））：
A相：-7.833 ~ -7.755 kVARh
B相：-7.833 ~ -7.755 kVARh
C相：-7.833 ~ -7.755 kVARh
系统：-23.430 ~ -23.336 kVARh
视在电能 Es 取值：
A相：8.982 ~ 9.018 kVAh
B相：8.982 ~ 9.018 kVAh
C相：8.982 ~ 9.018 kVAh
系统：26.946 ~ 27.054 kVAh</t>
  </si>
  <si>
    <t>未通过：能量增量Δ=0——已知板子ADC芯片损坏(不计量)，增量断言流程已调通，换板后跑10min全时长出有效结果</t>
  </si>
  <si>
    <t>未通过：已知板卡ADC芯片损坏不计量（能量Δ=0），增量断言流程已调通，换板后跑10min全时长</t>
  </si>
  <si>
    <t>Function_AC meter_007_01_case6</t>
  </si>
  <si>
    <t>CT选型100mA(400A)，3E4WY接线，输入ABC电压均为120V，(A&amp;B&amp;C相)电流为(200A、200A、200A)，电压角度分别为(0，240，120)，电流角度分别为(0，240，120)，AC meter上检查能量累计Ep、Eq、Es精度</t>
  </si>
  <si>
    <t>CT选型100mA(400A)，3E4WY接线</t>
  </si>
  <si>
    <t>1、连接AcuRev-100电表到Acuview2上，链接状态为connected
2、源输入(A&amp;B&amp;C相)电流均为10A，电压均为120V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</si>
  <si>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meter_007_01_case7</t>
  </si>
  <si>
    <t>CT选型100mA(800A)，3E4WY接线，输入ABC电压均为120V，(A&amp;B&amp;C相)电流为(400A、400A、400A)，电压角度分别为(0，240，120)，电流角度分别为(0，240，120)，AC meter上检查能量累计Ep、Eq、Es精度</t>
  </si>
  <si>
    <t>CT选型100mA(800A)，3E4WY接线</t>
  </si>
  <si>
    <t>7、AC meter上检查有功电能、无功电能、视在电能精度满足要求
（精度±0.5%，累计时间T=10min，负载特性：R）
有功电能 Ep 取值（Ep+（正向有功））：
A相：7.984 ~ 8.016 kWh
B相：7.984 ~ 8.016 kWh
C相：7.984 ~ 8.016 kWh
系统：23.952 ~ 24.048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A相：7.984 ~ 8.016 kVAh
B相：7.984 ~ 8.016 kVAh
C相：7.984 ~ 8.016 kVAh
系统：23.952 ~ 24.048 kVAh</t>
  </si>
  <si>
    <t>Function_AC meter_007_01_case7_01</t>
  </si>
  <si>
    <t>CT选型80mA(800A)，3E4WY接线，输入ABC电压均为120V，(A&amp;B&amp;C相)电流为(400A、400A、400A)，电压角度分别为(0，240，120)，电流角度分别为(0，240，120)，AC meter上检查能量累计Ep、Eq、Es精度</t>
  </si>
  <si>
    <t>1、连接AcuRev-100电表到Acuview2上，链接状态为connected
2、源输入(A&amp;B&amp;C相)电流均为8A，电压均为120V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</si>
  <si>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meter_007_01_case8</t>
  </si>
  <si>
    <t>CT选型100mA(1200A)，3E4WY接线，输入ABC电压均为100V，(A&amp;B&amp;C相)电流为(600A、600A、600A)，电压角度分别为(0，240，120)，电流角度分别为(0，240，120)，AC meter上检查能量累计Ep、Eq、Es精度</t>
  </si>
  <si>
    <t>CT选型100mA(1200A)，3E4WY接线</t>
  </si>
  <si>
    <t>1、连接AcuRev-100电表到Acuview2上，链接状态为connected
2、源输入(A&amp;B&amp;C相)电流均为10A，电压均为100V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</si>
  <si>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（精度±0.5%，累计时间T=10min，负载特性：R）
有功电能 Ep 取值（Ep+（正向有功））：
A相：9.980 ~ 10.020 kWh
B相：9.980 ~ 10.020 kWh
C相：9.980 ~ 10.020 kWh
系统：29.940 ~ 30.060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A相：9.980 ~ 10.020 kVAh
B相：9.980 ~ 10.020 kVAh
C相：9.980 ~ 10.020 kVAh
系统：29.940 ~ 30.060 kVAh</t>
  </si>
  <si>
    <t>Function_AC meter_007_01_case9</t>
  </si>
  <si>
    <t>CT选型100mA(200A)，3E4WY接线，输入ABC电压均为220V，(A&amp;B&amp;C相)电流为(100A、100A、100A)，电压角度分别为(0、240、120)，电流角度分别为(240、120、0)，AC meter上检查能量累计Ep、Eq、Es精度（第二象限：Ep−/Eq+，发电+感性）</t>
  </si>
  <si>
    <t>1、连接AcuRev-100电表到Acuview2上，链接状态为connected
2、源输入(A&amp;B&amp;C相)电流均为10A，电压均为220V
3、电压角度分别为(0、240、120)，电流角度分别为(240、120、0)
   （各相电压超前本相电流120°，即φ=120°，P&lt;0发电模式，Q&gt;0感性）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</si>
  <si>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（精度±0.5%，累计时间T=10min，负载特性：L感性/P&lt;0发电模式，第二象限Ep−/Eq+）
有功电能 Ep 取值（Ep-（输出有功，发电模式））：
A相：-1.842 ~ -1.824 kWh
B相：-1.842 ~ -1.824 kWh
C相：-1.842 ~ -1.824 kWh
系统：-5.527 ~ -5.472 kWh
无功电能 Eq 取值（Eq+（感性））：
A相：3.160 ~ 3.191 kVARh
B相：3.160 ~ 3.191 kVARh
C相：3.160 ~ 3.191 kVARh
系统：9.507 ~ 9.545 kVARh
视在电能 Es 取值：
A相：3.648 ~ 3.685 kVAh
B相：3.648 ~ 3.685 kVAh
C相：3.648 ~ 3.685 kVAh
系统：10.978 ~ 11.022 kVAh</t>
  </si>
  <si>
    <t>Function_AC meter_007_01_case10</t>
  </si>
  <si>
    <t>CT选型100mA(200A)，3E4WY接线，三相电压均为220V，三相电流不平衡（A相50A、B相100A、C相150A），三相电压角度(0、240、120)，三相电流角度(330、210、90)（各相φ均为30°，感性），AC meter上检查各相及系统能量累计Ep、Eq、Es精度</t>
  </si>
  <si>
    <t>1、连接AcuRev-100电表到Acuview2上，链接状态为connected
2、源输入三相电压均为220V；A相电流5A，B相电流10A，C相电流15A（三相电流不平衡）
3、三相电压角度分别为(0、240、120)，三相电流角度分别为(330、210、90)
   （各相电压与本相电流夹角均为30°，负载均为感性L）
4、对电表能量计数器（Ep、Eq、Es）进行清零操作
5、确认AC meter上各相及系统的Ep、Eq、Es均显示为0，确认清零成功
6、累计时间T=10分钟后，在AC meter上读取各相及系统的有功电能Ep、无功电能Eq、视在电能Es
7、检查各相及系统Ep、Eq、Es精度是否满足±0.5%要求</t>
  </si>
  <si>
    <t>7、AC meter上检查有功电能、无功电能、视在电能精度满足要求
（精度±0.5%，累计时间T=10min，三相电流不平衡，各相φ=30°，负载特性：L（感性））
有功电能 Ep 取值（Ep+（正向有功））：
A相：1.580 ~ 1.596 kWh
B相：3.160 ~ 3.191 kWh
C相：4.739 ~ 4.787 kWh
系统：9.507 ~ 9.545 kWh
无功电能 Eq 取值（Eq+（感性））：
A相：0.912 ~ 0.921 kVARh
B相：1.824 ~ 1.842 kVARh
C相：2.736 ~ 2.764 kVARh
系统：5.489 ~ 5.511 kVARh
视在电能 Es 取值（各相独立计量）：
A相：1.824 ~ 1.842 kVAh
B相：3.648 ~ 3.685 kVAh
C相：5.489 ~ 5.511 kVAh
系统（各相之和）：10.978 ~ 11.022 kVAh</t>
  </si>
  <si>
    <t>Function_AC meter_007_01_case11</t>
  </si>
  <si>
    <t>CT选型RCT(500A)，3E4WY接线，输入ABC电压均为120V，(A&amp;B&amp;C相)电流为(400A、400A、400A)，电压角度分别为(0，240，120)，电流角度分别为(0，240，120)，AC meter上检查能量累计Ep、Eq、Es精度</t>
  </si>
  <si>
    <t>CT选型RCT(500A)，3E4WY接线</t>
  </si>
  <si>
    <t>1、连接AcuRev-100电表到Acuview2上，链接状态为connected
2、源输入(A&amp;B&amp;C相)电流均为4A，电压均为120V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</si>
  <si>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meter_007_01_case12</t>
  </si>
  <si>
    <t>CT选型RCT(1000A)，3E4WY接线，输入ABC电压均为100V，(A&amp;B&amp;C相)电流为(600A、600A、600A)，电压角度分别为(0，240，120)，电流角度分别为(0，240，120)，AC meter上检查能量累计Ep、Eq、Es精度</t>
  </si>
  <si>
    <t>CT选型RCT(1000A)，3E4WY接线</t>
  </si>
  <si>
    <t>1、连接AcuRev-100电表到Acuview2上，链接状态为connected
2、(A&amp;B&amp;C相)电流均为3A，电压均为100V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</si>
  <si>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Ep+脉冲（光脉冲）</t>
  </si>
  <si>
    <t>Function_AC meter_008_01_case1</t>
  </si>
  <si>
    <t>CT选型333mV(200A)，3E4WY接线，输入ABC电压均为120V，(A&amp;B&amp;C相)电流为(100A、100A、100A)，电压角度(0、240、120)，电流角度(30、270、150)，配置LED光脉冲常数50 imp/kWh，AC meter上检查Ep+能量脉冲精度</t>
  </si>
  <si>
    <t>1、连接AcuRev-100电表到Acuview2上，链接状态为connected
2、配置AC meter LED光能量脉冲输出常数为50 imp/kWh
3、源输入(A&amp;B&amp;C相)电流均为2.5A，电压均为120V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</si>
  <si>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（精度±0.2%，脉冲常数50 imp/kWh，累计时间T=10min，负载特性：C（容性））
计算依据：
  系统有功功率 P = 31176.91 W
  理论有功电能 E = 5.1962 kWh（T=10min）
  理论脉冲数   N = E × C = 259.81 个
实际脉冲计数 N 应满足（±0.2%）：
  259 ~ 261 个脉冲</t>
  </si>
  <si>
    <t>未生成：脉冲类需脉冲采集台架（规划accuracy_pulse引擎），台架接入后转换</t>
  </si>
  <si>
    <t>Ep+脉冲（电脉冲）</t>
  </si>
  <si>
    <t>Function_AC meter_008_01_case1_01</t>
  </si>
  <si>
    <t>CT选型333mV(200A)，3E4WY接线，输入ABC电压均为120V，(A&amp;B&amp;C相)电流为(100A、100A、100A)，电压角度(0、240、120)，电流角度(30、270、150)，配置电脉冲常数50 imp/kWh，AC meter上检查Ep+能量脉冲精度</t>
  </si>
  <si>
    <t>1、连接AcuRev-100电表到Acuview2上，链接状态为connected
2、配置AC meter电能量脉冲输出常数为50 imp/kWh
3、源输入(A&amp;B&amp;C相)电流均为2.5A，电压均为120V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</si>
  <si>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meter_008_01_case2</t>
  </si>
  <si>
    <t>CT选型333mV(400A)，3E4WY接线，输入ABC电压均为120V，(A&amp;B&amp;C相)电流为(200A、200A、200A)，电压角度(0，240，120)，电流角度(0，240，120)，LED光配置脉冲常数20 imp/kWh，AC meter上检查Ep+能量脉冲精度</t>
  </si>
  <si>
    <t>1、连接AcuRev-100电表到Acuview2上，链接状态为connected
2、配置AC meter LED光能量脉冲输出常数为20 imp/kWh
3、源输入(A&amp;B&amp;C相)电流均为2.5A，电压均为120V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</si>
  <si>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（精度±0.2%，脉冲常数20 imp/kWh，累计时间T=10min，负载特性：R）
计算依据：
  系统有功功率 P = 72000.00 W
  理论有功电能 E = 12.0000 kWh（T=10min）
  理论脉冲数   N = E × C = 240.00 个
实际脉冲计数 N 应满足（±0.2%）：
  240 ~ 240 个脉冲</t>
  </si>
  <si>
    <t>Function_AC meter_008_01_case3</t>
  </si>
  <si>
    <t>CT选型100mA(200A)，3E4WY接线，输入ABC电压均为120V，(A&amp;B&amp;C相)电流为(100A、100A、100A)，电压角度(0、240、120)，电流角度(30、270、150)，LED光配置脉冲常数50 imp/kWh，AC meter上检查Ep+能量脉冲精度</t>
  </si>
  <si>
    <t>1、连接AcuRev-100电表到Acuview2上，链接状态为connected
2、配置AC meter LED光能量脉冲输出常数为50 imp/kWh
3、源输入(A&amp;B&amp;C相)电流均为10A，电压均为120V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</si>
  <si>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meter_008_01_case3_.01</t>
  </si>
  <si>
    <t>CT选型80mA(200A)，3E4WY接线，输入ABC电压均为120V，(A&amp;B&amp;C相)电流为(100A、100A、100A)，电压角度(0、240、120)，电流角度(30、270、150)，LED光配置脉冲常数50 imp/kWh，AC meter上检查Ep+能量脉冲精度</t>
  </si>
  <si>
    <t>1、连接AcuRev-100电表到Acuview2上，链接状态为connected
2、配置AC meter LED光能量脉冲输出常数为50 imp/kWh
3、源输入(A&amp;B&amp;C相)电流均为8A，电压均为120V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</si>
  <si>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未生成：脉冲类需脉冲采集台架（规划accuracy_pulse引擎），台架接入后转换；且80mA CT无寄存器枚举映射，待固件确认</t>
  </si>
  <si>
    <t>Function_AC meter_008_01_case4</t>
  </si>
  <si>
    <t>CT选型100mA(400A)，3E4WY接线，输入ABC电压均为120V，(A&amp;B&amp;C相)电流为(200A、200A、200A)，电压角度(0，240，120)，电流角度(0，240，120)，LED光配置脉冲常数20 imp/kWh，AC meter上检查Ep+能量脉冲精度</t>
  </si>
  <si>
    <t>1、连接AcuRev-100电表到Acuview2上，链接状态为connected
2、配置AC meter LED光能量脉冲输出常数为20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</si>
  <si>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meter_008_01_case4_01</t>
  </si>
  <si>
    <t>CT选型100mA(400A)，3E4WY接线，输入ABC电压均为120V，(A&amp;B&amp;C相)电流为(200A、200A、200A)，电压角度(0，240，120)，电流角度(0，240，120)，电配置脉冲常数20 imp/kWh，AC meter上检查Ep+能量脉冲精度</t>
  </si>
  <si>
    <t>1、连接AcuRev-100电表到Acuview2上，链接状态为connected
2、配置AC meter 电能量脉冲输出常数为20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</si>
  <si>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meter_008_01_case5</t>
  </si>
  <si>
    <t>CT选型100mA(800A)，3E4WY接线，输入ABC电压均为120V，(A&amp;B&amp;C相)电流为(400A、400A、400A)，电压角度(0，240，120)，电流角度(0，240，120)，LED光配置脉冲常数10 imp/kWh，AC meter上检查Ep+能量脉冲精度</t>
  </si>
  <si>
    <t>1、连接AcuRev-100电表到Acuview2上，链接状态为connected
2、配置AC meter LED光能量脉冲输出常数为10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</si>
  <si>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（精度±0.2%，脉冲常数10 imp/kWh，累计时间T=10min，负载特性：R）
计算依据：
  系统有功功率 P = 144000.00 W
  理论有功电能 E = 24.0000 kWh（T=10min）
  理论脉冲数   N = E × C = 240.00 个
实际脉冲计数 N 应满足（±0.2%）：
  240 ~ 240 个脉冲</t>
  </si>
  <si>
    <t>Function_AC meter_008_01_case6</t>
  </si>
  <si>
    <t>CT选型100mA(1200A)，3E4WY接线，输入ABC电压均为100V，(A&amp;B&amp;C相)电流为(600A、600A、600A)，电压角度(0，240，120)，电流角度(0，240，120)，LED光配置脉冲常数10 imp/kWh，AC meter上检查Ep+能量脉冲精度</t>
  </si>
  <si>
    <t>1、连接AcuRev-100电表到Acuview2上，链接状态为connected
2、配置AC meter LED光能量脉冲输出常数为10 imp/kWh
3、源输入(A&amp;B&amp;C相)电流均为10A，电压均为100V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</si>
  <si>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（精度±0.2%，脉冲常数10 imp/kWh，累计时间T=10min，负载特性：R）
计算依据：
  系统有功功率 P = 180000.00 W
  理论有功电能 E = 30.0000 kWh（T=10min）
  理论脉冲数   N = E × C = 300.00 个
实际脉冲计数 N 应满足（±0.2%）：
  299 ~ 301 个脉冲</t>
  </si>
  <si>
    <t>Function_AC meter_008_01_case7</t>
  </si>
  <si>
    <t>CT选型RCT(500A)，3E4WY接线，输入ABC电压均为120V，(A&amp;B&amp;C相)电流为(400A、400A、400A)，电压角度(0，240，120)，电流角度(0，240，120)，LED光配置脉冲常数10 imp/kWh，AC meter上检查Ep+能量脉冲精度</t>
  </si>
  <si>
    <t>CT选型CT选型RCT(500A)，3E4WY接线</t>
  </si>
  <si>
    <t>1、连接AcuRev-100电表到Acuview2上，链接状态为connected
2、配置AC meter LED光能量脉冲输出常数为10 imp/kWh
3、源输入(A&amp;B&amp;C相)电流均为4A，电压均为120V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</si>
  <si>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未生成：脉冲类需脉冲采集台架（规划accuracy_pulse引擎），台架接入后转换；且RCT无寄存器枚举映射，待固件确认</t>
  </si>
  <si>
    <t>Function_AC meter_008_01_case8</t>
  </si>
  <si>
    <t>CT选型RCT(1000A)，3E4WY接线，输入ABC电压均为100V，(A&amp;B&amp;C相)电流为(600A、600A、600A)，电压角度(0，240，120)，电流角度(0，240，120)， LED光配置脉冲常数10 imp/kWh，AC meter上检查Ep+能量脉冲精度</t>
  </si>
  <si>
    <t>1、连接AcuRev-100电表到Acuview2上，链接状态为connected
2、配置AC meter LED光能量脉冲输出常数为10 imp/kWh
3、源输入(A&amp;B&amp;C相)电流均为3A，电压均为100V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</si>
  <si>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接线验证</t>
  </si>
  <si>
    <t>1E2W接线验证</t>
  </si>
  <si>
    <t>Function_AC meter_009_01_case1</t>
  </si>
  <si>
    <t>1E2W 接线方式， 上位机 realtime数据中“显示”符合接线方式中的显示规划</t>
  </si>
  <si>
    <t>1、连接AcuRev-100电表到Acuview2上，链接状态为connected
2、1E2W输电,上位机配1E2W接线，Va为120V, I_in1为100A，压流夹角0°。
3、 根据最新的接线方式说明书检查上位机上real-time页面显示
4、根据最新的接线方式说明书检查上位机上Energy页面显示</t>
  </si>
  <si>
    <t>3、 上位机上real-time显示与最新的接线方式说明书保持一致
4、 上位机Energy显示与最新的接线方式说明书保持一致</t>
  </si>
  <si>
    <t>Function_AC meter_009_01_case2</t>
  </si>
  <si>
    <t>1E2W 接线测量5分钟， 切换到2E3W1P接线方式，再次切换到1E2W 接线，检查HMI和上位机上能量是否全部被置为0, 电压电流测量正确</t>
  </si>
  <si>
    <t>1、连接AcuRev-100电表到Acuview2上，链接状态为connected
2、1E2W输电，上位机配1E2W接线，Va为120V, I_in1为80A，压流夹角0°。
3、检查上位机对应有功功率是否正确
4、测量5分钟
5、切换到2E3W1P接线方式，选择清除能量
6、检查上位机上能量是否测量参数全部置为0, 电压电流测量正确</t>
  </si>
  <si>
    <t>6、上位机上能量测量参数全部置为0, 电压电流测量正确</t>
  </si>
  <si>
    <t>已生成待调试：Acuview(当前debug版)未实现切接线时清/不清能量的选择功能(需求已确认存在)，skip存根已生成，待正式版发布后补切接线弹窗复合runner(含清/不清分支)+能量=0回读判据(2026-07-15)</t>
  </si>
  <si>
    <t>待调试：Acuview切接线清/不清能量选择功能未实现（需求已确认存在），待正式版发布后调试</t>
  </si>
  <si>
    <t>2E3W1P接线验证</t>
  </si>
  <si>
    <t>Function_AC meter_009_02_case1</t>
  </si>
  <si>
    <t>上位机配2E3W1P接线，压流夹角30°</t>
  </si>
  <si>
    <t>1、连接AcuRev-100电表到Acuview2上，链接状态为connected
2、上位机配2E3W1P接线，
2.1、检查上位机的默认配置是否为 Va、Vc
2.2、 Va、Vc配置为120V, A、C相电流分别为50A 和50A，压流夹角30°。
3、检查上位机中A、C相、系统对应功率是否正确，系统的PF是否等于0.866
4、检查系统的平均电流是否为50A。</t>
  </si>
  <si>
    <t>2.1、检查上位机的默认配置为 Va、Vc
3.上位机中A、C相、系统对应功率正确，系统的PF等于0.866
4、系统的平均电流为50A。</t>
  </si>
  <si>
    <t>Function_AC meter_009_02_case2</t>
  </si>
  <si>
    <t>上位机配2E3W1P接线， 系统功率数据是A、C相数据之和</t>
  </si>
  <si>
    <t>1、连接AcuRev-100电表到Acuview2上，链接状态为connected
2、上位机配2E3W1P接线，
2.1、检查上位机的默认配置是否为 Va、Vc
2.2、 Va、Vc配置为120V, A、C相电流分别为50A 和150A，压流夹角0°。
（Va/Vc角度0、180°，A、C相电流角度0/180°）
3.系统的平均电流是否为100A， PhaseA功率数据与PhaseC功率数据之和是否等于sys功率</t>
  </si>
  <si>
    <t>3.系统的平均电流为100A， PhaseA功率数据与PhaseC功率数据之和等于sys功率</t>
  </si>
  <si>
    <t>Function_AC meter_009_02_case3</t>
  </si>
  <si>
    <t>2E3W1P接线测量5分钟， 切换到1E2W接线方式，检查上位机上电压，电流，能量是否与1E2W接线方式测量数据保持一致，2E3W1P接线测量数据全部重置为0</t>
  </si>
  <si>
    <t>1、连接AcuRev-100电表到Acuview2上，链接状态为connected
2、上位机配2E3W1P接线
3、2E3W1P接线测量5分钟，切换到1E2W接线方式
4、检查能量是否被清0，上位机能量及real-time的数据显示是否同1E2W时一致
5、切回2E3W1P接线
6、Va、Vc配置为120V, A、C相电流分别为50A 和150A，压流夹角0°
7、系统的平均电流是否为100A，PhaseA功率数据与PhaseC功率数据之和是否等于sys功率</t>
  </si>
  <si>
    <t>4、能量被清0，上位机上电压、电流、功率与1E2W接线方式数据一致，源接线方式多出测量参数全部为”-“
7、系统的平均电流为100A，PhaseA功率数据与PhaseC功率数据之和等于sys功率</t>
  </si>
  <si>
    <t>Function_AC meter_009_02_case4</t>
  </si>
  <si>
    <t>2E3W1P接线配置，上位机 realtime数据中“显示”符合接线方式中的显示规划</t>
  </si>
  <si>
    <t>1、连接AcuRev-100电表到Acuview2上，链接状态为connected
2、上位机配2E3W1P接线，
2.1、检查上位机的默认配置是否为 Va、Vc
2.2、 Va、Vc配置为120V, A、C相电流分别为100A 和200A，压流夹角0°。
（Va/Vc角度0、180°，A、C相电流角度0/180°）
3、 根据最新的接线方式说明书检查上位机上real-time显示
4、 根据最新的接线方式说明书检查上位机上Energy显示</t>
  </si>
  <si>
    <t>3、 上位机上real-time显示与最新的接线方式说明书保持一致
4、 根据最新的接线方式说明书检查上位机上Energy显示保持一致</t>
  </si>
  <si>
    <t>Function_AC meter_009_02_case5</t>
  </si>
  <si>
    <t>2E3W1P接线配置，验证Va为0时，Vc 相的角度为0，，input的角度为0，电压电流测量正常，功率计算正确</t>
  </si>
  <si>
    <t>1、连接AcuRev-100电表到Acuview2上，链接状态为connected
2、上位机配2E3W1P接线，
2.1、检查上位机的默认配置是否为 Va、Vc
2.2、 Va、Vc配置为120V, A、C相电流分别为100A 和200A，压流夹角0°。
（Va/Vc角度0、180°，A、C相电流角度0/180°）
3、检查上位机数据是否正确
4、修改源上Va的幅值为0，检查Va的角度功率均为0、Ia幅值正常，角度功率均为0，Vc和Ic的角度为0，电压电流幅值以及功率维持之前的数值不受影响
5、 从源上关闭输入，再按照关闭前的配置直接打开输入
6、检查Va的角度功率均为0、Ia电流幅值正常，角度功率均为0，Vc和Ic的角度为0，电压电流幅值以及功率维持之前的数值不受影响</t>
  </si>
  <si>
    <t>2.1、检查上位机的默认配置为 Va、Vc
3、数据正确
4~6、 Va的角度功率均为0、Ia电流幅值正常，角度功率均为0，Vc和Ic的角度为0，电压电流幅值以及功率维持之前的数值不受影响</t>
  </si>
  <si>
    <t>不可自动化：要求Va=0（关源＝自供电表断电），本台面不可自动化；转手工或待外部供电方案</t>
  </si>
  <si>
    <t>3E4WY接线验证</t>
  </si>
  <si>
    <t>Function_AC meter_009_03_case1</t>
  </si>
  <si>
    <t>上位机配3E4WY接线，A\B\C三相电流分别配Va、Vb、Vc，压流角0°，对应功率正确</t>
  </si>
  <si>
    <t>1、连接AcuRev-100电表到Acuview2上，链接状态为connected
2、3E4WY输电，上位机配3E4WY接线，
3、 Va、Vb、Vc均为120V, I_in1~3均为50A 100A 150A，压流角0°
4、检查上位机上real-time数据是否正确</t>
  </si>
  <si>
    <t>4、检查上位机上real-time数据正确</t>
  </si>
  <si>
    <t>Function_AC meter_009_03_case2</t>
  </si>
  <si>
    <t>3E4WY接线测量5分钟， 切换到1E2W接线方式，再次切换到3E4WY接线，检查HMI和上位机上能量是否全部被置为0, 电压电流测量正确</t>
  </si>
  <si>
    <t>1、连接AcuRev-100电表到Acuview2上，链接状态为connected
2、3E4WY输电，上位机配3E4WY接线，Va、Vb、Vc均为120V, I_in1~3均为100A，压流夹角0°，Va、Vb、Vc相角为(0°、120°、240°)。
3、上位机上input1~3配置电压Va、Vb、Vc
4、测量5分钟
5、切换到1E2W接线方式，选择能量不清0
6、立即切换到3E4WY接线方式，选择能量清0
7、检查上位机上能量是否测量参数全部置为0, 电压电流测量正确</t>
  </si>
  <si>
    <t>5、切换后能量未被清掉
7、检查上位机上能量是否测量参数全部置为0, 电压电流测量正确</t>
  </si>
  <si>
    <t>已生成待调试：Acuview(当前debug版)未实现切接线时清/不清能量的选择功能(需求已确认存在)，skip存根已生成，待正式版发布后补弹窗清/不清两分支runner+能量回读判据(2026-07-15；修正此前误标的已调试通过)</t>
  </si>
  <si>
    <t>Function_AC meter_009_03_case3</t>
  </si>
  <si>
    <t>3E4WY接线配置，上位机 realtime数据中“显示”符合接线方式中的显示规划</t>
  </si>
  <si>
    <t>1、连接AcuRev-100电表到Acuview2上，链接状态为connected
2、3E4WY输电，上位机配3E4WY接线，Va、Vb、Vc均为120V, I_in1~3均为200A，压流夹角0°，Va、Vb、Vc相角为(0°、120°、240°)。
3、上位机上input1~3配置电压Va、Vb、Vc
5、上位机上user1添加3路input
6、 根据最新的接线方式说明书检查上位机上real-time显示
7、  根据最新的接线方式说明书检查上位机上Energy显示、</t>
  </si>
  <si>
    <t>6、 上位机上real-time显示与最新的接线方式说明书保持一致
7、根据最新的接线方式说明书检查上位机上Energy显示保持一致</t>
  </si>
  <si>
    <t>Function_AC meter_009_03_case4</t>
  </si>
  <si>
    <t>3E4WY 接线配置，验证Va为0时，Vb、Vc相的角度为0，input的角度为0，电压电流测量正常，功率计算正确</t>
  </si>
  <si>
    <t>1、连接AcuRev-100电表到Acuview2上，链接状态为connected
2、3E4WY输电，上位机配3E4WY接线，
3、user1配置三路负载， Va、Vb、Vc均为120V, I_in1~3均为30A 40A 50A，压流角0°
4、修改Ua 幅值为0，检查Va的角度功率为0、input1电流幅值正常，角度功率均为0，Vb、Vc和Input2的角度为0，电压电流幅值以及功率维持之前的数值不受影响
5、 从源上关闭输入，再按照关闭前的配置直接打开输入
6、 检查Vb的角度功率为0、input1电流幅值正常，角度功率均为0，Vb、Vc和Input2的角度为0，电压电流幅值以及功率维持之前的数值不受影响</t>
  </si>
  <si>
    <t xml:space="preserve">4\6、Vb的角度功率为0、input1电流幅值正常，角度功率均为0，Vb、Vc和Input2的角度为0，电压电流幅值以及功率维持之前的数值不受影响
</t>
  </si>
  <si>
    <t>上位机user and ct 配置</t>
  </si>
  <si>
    <t>Function_AC meter_009_03_case5</t>
  </si>
  <si>
    <t>上位机setting的Current&amp;Wiring界面，修改CT Type与CT Primary（5-2000A连续可配）</t>
  </si>
  <si>
    <t>1、连接AcuRev-100电表到Acuview2上，链接状态为connected
2、上位机setting的Current&amp;Wiring界面，遍历选择CT Type（333mV、100mA、RCT），逐项保存并回读
3、CT Primary分别写入5（下限）、250（任意值）、2000（上限），逐次保存并回读
4、恢复CT Primary=1000（默认值）并回读</t>
  </si>
  <si>
    <t>2、CT Type可选333mV/100mA/RCT，写入后回读一致（RCT选配型号为RCT16-200/500/1000或RCT24-200/500/1000）
3、CT Primary在5-2000A连续范围内任意值均写入成功，回读与写入一致（非固定档位下拉；333mV/100mA/RCT均适用，依据PRS §3.2.4/§5.2、地址表Range=5-2000）
4、回读=1000，还原成功</t>
  </si>
  <si>
    <t>已生成待调试：待Tesseract OCR(下拉)+CT Type寄存器枚举真机确认后启用(skip存根；用例已按5-2000A连续范围重写转换)</t>
  </si>
  <si>
    <t>待调试：CT Type下拉需OCR+寄存器枚举真机确认后调试</t>
  </si>
  <si>
    <t>Function_AC meter_009_03_case6</t>
  </si>
  <si>
    <t>上位机setting的Current&amp;Wiring界面，CT Primary越界值写入被拒绝</t>
  </si>
  <si>
    <t>1、连接AcuRev-100电表到Acuview2上，链接状态为connected
2、上位机setting的Current&amp;Wiring界面，CT Primary分别写入4（低于下限5）、2001（高于上限2000）、-1（负数）、abc（非数字）、空值，逐次尝试保存
3、每次尝试后经Modbus回读channel1~3 input CT Primary寄存器（0x104A/0x104E/0x1052）
4、恢复CT Primary=1000（默认值）并回读</t>
  </si>
  <si>
    <t>2、全部越界/非法值写入被拒绝或阻止保存，上位机有报错提示
3、Modbus回读值保持原值不变
4、回读=1000，还原成功</t>
  </si>
  <si>
    <t>已调试/通过: CT Primary越界拒绝核心功能全过(5个非法值4/2001/-1/abc/空均被拒,4170保持合法值); 还原目标1000与被004 mV用例改写的基线200不符属连带,非设备故障(2026-07-16裁定判通过)</t>
  </si>
  <si>
    <t>通过</t>
  </si>
  <si>
    <t>接线检查</t>
  </si>
  <si>
    <t>正常接线基准</t>
  </si>
  <si>
    <t>Function_AC meter_010_07_case1</t>
  </si>
  <si>
    <t>1E2W 正常接线基准：无告警且不检测相序</t>
  </si>
  <si>
    <t>1、Acuview2上位机（RS-485，Modbus RTU）
2、可程控三相功率源
3、AcuRev-100电表
4、接线检查功能已启用（默认启用）
5、Dip Switch 处于解锁状态（允许接线配置写入）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</si>
  <si>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</si>
  <si>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2（1E2W 不检测相序）；LED 绿色（MANUAL 目视）</t>
  </si>
  <si>
    <t>Function_AC meter_010_07_case2</t>
  </si>
  <si>
    <t>2E3W1P 正常接线基准：无告警且不检测相序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</si>
  <si>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</si>
  <si>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2（2E3W1P 不检测相序）；LED 绿色（MANUAL 目视）</t>
  </si>
  <si>
    <t>Function_AC meter_010_07_case3</t>
  </si>
  <si>
    <t>3E4WY-ABC 正常接线基准：无告警且相序判定为 ABC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</si>
  <si>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</si>
  <si>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0（ABC）与配置一致，不报相序配置错误；LED 绿色（MANUAL 目视）</t>
  </si>
  <si>
    <t>[2026-07-16] 已调试（3E4WY组38条实跑：源故障注入/开关触发/错误码位断言全链路通，5A电流档零源过载；判定被ADC阻塞。010_10_case17/010_12_case4 的PASS为死表默认读数巧合，无判别力）
已调试</t>
  </si>
  <si>
    <t>未通过（ADC读数为0：错误码恒0x0000、phaseOrder恒2，预期bug，换板复跑）</t>
  </si>
  <si>
    <t>未通过</t>
  </si>
  <si>
    <t>Function_AC meter_010_07_case4</t>
  </si>
  <si>
    <t>3E4WY-ACB 正常接线基准：无告警且相序判定为 ACB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</si>
  <si>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</si>
  <si>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1（ACB）与配置一致，不报相序配置错误；LED 绿色（MANUAL 目视）</t>
  </si>
  <si>
    <t>1E2W判据</t>
  </si>
  <si>
    <t>Function_AC meter_010_08_case1</t>
  </si>
  <si>
    <t>1E2W 条件1：Van&lt;10V 触发 Va 接线缺失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</si>
  <si>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修改程控源输出：ua=5V（Van&lt;10V。注意：Va/Vn 为供电端子，标准环境下表将断电，需独立辅助供电维持表运行后方可执行本步）；关→开接线检查开关触发立即检测（或等待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</si>
  <si>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Va 接线缺失（条件1）；LED 红色闪烁（MANUAL 目视，不计入自动断言）
6. 告警清除，接线检查结果恢复全部正常，LED 恢复绿色（MANUAL 目视）</t>
  </si>
  <si>
    <t>待人工执行（标否：判据要求 Van&lt;10V 与自供电冲突，需辅助供电改造后人工执行；2026-07-16 清理此前误标的已调试）</t>
  </si>
  <si>
    <t>Function_AC meter_010_08_case2</t>
  </si>
  <si>
    <t>1E2W 条件2：Ia_rms&lt;0.1 触发 Ia 接线缺失且跳过反向判定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</si>
  <si>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修改程控源输出：ia=0A（表侧 Ia_rms&lt;0.1）；关→开接线检查开关触发立即检测（或等待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</si>
  <si>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接线缺失（条件2）；不执行条件3，不报 Ia 正负反向；LED 红色闪烁（MANUAL 目视，不计入自动断言）
6. 告警清除，接线检查结果恢复全部正常，LED 恢复绿色（MANUAL 目视）</t>
  </si>
  <si>
    <t>Function_AC meter_010_08_case3</t>
  </si>
  <si>
    <t>1E2W 条件3：pf_A∈[-1,-0.9] 触发 Ia 正负反向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</si>
  <si>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修改程控源输出：qia=180°（pf_A=cos(0°-180°)=-1∈[-1,-0.9]），ia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</si>
  <si>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Ia 正负反向（条件3）；无缺相/缺流告警（条件1/2 不触发是判定前提）；LED 红色闪烁（MANUAL 目视，不计入自动断言）
6. 告警清除，接线检查结果恢复全部正常，LED 恢复绿色（MANUAL 目视）</t>
  </si>
  <si>
    <t>2E3W1P判据</t>
  </si>
  <si>
    <t>Function_AC meter_010_09_case1</t>
  </si>
  <si>
    <t>2E3W1P 条件1：Va&amp;Vc 双相缺失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</si>
  <si>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 且 uc=5V（Van&lt;10V 且 Vcn&lt;10V。ua&lt;10V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</si>
  <si>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Vc 接线缺失（条件1）；跳过条件2-5，不报单相缺失/反接；LED 红色闪烁（MANUAL 目视，不计入自动断言）
6. 告警清除，接线检查结果恢复全部正常，LED 恢复绿色（MANUAL 目视）</t>
  </si>
  <si>
    <t>Function_AC meter_010_09_case2</t>
  </si>
  <si>
    <t>2E3W1P 条件2：Va 单相缺失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</si>
  <si>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修改程控源输出：ua=5V（Van&lt;10V，uc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</si>
  <si>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接线缺失（条件2）；跳过条件3-5；LED 红色闪烁（MANUAL 目视，不计入自动断言）
6. 告警清除，接线检查结果恢复全部正常，LED 恢复绿色（MANUAL 目视）</t>
  </si>
  <si>
    <t>Function_AC meter_010_09_case3</t>
  </si>
  <si>
    <t>2E3W1P 条件3：Vc 单相缺失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</si>
  <si>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修改程控源输出：uc=5V（Vcn&lt;10V，ua 保持 220V 供电正常）；关→开接线检查开关触发立即检测（或等待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</si>
  <si>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Vc 接线缺失（条件3）；跳过条件4-5，不报反接；LED 红色闪烁（MANUAL 目视，不计入自动断言）
6. 告警清除，接线检查结果恢复全部正常，LED 恢复绿色（MANUAL 目视）</t>
  </si>
  <si>
    <t>Function_AC meter_010_09_case4</t>
  </si>
  <si>
    <t>2E3W1P 条件4：Vcn/Van≥1.4 触发 Va-Vn 反接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</si>
  <si>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修改程控源输出：ua=150V，uc=220V（Vcn/Van=1.467≥1.4；ua=150V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</si>
  <si>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Va-Vn 反接（条件4）；跳过条件5，不报 Vc-Vn 反接；LED 红色闪烁（MANUAL 目视，不计入自动断言）
6. 告警清除，接线检查结果恢复全部正常，LED 恢复绿色（MANUAL 目视）</t>
  </si>
  <si>
    <t>Function_AC meter_010_09_case5</t>
  </si>
  <si>
    <t>2E3W1P 条件5：Van/Vcn≥1.4 触发 Vc-Vn 反接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</si>
  <si>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修改程控源输出：ua=220V，uc=150V（Van/Vcn=1.467≥1.4），相角不变；关→开接线检查开关触发立即检测（或等待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</si>
  <si>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Vc-Vn 反接（条件5，末条）；LED 红色闪烁（MANUAL 目视，不计入自动断言）
6. 告警清除，接线检查结果恢复全部正常，LED 恢复绿色（MANUAL 目视）</t>
  </si>
  <si>
    <t>Function_AC meter_010_09_case6</t>
  </si>
  <si>
    <t>2E3W1P 条件6：Ia_rms&lt;0.1 触发 Ia 缺失且跳过 Ia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</si>
  <si>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修改程控源输出：ia=0A（Ia_rms&lt;0.1，ic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</si>
  <si>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接线缺失（条件6）；跳过条件8，不报 Ia 反向；Ic 检测不受影响；LED 红色闪烁（MANUAL 目视，不计入自动断言）
6. 告警清除，接线检查结果恢复全部正常，LED 恢复绿色（MANUAL 目视）</t>
  </si>
  <si>
    <t>Function_AC meter_010_09_case7</t>
  </si>
  <si>
    <t>2E3W1P 条件7：Ic_rms&lt;0.1 触发 Ic 缺失且跳过 Ic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</si>
  <si>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修改程控源输出：ic=0A（Ic_rms&lt;0.1，ia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</si>
  <si>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接线缺失（条件7）；跳过条件9，不报 Ic 反向；Ia 检测不受影响；LED 红色闪烁（MANUAL 目视，不计入自动断言）
6. 告警清除，接线检查结果恢复全部正常，LED 恢复绿色（MANUAL 目视）</t>
  </si>
  <si>
    <t>Function_AC meter_010_09_case8</t>
  </si>
  <si>
    <t>2E3W1P 条件8：pf_A∈[-1,-0.9] 触发 Ia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</si>
  <si>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</si>
  <si>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正负反向（条件8）；Ic 无告警；LED 红色闪烁（MANUAL 目视，不计入自动断言）
6. 告警清除，接线检查结果恢复全部正常，LED 恢复绿色（MANUAL 目视）</t>
  </si>
  <si>
    <t>Function_AC meter_010_09_case9</t>
  </si>
  <si>
    <t>2E3W1P 条件9：pf_C∈[-1,-0.9] 触发 Ic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</si>
  <si>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修改程控源输出：qic=0°（∠Vc=180°，pf_C=cos(180°-0°)=-1），ic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</si>
  <si>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正负反向（条件9）；Ia 无告警；LED 红色闪烁（MANUAL 目视，不计入自动断言）
6. 告警清除，接线检查结果恢复全部正常，LED 恢复绿色（MANUAL 目视）</t>
  </si>
  <si>
    <t>3E4WY电压判据</t>
  </si>
  <si>
    <t>Function_AC meter_010_10_case1</t>
  </si>
  <si>
    <t>3E4WY 条件1：三相电压全缺失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</si>
  <si>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修改程控源输出：ua=ub=uc=5V（三相 VLN 均&lt;10V。ua&lt;10V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</si>
  <si>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&amp; Vc 接线缺失（条件1）；跳过条件2-13；LED 红色闪烁（MANUAL 目视，不计入自动断言）
6. 告警清除，接线检查结果恢复全部正常，LED 恢复绿色（MANUAL 目视）</t>
  </si>
  <si>
    <t>Function_AC meter_010_10_case2</t>
  </si>
  <si>
    <t>3E4WY 条件2：Va&amp;Vb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</si>
  <si>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ub=5V（uc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</si>
  <si>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接线缺失（条件2）；跳过条件3-13；LED 红色闪烁（MANUAL 目视，不计入自动断言）
6. 告警清除，接线检查结果恢复全部正常，LED 恢复绿色（MANUAL 目视）</t>
  </si>
  <si>
    <t>Function_AC meter_010_10_case3</t>
  </si>
  <si>
    <t>3E4WY 条件3：Vb&amp;Vc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</si>
  <si>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 且 uc=5V（ua 保持 220V 供电正常）；关→开接线检查开关触发立即检测（或等待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</si>
  <si>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Vb &amp; Vc 接线缺失（条件3）；跳过条件4-13，不报单相缺失；LED 红色闪烁（MANUAL 目视，不计入自动断言）
6. 告警清除，接线检查结果恢复全部正常，LED 恢复绿色（MANUAL 目视）</t>
  </si>
  <si>
    <t>Function_AC meter_010_10_case4</t>
  </si>
  <si>
    <t>3E4WY 条件4：Va&amp;Vc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</si>
  <si>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uc=5V（ub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</si>
  <si>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Vc 接线缺失（条件4）；跳过条件5-13；LED 红色闪烁（MANUAL 目视，不计入自动断言）
6. 告警清除，接线检查结果恢复全部正常，LED 恢复绿色（MANUAL 目视）</t>
  </si>
  <si>
    <t>Function_AC meter_010_10_case5</t>
  </si>
  <si>
    <t>3E4WY 条件5：Va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</si>
  <si>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修改程控源输出：ua=5V（ub=uc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</si>
  <si>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接线缺失（条件5）；跳过条件6-13；LED 红色闪烁（MANUAL 目视，不计入自动断言）
6. 告警清除，接线检查结果恢复全部正常，LED 恢复绿色（MANUAL 目视）</t>
  </si>
  <si>
    <t>Function_AC meter_010_10_case6</t>
  </si>
  <si>
    <t>3E4WY 条件6：Vb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</si>
  <si>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修改程控源输出：ub=5V（ua=uc 保持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</si>
  <si>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Vb 接线缺失（条件6）；跳过条件7-13；LED 红色闪烁（MANUAL 目视，不计入自动断言）
6. 告警清除，接线检查结果恢复全部正常，LED 恢复绿色（MANUAL 目视）</t>
  </si>
  <si>
    <t>Function_AC meter_010_10_case7</t>
  </si>
  <si>
    <t>3E4WY 条件7：Vc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</si>
  <si>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修改程控源输出：uc=5V（ua=ub 保持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</si>
  <si>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Vc 接线缺失（条件7）；跳过条件8-13；LED 红色闪烁（MANUAL 目视，不计入自动断言）
6. 告警清除，接线检查结果恢复全部正常，LED 恢复绿色（MANUAL 目视）</t>
  </si>
  <si>
    <t>Function_AC meter_010_10_case8</t>
  </si>
  <si>
    <t>3E4WY 条件8：Vbn/Van 与 Vcn/Van 均≥1.3 触发 Va-Vn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</si>
  <si>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修改程控源输出：ua=150V（ub=uc 保持 220V，Vbn/Van=Vcn/Van=1.467≥1.3；ua=150V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</si>
  <si>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Va-Vn 反接（条件8）；跳过条件9-13，不报相位/相序错误；LED 红色闪烁（MANUAL 目视，不计入自动断言）
6. 告警清除，接线检查结果恢复全部正常，LED 恢复绿色（MANUAL 目视）</t>
  </si>
  <si>
    <t>Function_AC meter_010_10_case9</t>
  </si>
  <si>
    <t>3E4WY 条件9：Van/Vbn 与 Vcn/Vbn 均≥1.3 触发 Vb-Vn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</si>
  <si>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修改程控源输出：ub=150V（ua=uc 保持 220V，Van/Vbn=Vcn/Vbn=1.467≥1.3），相角不变；关→开接线检查开关触发立即检测（或等待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</si>
  <si>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Vb-Vn 反接（条件9）；跳过条件10-13；LED 红色闪烁（MANUAL 目视，不计入自动断言）
6. 告警清除，接线检查结果恢复全部正常，LED 恢复绿色（MANUAL 目视）</t>
  </si>
  <si>
    <t>Function_AC meter_010_10_case10</t>
  </si>
  <si>
    <t>3E4WY 条件10：Van/Vcn 与 Vbn/Vcn 均≥1.3 触发 Vc-Vn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</si>
  <si>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修改程控源输出：uc=150V（ua=ub 保持 220V，Van/Vcn=Vbn/Vcn=1.467≥1.3），相角不变；关→开接线检查开关触发立即检测（或等待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</si>
  <si>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Vc-Vn 反接（条件10）；跳过条件11-13；LED 红色闪烁（MANUAL 目视，不计入自动断言）
6. 告警清除，接线检查结果恢复全部正常，LED 恢复绿色（MANUAL 目视）</t>
  </si>
  <si>
    <t>Function_AC meter_010_10_case11</t>
  </si>
  <si>
    <t>3E4WY-ABC 条件11：∠Vb∉[240°±20°] 触发 Vb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</si>
  <si>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修改程控源输出：qub=200°（∉[220°,260°]，留 20° 裕度；幅值全 220V，电流角不变）；关→开接线检查开关触发立即检测（或等待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</si>
  <si>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相位错误（条件11）；相序算法因 ∠Vb 出窗判不出相序，voltagePhaseOrder=2，但输出 2 不参与条件13 比较，不报相序配置错误（已裁定 2026-07-14）；条件12 不报；pf_B=cos(200°-240°)=0.766 不落电流告警窗，无电流告警；LED 红色闪烁（MANUAL 目视，不计入自动断言）
6. 告警清除，接线检查结果恢复全部正常，LED 恢复绿色（MANUAL 目视）</t>
  </si>
  <si>
    <t>Function_AC meter_010_10_case12</t>
  </si>
  <si>
    <t>3E4WY-ACB 条件11：∠Vb∉[120°±20°] 触发 Vb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</si>
  <si>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修改程控源输出：qub=80°（∉[100°,140°]；幅值全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</si>
  <si>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相位错误（条件11，ACB 窗口）；voltagePhaseOrder=2 不参与条件13 比较，不报相序配置错误；条件12 不报；LED 红色闪烁（MANUAL 目视，不计入自动断言）
6. 告警清除，接线检查结果恢复全部正常，LED 恢复绿色（MANUAL 目视）</t>
  </si>
  <si>
    <t>Function_AC meter_010_10_case13</t>
  </si>
  <si>
    <t>3E4WY-ABC 条件12：∠Vc∉[120°±20°] 触发 Vc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</si>
  <si>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修改程控源输出：quc=160°（∉[100°,140°]；幅值全 220V，qub 保持 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</si>
  <si>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相位错误（条件12）；voltagePhaseOrder=2 不参与条件13 比较，不报相序配置错误；条件11 不报；LED 红色闪烁（MANUAL 目视，不计入自动断言）
6. 告警清除，接线检查结果恢复全部正常，LED 恢复绿色（MANUAL 目视）</t>
  </si>
  <si>
    <t>Function_AC meter_010_10_case14</t>
  </si>
  <si>
    <t>3E4WY-ACB 条件12：∠Vc∉[240°±20°] 触发 Vc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</si>
  <si>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修改程控源输出：quc=280°（∉[220°,260°]；幅值全 220V，qub 保持 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</si>
  <si>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相位错误（条件12，ACB 窗口）；voltagePhaseOrder=2 不参与条件13 比较，不报相序配置错误；条件11 不报；LED 红色闪烁（MANUAL 目视，不计入自动断言）
6. 告警清除，接线检查结果恢复全部正常，LED 恢复绿色（MANUAL 目视）</t>
  </si>
  <si>
    <t>Function_AC meter_010_10_case15</t>
  </si>
  <si>
    <t>3E4WY 条件13：源出 ABC 而表配置 ACB 触发相序配置错误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</si>
  <si>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修改程控源输出：源改为 ABC 正相序：qua=0°/qub=240°/quc=120°（幅值 220V 对称，电流角同步 qia=0°/qib=240°/qic=120°）；关→开接线检查开关触发立即检测（或等待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</si>
  <si>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voltagePhaseOrder=0≠配置1，输出 0/1 参与比较）；因相位窗随 ACB 配置切换，∠Vb=240°∉[100°,140°]、∠Vc=120°∉[220°,260°]，条件11/12 同时上报；LED 红色闪烁（MANUAL 目视，不计入自动断言）
6. 告警清除，接线检查结果恢复全部正常，LED 恢复绿色（MANUAL 目视）</t>
  </si>
  <si>
    <t>Function_AC meter_010_10_case16</t>
  </si>
  <si>
    <t>3E4WY 条件13：源出 ACB 而表配置 ABC 触发相序配置错误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</si>
  <si>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修改程控源输出：源改为 ACB 负相序：qua=0°/qub=120°/quc=240°（幅值 220V 对称，电流角同步 qia=0°/qib=120°/qic=240°）；关→开接线检查开关触发立即检测（或等待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</si>
  <si>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voltagePhaseOrder=1≠配置0）；∠Vb=120°∉[220°,260°]、∠Vc=240°∉[100°,140°]，条件11/12 同时上报；LED 红色闪烁（MANUAL 目视，不计入自动断言）
6. 告警清除，接线检查结果恢复全部正常，LED 恢复绿色（MANUAL 目视）</t>
  </si>
  <si>
    <t>Function_AC meter_010_10_case17</t>
  </si>
  <si>
    <t>3E4WY 幅值不对称致相序不可判定时不误报相序配置错误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</si>
  <si>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修改程控源输出：uc=180V（ua=ub 保持 220V，角度全部正常保持基准）；关→开接线检查开关触发立即检测（或等待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</si>
  <si>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无任何接线告警：三相均&gt;10V 但 uc 偏差 26.67V &gt; 平均值 206.67V×10%，相序算法 Step2 对称性失败输出 voltagePhaseOrder=2；输出 2 不参与条件13 比较，不报相序配置错误（已裁定 2026-07-14）；条件11/12 不报（角度在窗内）；无缺失/反接（Van/Vcn=1.22&lt;1.3）；LED 红色闪烁（MANUAL 目视，不计入自动断言）
6. 告警清除，接线检查结果恢复全部正常，LED 恢复绿色（MANUAL 目视）</t>
  </si>
  <si>
    <t>3E4WY电流判据</t>
  </si>
  <si>
    <t>Function_AC meter_010_11_case1</t>
  </si>
  <si>
    <t>3E4WY 条件14：Ia_rms&lt;0.1 触发 Ia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</si>
  <si>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修改程控源输出：ia=0A（ib=ic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</si>
  <si>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接线缺失（条件14）；跳过条件17/20/21；Ib/Ic 检测不受影响，无其他告警；LED 红色闪烁（MANUAL 目视，不计入自动断言）
6. 告警清除，接线检查结果恢复全部正常，LED 恢复绿色（MANUAL 目视）</t>
  </si>
  <si>
    <t>Function_AC meter_010_11_case2</t>
  </si>
  <si>
    <t>3E4WY 条件15：Ib_rms&lt;0.1 触发 Ib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</si>
  <si>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修改程控源输出：ib=0A（ia=ic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</si>
  <si>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接线缺失（条件15）；跳过条件18/20/22；LED 红色闪烁（MANUAL 目视，不计入自动断言）
6. 告警清除，接线检查结果恢复全部正常，LED 恢复绿色（MANUAL 目视）</t>
  </si>
  <si>
    <t>Function_AC meter_010_11_case3</t>
  </si>
  <si>
    <t>3E4WY 条件16：Ic_rms&lt;0.1 触发 Ic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</si>
  <si>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修改程控源输出：ic=0A（ia=ib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</si>
  <si>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接线缺失（条件16）；跳过条件19/21/22；LED 红色闪烁（MANUAL 目视，不计入自动断言）
6. 告警清除，接线检查结果恢复全部正常，LED 恢复绿色（MANUAL 目视）</t>
  </si>
  <si>
    <t>Function_AC meter_010_11_case4</t>
  </si>
  <si>
    <t>3E4WY 条件17：pf_A∈[-1,-0.9] 触发 Ia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</si>
  <si>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</si>
  <si>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正负反向（条件17）；pf=-1 不落互错窗 -0.5±10%，条件20/21 不报；LED 红色闪烁（MANUAL 目视，不计入自动断言）
6. 告警清除，接线检查结果恢复全部正常，LED 恢复绿色（MANUAL 目视）</t>
  </si>
  <si>
    <t>Function_AC meter_010_11_case5</t>
  </si>
  <si>
    <t>3E4WY 条件18：pf_B∈[-1,-0.9] 触发 Ib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</si>
  <si>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修改程控源输出：qib=60°（pf_B=cos(240°-60°)=-1），ib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</si>
  <si>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正负反向（条件18）；条件20/22 不报；LED 红色闪烁（MANUAL 目视，不计入自动断言）
6. 告警清除，接线检查结果恢复全部正常，LED 恢复绿色（MANUAL 目视）</t>
  </si>
  <si>
    <t>Function_AC meter_010_11_case6</t>
  </si>
  <si>
    <t>3E4WY 条件19：pf_C∈[-1,-0.9] 触发 Ic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</si>
  <si>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修改程控源输出：qic=300°（pf_C=cos(120°-300°)=-1），ic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</si>
  <si>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正负反向（条件19）；条件21/22 不报；LED 红色闪烁（MANUAL 目视，不计入自动断言）
6. 告警清除，接线检查结果恢复全部正常，LED 恢复绿色（MANUAL 目视）</t>
  </si>
  <si>
    <t>Function_AC meter_010_11_case7</t>
  </si>
  <si>
    <t>3E4WY-ABC 条件20：Ia 与 Ib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</si>
  <si>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修改程控源输出：qia=240°、qib=0°（模拟 Ia/Ib CT 引线互换：Ia 通道读到原 B 相电流、Ib 通道读到原 A 相电流），qic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</si>
  <si>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反接（条件20）：pf_A=cos(0°-240°)=-0.5 且 Q_A=+0.866&gt;0，pf_B=cos(240°-0°)=-0.5 且 Q_B=-0.866&lt;0，均落判据窗；pf_C=1 正常，条件21/22 及反向条件不报；LED 红色闪烁（MANUAL 目视，不计入自动断言）
6. 告警清除，接线检查结果恢复全部正常，LED 恢复绿色（MANUAL 目视）</t>
  </si>
  <si>
    <t>Function_AC meter_010_11_case8</t>
  </si>
  <si>
    <t>3E4WY-ACB 条件20：Ia 与 Ib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</si>
  <si>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修改程控源输出：qia=120°、qib=0°（Ia/Ib 互换），qic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</si>
  <si>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反接（条件20，ACB 判据）：pf_A=-0.5 且 Q_A=-0.866&lt;0，pf_B=-0.5 且 Q_B=+0.866&gt;0，符合 ACB 侧 Q 符号要求；LED 红色闪烁（MANUAL 目视，不计入自动断言）
6. 告警清除，接线检查结果恢复全部正常，LED 恢复绿色（MANUAL 目视）</t>
  </si>
  <si>
    <t>Function_AC meter_010_11_case9</t>
  </si>
  <si>
    <t>3E4WY-ABC 条件21：Ia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</si>
  <si>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修改程控源输出：qia=120°、qic=0°（Ia/Ic 互换），qib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</si>
  <si>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反接（条件21）：pf_A=-0.5 且 Q_A=-0.866&lt;0，pf_C=-0.5 且 Q_C=+0.866&gt;0；pf_B=1 正常，条件20/22 不报；LED 红色闪烁（MANUAL 目视，不计入自动断言）
6. 告警清除，接线检查结果恢复全部正常，LED 恢复绿色（MANUAL 目视）</t>
  </si>
  <si>
    <t>Function_AC meter_010_11_case10</t>
  </si>
  <si>
    <t>3E4WY-ACB 条件21：Ia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</si>
  <si>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修改程控源输出：qia=240°、qic=0°（Ia/Ic 互换），qib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</si>
  <si>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反接（条件21，ACB 判据）：pf_A=-0.5 且 Q_A=+0.866&gt;0，pf_C=-0.5 且 Q_C=-0.866&lt;0；LED 红色闪烁（MANUAL 目视，不计入自动断言）
6. 告警清除，接线检查结果恢复全部正常，LED 恢复绿色（MANUAL 目视）</t>
  </si>
  <si>
    <t>Function_AC meter_010_11_case11</t>
  </si>
  <si>
    <t>3E4WY-ABC 条件22：Ib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</si>
  <si>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修改程控源输出：qib=120°、qic=240°（Ib/Ic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</si>
  <si>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反接（条件22）：pf_B=cos(240°-120°)=-0.5 且 Q_B=+0.866&gt;0，pf_C=cos(120°-240°)=-0.5 且 Q_C=-0.866&lt;0；pf_A=1 正常，条件20/21 不报；LED 红色闪烁（MANUAL 目视，不计入自动断言）
6. 告警清除，接线检查结果恢复全部正常，LED 恢复绿色（MANUAL 目视）</t>
  </si>
  <si>
    <t>Function_AC meter_010_11_case12</t>
  </si>
  <si>
    <t>3E4WY-ACB 条件22：Ib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</si>
  <si>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修改程控源输出：qib=240°、qic=120°（Ib/Ic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</si>
  <si>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反接（条件22，ACB 判据）：pf_B=-0.5 且 Q_B=-0.866&lt;0，pf_C=-0.5 且 Q_C=+0.866&gt;0；LED 红色闪烁（MANUAL 目视，不计入自动断言）
6. 告警清除，接线检查结果恢复全部正常，LED 恢复绿色（MANUAL 目视）</t>
  </si>
  <si>
    <t>相序检查方法</t>
  </si>
  <si>
    <t>Function_AC meter_010_12_case1</t>
  </si>
  <si>
    <t>3E4WY 输入 ABC 正相序，voltagePhaseOrder=0</t>
  </si>
  <si>
    <t>3. voltagePhaseOrder = 0（ABC）：Step1 三相均&gt;10V 通过，Step2 对称性通过，Step3 命中 ∠Vb∈[240°±20°] 且 ∠Vc∈[120°±20°]；无相序配置错误告警；LED 绿色（MANUAL 目视）</t>
  </si>
  <si>
    <t>Function_AC meter_010_12_case2</t>
  </si>
  <si>
    <t>3E4WY 输入 ACB 负相序，voltagePhaseOrder=1</t>
  </si>
  <si>
    <t>3. voltagePhaseOrder = 1（ACB）：Step3 命中 ∠Vb∈[120°±20°] 且 ∠Vc∈[240°±20°]；配置=ACB 一致，无相序配置错误告警；LED 绿色（MANUAL 目视）</t>
  </si>
  <si>
    <t>Function_AC meter_010_12_case3</t>
  </si>
  <si>
    <t>相序算法 Step1 电压有效性不满足输出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</si>
  <si>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修改程控源输出：ub=8V（Vbn&lt;10V，ua=uc 保持 220V，角度正常）；关→开接线检查开关触发立即检测（或等待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</si>
  <si>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2（Step1 电压有效性失败，不进入 Step2/3）；输出 2 不参与条件13 比较，不报相序配置错误；同时上报 Vb 接线缺失（电压条件6，独立执行）；LED 红色闪烁（MANUAL 目视，不计入自动断言）
6. 告警清除，接线检查结果恢复全部正常，LED 恢复绿色（MANUAL 目视）</t>
  </si>
  <si>
    <t>Function_AC meter_010_12_case4</t>
  </si>
  <si>
    <t>相序算法 Step2 幅值对称性不满足输出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</si>
  <si>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修改程控源输出：uc=180V（三相均&gt;10V；uc 偏差 26.67V &gt; 平均 206.67V×10%=20.67V，角度全部正常）；关→开接线检查开关触发立即检测（或等待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</si>
  <si>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2（Step2 对称性失败，不进入 Step3）；输出 2 不参与条件13 比较，不报相序配置错误（已裁定 2026-07-14）；无缺失/反接/相位错误告警；LED 红色闪烁（MANUAL 目视，不计入自动断言）
6. 告警清除，接线检查结果恢复全部正常，LED 恢复绿色（MANUAL 目视）</t>
  </si>
  <si>
    <t>Function_AC meter_010_12_case5</t>
  </si>
  <si>
    <t>1E2W 不检测相序，voltagePhaseOrder 恒为 2</t>
  </si>
  <si>
    <t>3. voltagePhaseOrder = 2（1E2W 不检测相序）；不上报相序配置错误；LED 绿色（MANUAL 目视）</t>
  </si>
  <si>
    <t>Function_AC meter_010_12_case6</t>
  </si>
  <si>
    <t>2E3W1P 不检测相序，voltagePhaseOrder 恒为 2</t>
  </si>
  <si>
    <t>3. voltagePhaseOrder = 2（2E3W1P 不检测相序）；不上报相序配置错误；LED 绿色（MANUAL 目视）</t>
  </si>
  <si>
    <t>判据边界值</t>
  </si>
  <si>
    <t>Function_AC meter_010_13_case1</t>
  </si>
  <si>
    <t>VLN 缺相门限 10V 边界（以 Vb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</si>
  <si>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修改程控源输出（刚触发侧）：ub=9.5V（&lt;10V）；关→开接线检查开关触发立即检测（或等待 ≥60s）
4. 经 Acuview2 Reading—接线检查 页与 Modbus 回读接线检查结果
5. 修改程控源输出（刚不触发侧）：ub=10.5V（≥10V）；触发立即检测后回读接线检查结果
6. 程控源还原步骤 2 正常基准值；触发立即检测后回读确认告警全部清除</t>
  </si>
  <si>
    <t>2. 接线检查结果全部正常
4. 上报 Vb 接线缺失（条件6）
5. 不报 Vb 缺失；但 Van/Vbn=220/10.5=20.95≥1.3，转报 电压端 Vb-Vn 反接（条件9）——缺相门限与反接门限交接的固有现象，断言按转判结果写
6. 告警清除，接线检查结果恢复全部正常</t>
  </si>
  <si>
    <t>Function_AC meter_010_13_case2</t>
  </si>
  <si>
    <t>2E3W1P V-N 反接阈值 K=1.4 边界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</si>
  <si>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次/min），回读接线检查结果确认全部正常
3. 修改程控源输出（刚触发侧）：ua=150V、uc=210V（Vcn/Van=1.40 刚达阈值）；关→开接线检查开关触发立即检测（或等待 ≥60s）
4. 经 Acuview2 Reading—接线检查 页与 Modbus 回读接线检查结果
5. 修改程控源输出（刚不触发侧）：ua=150V、uc=204V（比值 1.36&lt;1.4）；触发立即检测后回读接线检查结果
6. 程控源还原步骤 2 正常基准值；触发立即检测后回读确认告警全部清除</t>
  </si>
  <si>
    <t>2. 接线检查结果全部正常
4. 上报 电压端 Va-Vn 反接（条件4）
5. 无反接告警，接线检查结果正常（2E3W1P 无对称性检查）
6. 告警清除，接线检查结果恢复全部正常</t>
  </si>
  <si>
    <t>Function_AC meter_010_13_case3</t>
  </si>
  <si>
    <t>3E4WY V-N 反接阈值 K=1.3 边界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</si>
  <si>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修改程控源输出（刚触发侧）：ua=150V、ub=uc=195V（Vbn/Van=Vcn/Van=1.30 刚达阈值）；关→开接线检查开关触发立即检测（或等待 ≥60s）
4. 经 Acuview2 Reading—接线检查 页与 Modbus 回读接线检查结果
5. 修改程控源输出（刚不触发侧）：ua=150V、ub=uc=190V（比值 1.267&lt;1.3）；触发立即检测后回读接线检查结果
6. 程控源还原步骤 2 正常基准值；触发立即检测后回读确认告警全部清除</t>
  </si>
  <si>
    <t>2. 接线检查结果全部正常
4. 上报 电压端 Va-Vn 反接（条件8）
5. 无反接告警，无任何接线告警；三相不对称&gt;10% 致相序算法 Step2 失败，voltagePhaseOrder=2，但输出 2 不参与条件13 比较，不报相序配置错误（已裁定 2026-07-14）
6. 告警清除，接线检查结果恢复全部正常</t>
  </si>
  <si>
    <t>Function_AC meter_010_13_case4</t>
  </si>
  <si>
    <t>3E4WY 相位窗 ±20° 边界（条件11，∠Vb）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</si>
  <si>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修改程控源输出（刚触发侧）：qub=219°（刚出窗 [220°,260°]）；关→开接线检查开关触发立即检测（或等待 ≥60s）
4. 经 Acuview2 Reading—接线检查 页与 Modbus 回读接线检查结果
5. 修改程控源输出（刚不触发侧）：qub=221°（刚入窗）；触发立即检测后回读接线检查结果
6. 程控源还原步骤 2 正常基准值；触发立即检测后回读确认告警全部清除</t>
  </si>
  <si>
    <t>2. 接线检查结果全部正常
4. 仅上报 电压端 Vb 相位错误（条件11）；voltagePhaseOrder=2 不参与条件13 比较，不报相序配置错误
5. 无相位错误告警，voltagePhaseOrder=0，接线检查结果正常
6. 告警清除，接线检查结果恢复全部正常</t>
  </si>
  <si>
    <t>Function_AC meter_010_13_case5</t>
  </si>
  <si>
    <t>相序算法 Step2 对称性 ±10% 边界（以 Vc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</si>
  <si>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修改程控源输出（刚触发侧）：uc=188V（ua=ub=220V，偏差&gt;平均值×10%）；关→开接线检查开关触发立即检测（或等待 ≥60s）
4. 经 Acuview2 Reading—接线检查 页与 Modbus 回读接线检查结果
5. 修改程控源输出（刚不触发侧）：uc=190V（偏差&lt;平均值×10%）；触发立即检测后回读接线检查结果
6. 程控源还原步骤 2 正常基准值；触发立即检测后回读确认告警全部清除</t>
  </si>
  <si>
    <t>2. 接线检查结果全部正常
4. 相序算法 Step2 失败，voltagePhaseOrder=2（以该寄存器值为断言）；输出 2 不参与条件13 比较，无任何接线告警
5. 对称性通过，voltagePhaseOrder=0，接线检查结果正常
6. 告警清除，接线检查结果恢复全部正常</t>
  </si>
  <si>
    <t>Function_AC meter_010_13_case6</t>
  </si>
  <si>
    <t>电流反向 pf 窗 [-1,-0.9] 边界（条件17，Ia）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</si>
  <si>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修改程控源输出（刚触发侧）：qia=155°（pf_A=cos155°=-0.906∈[-1,-0.9]）；关→开接线检查开关触发立即检测（或等待 ≥60s）
4. 经 Acuview2 Reading—接线检查 页与 Modbus 回读接线检查结果
5. 修改程控源输出（刚不触发侧）：qia=150°（pf_A=-0.866&gt;-0.9）；触发立即检测后回读接线检查结果
6. 程控源还原步骤 2 正常基准值；触发立即检测后回读确认告警全部清除</t>
  </si>
  <si>
    <t>2. 接线检查结果全部正常
4. 上报 Ia 正负反向（条件17）
5. 无电流告警，接线检查结果正常（RACG 判据表无电流相位错误条件）
6. 告警清除，接线检查结果恢复全部正常</t>
  </si>
  <si>
    <t>Function_AC meter_010_13_case7</t>
  </si>
  <si>
    <t>电流互错 pf 窗 -0.5±10% 边界（条件20，A 侧）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</si>
  <si>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修改程控源输出（刚触发侧）：qia=240°、qib=0°（pf_A=-0.5 窗中心，B 侧同步满足）；关→开接线检查开关触发立即检测（或等待 ≥60s）
4. 经 Acuview2 Reading—接线检查 页与 Modbus 回读接线检查结果
5. 修改程控源输出（刚不触发侧）：qia=250°、qib=0°（pf_A=cos250°=-0.342∉[-0.55,-0.45]，A 侧不命中）；触发立即检测后回读接线检查结果
6. 程控源还原步骤 2 正常基准值；触发立即检测后回读确认告警全部清除</t>
  </si>
  <si>
    <t>2. 接线检查结果全部正常
4. 上报 Ia 与 Ib 反接（条件20）
5. 条件20 不报；无其他电流告警
6. 告警清除，接线检查结果恢复全部正常</t>
  </si>
  <si>
    <t>Function_AC meter_010_13_case8</t>
  </si>
  <si>
    <t>缺流门限 0.1A 边界（条件14，Ia；表侧测量值）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</si>
  <si>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修改程控源输出（刚触发侧）：ia=0A（表侧 Ia_rms=0&lt;0.1）；关→开接线检查开关触发立即检测（或等待 ≥60s）
4. 经 Acuview2 Reading—接线检查 页与 Modbus 回读接线检查结果
5. 修改程控源输出（刚不触发侧）：ia=0.05A（以 CT 一次额定 200A、台体 CT 20A:100mA 计，表侧读数=源电流×10=0.5A≥0.1）；触发立即检测后回读接线检查结果
6. 程控源还原步骤 2 正常基准值；触发立即检测后回读确认告警全部清除</t>
  </si>
  <si>
    <t>2. 接线检查结果全部正常
4. 上报 Ia 接线缺失（条件14）
5. 不报 Ia 缺失；qia=0° 时 pf_A=1，无其他电流告警
6. 告警清除，接线检查结果恢复全部正常</t>
  </si>
  <si>
    <t>相序检查</t>
  </si>
  <si>
    <t>Function_AC meter_010_04_case1</t>
  </si>
  <si>
    <t>3E4WY下输入ABC正相序，相序检查算法正确识别并输出voltagePhaseOrder=0</t>
  </si>
  <si>
    <t>1、Acuview2上位机
2、RTU串口线
3、AcuRev-100电表
4、可调三相功率源（可独立设置V/I幅值及相角）
5、接线方式3E4WY，三相电压&gt;10V且三相幅值对称（满足相序检查前提条件）</t>
  </si>
  <si>
    <t>1、配置3E4WY，Van=Vbn=Vcn=120V（幅值对称，偏差&lt;10%×vLNAvg）
2、设置角Va=0°，角Vb=240°（在[240°±20°]范围内），角Vc=120°（在[120°±20°]范围内）
3、Modbus配置相序为ABC（Phase Order=0）
4、等待&gt;1min
5、通过Modbus读取voltagePhaseOrder寄存器值及接线检查结果</t>
  </si>
  <si>
    <t>5、voltagePhaseOrder=0（ABC正相序）；
配置相序与检测相序一致，无相序配置错误告警；LED绿色常亮</t>
  </si>
  <si>
    <t>未生成：本期转换范围外（001~009、011）；已另建接线检查判据级用例集（010_07~13，59条）作转换预备</t>
  </si>
  <si>
    <t>Function_AC meter_010_04_case2</t>
  </si>
  <si>
    <t>3E4WY下输入ACB负相序，相序检查算法正确识别并输出voltagePhaseOrder=1</t>
  </si>
  <si>
    <t>1、Acuview2上位机
2、RTU串口线
3、AcuRev-100电表
4、可调三相功率源（可独立设置V/I幅值及相角）
5、接线方式3E4WY，三相&gt;10V且对称，Modbus配置相序为ACB</t>
  </si>
  <si>
    <t>1、配置3E4WY，Van=Vbn=Vcn=120V
2、设置角Va=0°，角Vb=120°（在ACB对应的[120°±20°]内），角Vc=240°（在[240°±20°]内）
3、Modbus配置相序为ACB（Phase Order=1）
4、等待&gt;1min，读取voltagePhaseOrder</t>
  </si>
  <si>
    <t>4、voltagePhaseOrder=1（ACB负相序）；
配置与检测一致，无相序配置错误告警；LED绿色常亮</t>
  </si>
  <si>
    <t>Function_AC meter_010_04_case3</t>
  </si>
  <si>
    <t>相序检查前提条件不满足时，输出voltagePhaseOrder=2（不判断），不触发相序配置错误</t>
  </si>
  <si>
    <t>1、Acuview2上位机
2、RTU串口线
3、AcuRev-100电表
4、可调三相功率源（可独立设置V/I幅值及相角）
5、接线方式3E4WY</t>
  </si>
  <si>
    <t>1、子测试1：降低Vbn至5V（&lt;10V，电压有效性不满足）
   等待&gt;1min，读取voltagePhaseOrder
2、恢复三相对称，设置Vbn=140V（|Vbn-vLNAvg|&gt;10%×vLNAvg，幅值对称性不满足）
   等待&gt;1min，读取voltagePhaseOrder
3、两种情况下均配置Phase Order=0（ABC），检查是否触发配置错误告警</t>
  </si>
  <si>
    <t>子测试1：voltagePhaseOrder=2（无法判断）；不触发相序配置错误告警
子测试2：voltagePhaseOrder=2；不触发相序配置错误告警
相序检查前提条件不满足时，自动输出2，避免误判</t>
  </si>
  <si>
    <t>告警开关配置</t>
  </si>
  <si>
    <t>Function_AC meter_010_05_case1</t>
  </si>
  <si>
    <t>通过Modbus关闭接线检查开关后，接线异常不触发告警（LED不红闪，Modbus不上报）</t>
  </si>
  <si>
    <t>1、Acuview2上位机
2、RTU串口线
3、AcuRev-100电表
4、可调三相功率源（可独立设置V/I幅值及相角）
5、接线方式3E4WY，三相电压正常</t>
  </si>
  <si>
    <t>1、配置3E4WY，正常接线，确认无告警（接线检查开关默认启用）
2、通过Modbus写入关闭接线检查开关
3、制造接线异常：反接Ia使pf_A=-1.0
4、等待&gt;1min
5、检查LED颜色及Modbus接线检查结果寄存器</t>
  </si>
  <si>
    <t>5、LED不红闪（保持绿色常亮或绿色慢闪）；
Modbus接线检查结果寄存器无告警内容（不上报）；
接线检查功能已关闭，异常不被检测</t>
  </si>
  <si>
    <t>Function_AC meter_010_05_case2</t>
  </si>
  <si>
    <t>重新启用接线检查开关后，接线异常恢复触发告警</t>
  </si>
  <si>
    <t>1、Acuview2上位机
2、RTU串口线
3、AcuRev-100电表
4、可调三相功率源（可独立设置V/I幅值及相角）
5、接线检查开关当前为关闭，接线异常仍存在（Ia反接）</t>
  </si>
  <si>
    <t>1、在case1基础上，接线异常仍存在，确认当前无告警
2、通过Modbus写入启用接线检查（接线检查开关=启用）
3、等待&gt;1min检测周期
4、检查LED及Modbus接线检查结果</t>
  </si>
  <si>
    <t>4、LED恢复红色闪烁；
Modbus正确上报电流端Ia正负反向；
接线检查功能恢复正常</t>
  </si>
  <si>
    <t>Function_AC meter_010_05_case3</t>
  </si>
  <si>
    <t>设备出厂默认接线检查开关为启用状态，恢复出厂设置后默认启用</t>
  </si>
  <si>
    <t>1、通过Modbus执行恢复出厂设置操作
2、通过Modbus读取接线检查开关寄存器值
3、制造接线异常（如Ia反接），等待&gt;1min
4、检查是否自动触发告警</t>
  </si>
  <si>
    <t>2、接线检查开关寄存器值=启用（默认值=1）；
4、LED红色闪烁，Modbus正确上报告警；
默认状态下无需手动配置即可检测告警</t>
  </si>
  <si>
    <t>告警上报</t>
  </si>
  <si>
    <t>Function_AC meter_010_06_case1</t>
  </si>
  <si>
    <t>多路接线异常同时存在时，Modbus接线检查结果各通道独立上报正确错误类型</t>
  </si>
  <si>
    <t>1、Acuview2上位机
2、RTU串口线
3、AcuRev-100电表
4、可调三相功率源（可独立设置V/I幅值及相角）
5、接线方式3E4WY，接线检查启用</t>
  </si>
  <si>
    <t>1、配置3E4WY，三相电压120V正常，三相电流10A
2、同时制造两种异常：降低Van至0V（Va缺相）+ 反接Ib使pf_B=-1（Ib反向）
3、等待&gt;1min
4、通过Modbus读取接线检查结果寄存器（各电压通道+各电流通道错误类型）</t>
  </si>
  <si>
    <t>4、电压通道A上报Va接线缺失；
电流通道B上报Ib正负反向；
其他通道无告警；
两路告警独立上报，互不干扰；LED红色闪烁</t>
  </si>
  <si>
    <t>Function_AC meter_010_06_case2</t>
  </si>
  <si>
    <t>接线恢复正常后，Modbus接线检查结果寄存器自动清零，LED恢复绿色常亮</t>
  </si>
  <si>
    <t>1、Acuview2上位机
2、RTU串口线
3、AcuRev-100电表
4、可调三相功率源（可独立设置V/I幅值及相角）
5、当前存在接线告警（Modbus有告警上报，LED红色闪烁）</t>
  </si>
  <si>
    <t>1、确认当前存在告警（如Ia反接，pf_A=-1）
2、恢复接线正确（Ia正向，pf_A=1.0）
3、等待&gt;1min检测周期
4、通过Modbus读取接线检查结果寄存器全部通道值
5、观察LED颜色</t>
  </si>
  <si>
    <t>4、Modbus接线检查结果寄存器各通道全部清零（无告警）；
5、LED恢复绿色常亮（接线正确，无通信活动）</t>
  </si>
  <si>
    <t>计时功能</t>
  </si>
  <si>
    <t>Function_AC meter_011_01_case1</t>
  </si>
  <si>
    <t>铅封未封闭，通过上位机设置时间，年/月/日和时/分/秒，遍历所有时间，遍历所有日期(包括闰年)，遍历所有周</t>
  </si>
  <si>
    <t>1、连接AcuRev-100电表到Acuview2上，链接状态为connected
2、设置电表上“Use Customer Time ”时间， 
    2000-01-01 00:00:00      ---周6
    2099-12-31 23:59:00      ---周4
    2024-11-04 00:00:00      ---周1
    2024-11-05 00:00:00      ---周2
    2024-11-13 00:00:00      ---周3
    2024-11-15 23:00:00      ---周5
    2024-11-30 23:59:00      ---周6
    2024-11-24 23:58:59      ---周日
    2024-02-29 23:58:00      ---闰年日期
3、检查设置是否成功
3、掉电重启电表
4、检查电表的set目录电表时间是否未丢失，且电表计时功能正常</t>
  </si>
  <si>
    <t>3、电表时间设置成功，AcuView工具界面无报错，电表显示时间为设置时间加上查看延迟的时间
5、电表时间未丢失，且电表计时功能正常</t>
  </si>
  <si>
    <t>通过：9组时间遍历(含闰年/分钟滚动)、掉电重启后时钟保持、还原PC时间全部通过(2026-07-14实测)</t>
  </si>
  <si>
    <t>Function_AC meter_011_01_case2</t>
  </si>
  <si>
    <t>铅封未封闭，通过上位机设置本地PC时间，年/月/日和时/分/秒，设置和显示正常</t>
  </si>
  <si>
    <t>1、连接AcuRev-100电表到Acuview2上，链接状态为connected
2、设置电表上“Use PC Time ”为PC时间，时间精度为1min
3、检查设置是否成功
4、掉电重启电表
5、检查电表时间是否和PC时间一致</t>
  </si>
  <si>
    <t>3、电表时间设置成功，AcuView工具界面无报错，电表显示时间为设置时间加上查看延迟的时间
5、电表时间保存且和PC时间同步</t>
  </si>
  <si>
    <t>通过：PC对时(±60s)与掉电重启后时间保持均通过(2026-07-14实测)</t>
  </si>
  <si>
    <t>Function_AC meter_011_01_case3</t>
  </si>
  <si>
    <t>断电时保留时间为1周</t>
  </si>
  <si>
    <t>1、连接AcuRev-100电表到Acuview2上，链接状态为connected
2、设置电表上“Use PC Time ”为当前PC时间。
3、检查设置是否成功
4、断开电表电源
5、等待7天
6、连接电表到Acuview2，检查电表时间和PC时间误差是否≤3.5s（RTC漂移优于±0.5s/天，7天累计≤3.5s，PRS §3.3.1）</t>
  </si>
  <si>
    <t>3、时间设置成功，AcuView工具界面无报错，电表显示时间为设置时间加上查看延迟的时间
6、电表时间显示和PC时间误差≤3.5s</t>
  </si>
  <si>
    <t>转手工：断电保留7天长时验证不可自动化</t>
  </si>
  <si>
    <t>Function_AC meter_011_01_case4</t>
  </si>
  <si>
    <t>铅封封闭，通过上位机设置时间，年/月/日和时/分/秒，遍历所有时间，遍历所有日期(包括闰年)，遍历所有周</t>
  </si>
  <si>
    <t>1、连接AcuRev-100电表到Acuview2上，链接状态为connected
2、设置电表上“Use Customer Time ”时间， 
    2000-01-01 00:00:00      ---周6
    2099-12-31 23:59:00      ---周4
3、检查设置是否成功
3、掉电重启电表
4、检查电表的set目录电表时间是否未丢失，且电表计时功能正常</t>
  </si>
  <si>
    <t>未生成：需人工拨码使铅封处于封闭态，待人工配合场次再自动化（SRS §11.2）</t>
  </si>
  <si>
    <t>Function_AC meter_011_01_case5</t>
  </si>
  <si>
    <t>设备开始运行以来的累计时间正常</t>
  </si>
  <si>
    <t>1、在上位机上是否可查询电表的运行时间T1
2、当前设备运行5min后，电表的运行时间是否为：T2=T+5min
3、设备掉电一段时间后后启动，上电立即查看电表的运行时间是否仍为T2</t>
  </si>
  <si>
    <t>1、上位机上可查询电表的运行时间T1
2、上位机上运行时间为T2
3、上位机上运行时间为T2(未发生变化)</t>
  </si>
  <si>
    <t>通过：运行时间累计(Δ≈等待时长±10s)与掉电重启后计数保持均通过(2026-07-14实测)</t>
  </si>
  <si>
    <t>Function_AC meter_011_01_case6</t>
  </si>
  <si>
    <t>使用100mA（200A）的CT，设备有负载的累计时间；即电流输入 &gt; Ist (0.2A) 且电压 &gt; 10V</t>
  </si>
  <si>
    <t>1、在上位机上是否可查询电表的负载时间T1
2、电表接源，有负载时(电流=0.3A，大于Ist 0.2A；电压=15V，大于10V门限)，等待5mins，负载时间是否为：T2=T1+5min
3、电表接源，有负载时(电流=1A 且电压=20V)，等待5mins，负载时间是否为：T3=T2+5min
4、电表接源，无负载时(电流=0.004A 且电压=9V)，等待5mins，负载时间是否为：T3
5、电表未接源，无负载时，等待5mins，负载时间是否为：T3</t>
  </si>
  <si>
    <t>1、上位机上可查询电表的负载时间T1
2、上位机上负载时间为T2
3、上位机上负载时间为T3
4、上位机上负载时间为T3(未发生变化)
5、上位机上负载时间为T3(未发生变化)</t>
  </si>
  <si>
    <t>未通过：负载时间不累计——负载判定依赖电流测量，已知ADC损坏读零所致；计时流程已调通，换板后重跑</t>
  </si>
  <si>
    <t>未通过：已知板卡ADC芯片损坏致电流读零、负载判定不成立，计时流程已调通，换板后重跑</t>
  </si>
  <si>
    <t>Function_AC meter_011_01_case7</t>
  </si>
  <si>
    <t>使用100mA（400A）的CT,设备有负载的累计时间；即电流输入 &gt; Ist (0.4A) 且电压 &gt; 10V，修改CT如下：100mA（800A），100mA（1200A）</t>
  </si>
  <si>
    <t>1、在上位机上是否可查询电表的负载时间T1
2、电表接源，有负载时(电流=Ist (0.4A) 且电压 = 10V)，等待5mins，负载时间是否为：T2=T1+5min
3、电表接源，有负载时(电流=1A 且电压= 20V)，等待5mins，负载时间是否为：T3=T2+5min
4、电表接源，无负载时(电流=0.2A 且电压=9 V)，等待5mins，负载时间是否为：T3
4、电表未接源，无负载时，等待5mins，负载时间是否为：T3
5、修改CT如下：100mA（800A），100mA（1200A）,按照电压＞10V且启动电流＞ 0.1% × 额定电流</t>
  </si>
  <si>
    <t>1、上位机上可查询电表的负载时间T1
2、上位机上负载时间为T2
3、上位机上负载时间为T3
3、上位机上负载时间为T3(未发生变化)
4、上位机上负载时间为T3(未发生变化)
5、负载时间准确</t>
  </si>
  <si>
    <t>Function_AC meter_011_01_case8</t>
  </si>
  <si>
    <t>铅封封闭，上位机上用户可重置这些设备运行时间</t>
  </si>
  <si>
    <t>1、铅封封闭，连接AcuRev100电表到Acuview2上，链接状态为connected
2、上位机上重置设备运行时间</t>
  </si>
  <si>
    <t>2、电表的设备运行时间被清除。HMI和上位机更新显示运行时间0H</t>
  </si>
  <si>
    <t>Function_AC meter_011_01_case9</t>
  </si>
  <si>
    <t>铅封封闭，上位机上用户可重置这些设备负载时间。</t>
  </si>
  <si>
    <t>1、铅封封闭，连接AcuRev100电表到Acuview2上，链接状态为connected
2、上位机上重置设备负载时间</t>
  </si>
  <si>
    <t>2、电表的设备负载时间被清除。HMI和上位机更新显示负载时间0H</t>
  </si>
  <si>
    <t>Function_AC meter_011_01_case10</t>
  </si>
  <si>
    <t>铅封未封闭，上位机上用户可重置这些设备运行时间</t>
  </si>
  <si>
    <t>1、铅封未封闭，连接AcuRev100电表到Acuview2上，链接状态为connected
2、上位机上重置设备运行时间</t>
  </si>
  <si>
    <t>通过：重置后运行时间读值≈0(2026-07-14实测)</t>
  </si>
  <si>
    <t>Function_AC meter_011_01_case11</t>
  </si>
  <si>
    <t>铅封未封闭，上位机上用户可重置这些设备负载时间。</t>
  </si>
  <si>
    <t>1、铅封未封闭，连接AcuRev100电表到Acuview2上，链接状态为connected
2、上位机上重置设备负载时间</t>
  </si>
  <si>
    <t>通过：重置后负载时间读值≈0(2026-07-14实测)</t>
  </si>
  <si>
    <t>Function_AC meter_011_01_case12</t>
  </si>
  <si>
    <t>表计长时间掉电，表计时钟不能未非法值</t>
  </si>
  <si>
    <t>1.表计长时间掉电（超过七天）
2.表计上电查看时钟</t>
  </si>
  <si>
    <t>2.时钟不能为非法值，应该取一个默认值</t>
  </si>
  <si>
    <t>转手工：长时间掉电长时验证不可自动化</t>
  </si>
  <si>
    <t>LCD显示及LED指示灯</t>
  </si>
  <si>
    <t>LCD显示</t>
  </si>
  <si>
    <t>Function_AC meter_012_01_case1</t>
  </si>
  <si>
    <t>开机显示序列正常</t>
  </si>
  <si>
    <t>1、电表上电正常
2、查看上电后电表LCD依次显示的显示项数据是否准确，显示间隔是否准确</t>
  </si>
  <si>
    <t>2、上电后电表以公司logo，型号（Model），序列号   （格式：MAC(YY+30)Mmabcde），固件版本（Firmware Version），接线方式（Service Type：1E2W / 2E3W1P / 3E4WY），进线有功电能累计值（kWh）依次显示，显示数据正常，轮显间隔正常，</t>
  </si>
  <si>
    <t>不可自动化：LCD开机轮显序列需人工目视</t>
  </si>
  <si>
    <t>Function_AC meter_012_01_case2</t>
  </si>
  <si>
    <t>电表上电后常显：进线有功电能累计值 (kWh)</t>
  </si>
  <si>
    <t>1、电表上电正常
2、电表轮显结束后进入常显，常显进线有功电能累计值 (kWh)，查看•	显示内容、显示格式、显示分辨率是否正确</t>
  </si>
  <si>
    <t>2、电表•	显示内容：进线有功电能累计值 (kWh)，显示格式：9 位整数 + 1 位小数（最大显示 999999999.9 kWh），默认高位空白，显示分辨率：0.1 kWh</t>
  </si>
  <si>
    <t>不可自动化：LCD常显内容需人工目视</t>
  </si>
  <si>
    <t>LED指示灯</t>
  </si>
  <si>
    <t>Function_AC meter_012_02_case1</t>
  </si>
  <si>
    <t>电表正常走电量，脉冲灯正常闪烁</t>
  </si>
  <si>
    <t>1、电表上电正常
2、给电表接入200V,100A电流，脉冲常数设置为50，查看脉冲灯闪烁是否正常</t>
  </si>
  <si>
    <t>2、电表正常走电量，脉冲灯按脉冲常数对应频率正常闪烁（脉冲LED颜色PRS未规定、待需求澄清，不以红色为判据；红色为状态LED接线异常灯语）</t>
  </si>
  <si>
    <t>不可自动化：脉冲LED闪烁需人工目视（LED颜色待需求澄清）</t>
  </si>
  <si>
    <t>Function_AC meter_012_02_case2</t>
  </si>
  <si>
    <t>事件指示灯正常显示</t>
  </si>
  <si>
    <t>1、电表上电正常
2、正常运行，接线正常，查看事件指示灯显示
3、正常运行，通信活动中，查看事件指示灯显示
4、模拟接线检查异常，查看事件指示灯显示
5、模拟电表固件升级，查看事件指示灯显示
6、模拟设备故障，查看事件指示灯显示</t>
  </si>
  <si>
    <t>2、绿色常亮
3、绿色慢闪
4、红色闪烁
5、红绿交替闪烁
6、红色常亮</t>
  </si>
  <si>
    <t>不可自动化：事件指示灯灯语需人工目视</t>
  </si>
  <si>
    <t>Function_AC meter_012_02_case3</t>
  </si>
  <si>
    <t>优先级</t>
  </si>
  <si>
    <t>1、电表上电正常
2、此时给电表进行正常通讯
3、模拟电表接线检查异常，发送接线检查命令
4、此时给电表升级
5、升级结束后查看电表事件指示灯
6、此后模拟电表设备故障，查看电表事件指示灯</t>
  </si>
  <si>
    <t>1、电表绿色常亮
2、电表由绿色常亮变为绿色慢闪，停止通讯后变为绿色常亮
3、事件指示灯由绿色常亮变为绿色慢闪再变为红色闪烁
4、事件指示灯由红色闪烁变为红绿交替闪烁
5、升级结束后事件指示灯变为红色闪烁
6、事件指示灯由红色闪烁变为红色常亮</t>
  </si>
  <si>
    <t>不可自动化：LED灯语优先级需人工目视</t>
  </si>
  <si>
    <t>铅封</t>
  </si>
  <si>
    <t>Function_AC meter_013_01_case1</t>
  </si>
  <si>
    <t>铅封解锁，LCD 弹窗显示 “Remote Configuration Mode”，不可手动关闭</t>
  </si>
  <si>
    <t>1、Acuview2上位机
2、RTU串口线
3、AcuRev-100电表
4、铅封解锁</t>
  </si>
  <si>
    <t>1、电表上电正常运行
2、铅封解锁
3、观察LCD 液晶显示情况
3.3、给电表掉电后上电，观察LCD 液晶显示情况
4、铅封锁定
5、观察LCD 液晶显示情况</t>
  </si>
  <si>
    <t>3、LCD 弹窗显示 “Remote Configuration Mode”，不可手动关闭
3.3、上电瞬间，电表无轮显，直接显示“Remote Configuration Mode”，不可手动关闭
5、LCD 弹窗显示正向有功总电能</t>
  </si>
  <si>
    <t>不可自动化：LCD弹窗需人工目视，且铅封切换需人工拨码</t>
  </si>
  <si>
    <t>Function_AC meter_013_01_case2</t>
  </si>
  <si>
    <t>铅封解锁，修改电表接线方式及CT变比值，修改成功，铅封锁定，无法修改电表接线方式及CT变比值</t>
  </si>
  <si>
    <t>1、通过RTU方式连接AcuRev-100电表到Acuview2上，链接状态为connected
2.、铅封解锁
3、修改电表接线方式及CT变比值
4、查看修改是否成功，掉电后上电，数据是否被重置
5、铅封锁定，
6、修改电表接线方式及CT变比值
7、查看修改是否成功</t>
  </si>
  <si>
    <t>4、修改成功，电表掉电再上电，数据不会被重置
7、修改失败；上位机置灰</t>
  </si>
  <si>
    <t>不可自动化：铅封锁定/解锁需人工拨码切换（2026-07-14 工程师标否；锁定态只读约束本身可Modbus断言，后续如安排人工配合场次可重评）</t>
  </si>
  <si>
    <t>Function_AC meter_013_01_case3</t>
  </si>
  <si>
    <t>铅封解锁，电表升级成功；铅封锁定，电表升级失败</t>
  </si>
  <si>
    <t>1、通过RTU方式连接AcuRev-100电表到Acuview2上，链接状态为connected
2.、铅封解锁
3、电表升级，查看升级是否成功
4、铅封锁定，继续对表进行升级，查看升级是否成功</t>
  </si>
  <si>
    <t>3、升级成功；
4、升级失败</t>
  </si>
  <si>
    <t>Function_AC meter_013_01_case4</t>
  </si>
  <si>
    <t>铅封解锁，factory reset、clear energy操作均成功；铅封锁定，factory reset、clear energy提示失败</t>
  </si>
  <si>
    <t>1、通过RTU方式连接AcuRev-100电表到Acuview2上，链接状态为connected
2.、铅封解锁
3、在上位机中对电表进行clear energy，查看是否成功
4、继续在上位机中对电表进行factory reset，查看是否成功
5、铅封锁定
6、重复3~4操作，查看你上位机提示</t>
  </si>
  <si>
    <t>3、上位机提示成功
4、上位机提示成功
6、上位机均提示失败</t>
  </si>
  <si>
    <t>Function_AC meter_013_01_case5</t>
  </si>
  <si>
    <t>铅封解锁时：额定频率（Nominal Frequency）相序（Phase Order）功率因数格式约定（PF/VAR 计算方式，IEC / IEEE）电能计算方式（Energy Calculation Method）无功功率计算方式（Reactive Power Calculation Method）能量脉冲输出配置：Energy Pulse Constant、LED Pulse Constant，电能显示分辨率（Energy Reading Display Format）均可配置；铅封锁定，以上只可读</t>
  </si>
  <si>
    <t>1、通过RTU方式连接AcuRev-100电表到Acuview2上，链接状态为connected
2.、铅封解锁
3、在上位机上修改额定频率（Nominal Frequency）相序（Phase Order）功率因数格式约定（PF/VAR 计算方式，IEC / IEEE）电能计算方式（Energy Calculation Method）无功功率计算方式（Reactive Power Calculation Method）能量脉冲输出配置：Energy Pulse Constant、LED Pulse Constant，电能显示分辨率（Energy Reading Display Format），查看修改是否成功
4、铅封锁定，继续修改3中配置，查看修改是否成功，</t>
  </si>
  <si>
    <t>3、能正常修改
4、以上参数只支持可读</t>
  </si>
  <si>
    <t>Firmware升级</t>
  </si>
  <si>
    <t>Function_AC meter_014_01_case1</t>
  </si>
  <si>
    <t>上位机通过RTU方式，波特率设置为9600,升级正常。</t>
  </si>
  <si>
    <t>1、通过RTU方式连接AcuRev-100电表到Acuview2上，链接状态为connected
2、检查电表的FW版本为Rev1
3、记录电表的能量数据值为value1
4、上传电表FW版本(版本号Rev2),升级波特率选择9600，开始升级，并等待升级完成。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</si>
  <si>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5、升级过程无错误出现
6、电表的FW版本为Rev2
7、升级完成后，检查电表能量值依旧为value1；检查电表的测量数据准确(电压,电流,功率)</t>
  </si>
  <si>
    <t>已调试/通过: 升级流程固定(同case2/6已实测8判据全过), 仅波特率9600不同, 工程师裁定直接标通过(2026-07-16)</t>
  </si>
  <si>
    <t>Function_AC meter_014_01_case2</t>
  </si>
  <si>
    <t>上位机通过RTU方式，波特率设置为19200,升级正常。注意:间测量数据/日志不会改变, 新版本以继续工作</t>
  </si>
  <si>
    <t>1、通过RTU方式连接AcuRev-100电表到Acuview2上，链接状态为connected
2、检查电表的FW版本为Rev1
3、记录电表的能量数据值为value1
4、上传电表FW版本(版本号Rev2),升级波特率选择19200，开始升级，并等待升级完成。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</si>
  <si>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已调试/通过: 19200真机刷写, 8判据全过(装包/确认/升级无错/重启恢复在线/FW版本记录/配置92项零差异/波特率下拉选值)</t>
  </si>
  <si>
    <t>Function_AC meter_014_01_case3</t>
  </si>
  <si>
    <t>上位机通过RTU方式，波特率设置为38400,升级正常。</t>
  </si>
  <si>
    <t>1、通过RTU方式连接AcuRev-100电表到Acuview2上，链接状态为connected
2、检查电表的FW版本为Rev1
3、记录电表的能量数据值为value1
4、上传电表FW版本(版本号Rev2),升级波特率选择38400，开始升级，并等待升级完成。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</si>
  <si>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已调试/通过: 升级流程固定(同case2/6), 波特率38400, 工程师裁定直接标通过(2026-07-16)</t>
  </si>
  <si>
    <t>Function_AC meter_014_01_case4</t>
  </si>
  <si>
    <t>上位机通过RTU方式，波特率设置为57600,升级正常。</t>
  </si>
  <si>
    <t>1、通过RTU方式连接AcuRev-100电表到Acuview2上，链接状态为connected
2、检查电表的FW版本为Rev1
3、记录电表的能量数据值为value1
4、上传电表FW版本(版本号Rev2),升级波特率选择57600，开始升级，并等待升级完成。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</si>
  <si>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已调试/通过: 升级流程固定(同case2/6), 波特率57600, 工程师裁定直接标通过(2026-07-16)</t>
  </si>
  <si>
    <t>Function_AC meter_014_01_case5</t>
  </si>
  <si>
    <t>升级过程中断开连接，待通讯正常后能继续升级</t>
  </si>
  <si>
    <t>1.表计正常升级，待表计升级到40%时
2.关闭上位机
3.继续打开上位机点击升级
4、升级完成后再次升级，待上位机显示clearing,给电表掉电
5、上电后继续升级</t>
  </si>
  <si>
    <t xml:space="preserve">
2.上位机提示升级失败
3.能升级成功
4、升级中断，电表进入Bootloader
5、能升级成功</t>
  </si>
  <si>
    <t>已生成待调试：中断续升需40%杀进程+clearing掉电两段精准时序，skip存根已生成，待专项联调(参照1320 case4_01 manual先例)</t>
  </si>
  <si>
    <t>待调试：中断续升需两段精准时序，待专项联调</t>
  </si>
  <si>
    <t>Function_AC meter_014_01_case6</t>
  </si>
  <si>
    <t>上位机通过RTU方式，波特率设置为115200,升级正常。</t>
  </si>
  <si>
    <t>1、通过RTU方式连接AcuRev-100电表到Acuview2上，链接状态为connected
2、检查电表的FW版本为Rev1
3、记录电表的能量数据值为value1
4、上传电表FW版本(版本号Rev2),升级波特率选择115200，开始升级，并等待升级完成。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</si>
  <si>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已调试/通过: 115200真机刷写, 8判据全过; 排除时钟/运行时间等动态量后配置保持零差异</t>
  </si>
  <si>
    <t>Function_AC meter_014_01_case7</t>
  </si>
  <si>
    <t>其他产品升级包进行升级（固件包合法性校验）</t>
  </si>
  <si>
    <t>1、通过上位机升级时选择他产品升级包进行升级（如：4100、1320）
2、查看文件是否正常加载、解析</t>
  </si>
  <si>
    <t>2.上位机升级界面升级文件解析失败，提示用户“固件文件无效”</t>
  </si>
  <si>
    <t>已调试/通过: 加载4100他产品包, Status列显示Model Unmatched!正确拒绝(合法性校验)</t>
  </si>
  <si>
    <t>Function_AC meter_014_01_case8</t>
  </si>
  <si>
    <t>全新电表，烧写boot，升级完APP后，查看 setting的配置不存在非法值。</t>
  </si>
  <si>
    <t>1、烧写boot 程序
2、升级APP应用程序
3、检查 setting的配置是否存在非法值。
备注:  setting 配置参考modbus地址表。</t>
  </si>
  <si>
    <t>3、 setting的配置不存在非法值。</t>
  </si>
  <si>
    <t>不可自动化：全新电表烧写boot需J-Flash工具人工操作</t>
  </si>
  <si>
    <t>Function_AC meter_014_01_case9</t>
  </si>
  <si>
    <t>上位机通过RTU方式，压力升级15次</t>
  </si>
  <si>
    <t>1、通过RTU方式连接AcuRev-100电表到Acuview2上，链接状态为connected
2、上位机Firmeare Update界面选择升级文件，进行升级
3、连续升级压测10次</t>
  </si>
  <si>
    <t>2、升级成功，升级过程无错误出现
3、每次均能升级成功</t>
  </si>
  <si>
    <t>已调试/通过: 压力升级rounds=15, 单次流程同case2/6已验证, 工程师裁定直接标通过(2026-07-16)</t>
  </si>
  <si>
    <t>Function_AC meter_014_01_case10</t>
  </si>
  <si>
    <t>上位机升级界面显示准确，设备信息栏中Model、 Hardware、 Firmware等信息显示正确</t>
  </si>
  <si>
    <t>1、通过RTU方式连接AcuRev-100电表到Acuview2上，链接状态为connected
2、检查上位机Firmeare Update界面显示</t>
  </si>
  <si>
    <t>2、设备信息栏中Model、Hardware、Firmware等信息显示正确
Model：AcuRev-101-mA 或 AcuRev-101-mV（按被测型号）
Hardware：V 1.01
Firmware：V 1.01
注：这里版本信息为样例格式，具体以测试版本为准；Model型号串待固件确认后更新（AcuRev-100为系列名，非型号）</t>
  </si>
  <si>
    <t>已调试/通过: 信息栏OCR Model=MAC1/Hardware=1.03/Firmware=1.01, 与config期望及FW寄存器一致</t>
  </si>
  <si>
    <t>Function_AC meter_014_01_case11</t>
  </si>
  <si>
    <t>上位机升级后，接入源，查看电压、电流、角度精度</t>
  </si>
  <si>
    <t>1、通过RTU方式连接AcuRev-100电表到Acuview2上，链接状态为connected
2、上位机Firmeare Update界面选择升级文件，进行升级
3、接入源，输入电压、电流和角度，查看电压、电流和角度是否符合精度要求</t>
  </si>
  <si>
    <t>2、升级成功
3、电压、电流和角度符合精度要求</t>
  </si>
  <si>
    <t>已调试/通过: 升级流程同case2/6; 接源精度部分复用002/004/006精度批(MANUAL), 工程师裁定升级部分直接标通过(2026-07-16)</t>
  </si>
  <si>
    <t>Function_AC meter_014_01_case12</t>
  </si>
  <si>
    <t>修改slave id后进行RTU升级</t>
  </si>
  <si>
    <t>1、修改slave id为2，RTU连接到上位机
2、进行RTU升级</t>
  </si>
  <si>
    <t>2、RTU升级成功</t>
  </si>
  <si>
    <t>已生成待调试：改SlaveID后需slave=2专用连接会话+SlaveID专用还原runner(016重构中)，skip存根已生成</t>
  </si>
  <si>
    <t>待调试：待SlaveID专用连接/还原runner（016重构中）</t>
  </si>
  <si>
    <t>Function_AC meter_014_01_case13</t>
  </si>
  <si>
    <t>使用J Flash烧写boot程序的工具反复连接单板，单板稳定运行不会重启</t>
  </si>
  <si>
    <t>1、使用J Flash工具连接电表
2、 在工具中点击Connect
3、 在工具中点击DisConnect
4、 在工具中点击Connect</t>
  </si>
  <si>
    <t>2、连接成功，电表不会重启
4、 断连均成功，电表重启</t>
  </si>
  <si>
    <t>不可自动化：需J-Flash专用工具人工操作</t>
  </si>
  <si>
    <t>Function_AC meter_014_01_case14</t>
  </si>
  <si>
    <t>使用J Flash 烧写boot程序成功</t>
  </si>
  <si>
    <t>1、 使用J Flash 工具连接电表，输入R7FA2A2AD
2、 在工具中点击Connect
3、 烧写 .hex 程序
4、 重启电表，检查boot Version 版本</t>
  </si>
  <si>
    <t>2、连接成功
3、 烧写成功
4、 boot Version 版本为烧写的最新版本</t>
  </si>
  <si>
    <t>Function_AC meter_014_01_case15</t>
  </si>
  <si>
    <t>boot界面信息查看（升级波特率默认9600）</t>
  </si>
  <si>
    <t>1、电表进入boot模式，查看界面信息显示是否正确</t>
  </si>
  <si>
    <t>1、信息显示正确，如何显示待确认</t>
  </si>
  <si>
    <t>转手工: LCD boot界面为目视检查项, 无寄存器判据且预期样式待需求确认(skip存根保留)</t>
  </si>
  <si>
    <t>转手工：LCD目视项无寄存器判据，预期样式待需求确认</t>
  </si>
  <si>
    <t>Function_AC meter_014_01_case16</t>
  </si>
  <si>
    <t>升级前后，查看电表各个寄存器数据不会发生变化</t>
  </si>
  <si>
    <t>1、电表上电，升级前保存电表上位机各个reading界面的数据，包括setting界面的设备信息
2、电表升级
3、升级结束后，在上位机上比对升级前后数据（步骤1中提到的数据）</t>
  </si>
  <si>
    <t>3、升级不会该表各个寄存器中数据，升级前后数据一致
备注：（需量、datalog数据在配置间隔较小时，可能存在数据上有偏差，注意识别）</t>
  </si>
  <si>
    <t>已调试/通过: 升级前后寄存器+设备信息保持, 流程同case2/6(case6已验配置92项零差异), 工程师裁定直接标通过(2026-07-16)</t>
  </si>
  <si>
    <t>Function_AC meter_014_01_case17</t>
  </si>
  <si>
    <t>升级前后，查看电表setting界面各个数据不会发生变化</t>
  </si>
  <si>
    <t>1、电表上电，升级前截图保存setting界面各数据
2、电表升级
3、升级结束后，在上位机上比对升级前后setting界面各个数据</t>
  </si>
  <si>
    <t>3、升级不会影响电表原有参数的配置，升级前后，电表各个参数配置不变</t>
  </si>
  <si>
    <t>已调试/通过: 升级前后setting配置保持, 同case6已验证的配置快照机制, 工程师裁定直接标通过(2026-07-16)</t>
  </si>
  <si>
    <t>数据重置及恢复出厂设置</t>
  </si>
  <si>
    <t>Function_AC meter_015_01_case1</t>
  </si>
  <si>
    <t>上位机上通过RTU,断开输入源，重置能量 (clear energy),重置成功</t>
  </si>
  <si>
    <t>1、通过RTU连接AcuRev100电表到Acuview2上，链接状态为connected
2、断开输入源，Acuview2上进行重置能量 (clear energy)操作
3、检查电表的能量是否被清0</t>
  </si>
  <si>
    <t>3、上位机上页面能量被清0</t>
  </si>
  <si>
    <t>已调试/通过: 红线清能量(用户在场授权)实跑: 脚本控源将三相电流置0(保留Ua供电,零瞬断-只发幅值帧不发角度帧)=断开输入源, 再点Energy_Clear_Button+确认, Modbus严格回读系统/PhaseA有功输入电能=0(无电流不再累计). ADC已恢复正常, 此为有效能量清零验证.</t>
  </si>
  <si>
    <t>红线操作：清能量需用户在场授权执行（本轮已在场授权实跑通过）</t>
  </si>
  <si>
    <t>Function_AC meter_015_01_case2</t>
  </si>
  <si>
    <t xml:space="preserve">上位机上通过RTU，"Reading"-&gt;"system status"-&gt;"Reboot Meter"可reboot电表，重启后电表功能正常。  </t>
  </si>
  <si>
    <t>1、通过RTU连接AcuRev100电表到Acuview2上，链接状态为connected
2、Acuview2上进行重启电表操作（"Reading"-&gt;"system status"-&gt;"Reboot Meter"）
3、检查电表是否重启，重启后电表功能是否正常</t>
  </si>
  <si>
    <t>3、电表重启成功。重连上位机观测到电表功能正常，电气参数测量正常（满足精度要求）</t>
  </si>
  <si>
    <t>已调试/通过: 红线重启(用户在场授权)实跑: 点Meter_Reboot+确认弹窗(硬坐标Yes)执行, 电表重启(在场目视屏幕暗~1s), Modbus重连恢复在线, SERVICE_CONFIGURATION(4162)=2配置保持. 注:重启瞬断~1s轮询难稳定捕获降为信息项; Device Run Time为累计值重启不清零; 电气测量部分ADC损坏为已知FAIL(MANUAL).</t>
  </si>
  <si>
    <t>红线操作：重启需用户在场授权执行（本轮已在场授权实跑通过）</t>
  </si>
  <si>
    <t>Function_AC meter_015_01_case3</t>
  </si>
  <si>
    <t>上位机上通过RTU，恢复出厂设置并重启 (factory reset and reboot). 清除内容如下:  恢复基本设置参数、初始RTC时钟设置、清除用户设置参数</t>
  </si>
  <si>
    <t>1、通过RTU连接AcuRev100电表到Acuview2上，链接状态为connected
2、Acuview2上进行恢复出厂设置并重启 (factory reset and reboot)操作
3、检查电表是否恢复出厂设置并重启 (factory reset and reboot)，重启后电表功能是否正常
【出厂设置】基本配置信息（依据RACG Modbus Address Table v1.01 Basic Setting段）：
Password：0
RS485 Baud Rate：19200；RS485 Parity：None1
USB Baud Rate：19200；USB Parity：None1
Modbus Slave ID：1（范围1~247）
LCD Backlight Time：1（0~120min）
Device run time：0；Device load time：0（只读，出厂为0）
默认时间：2024.1.1 00:00:00 week:1
Frequency Selection：1（60Hz）
Service Configuration：2（3E4WY；枚举 0:1E2W / 1:2E3W1P / 2:3E4WY）
channel1~3 input wiring ID：1/2/3；channel1~3 Current Direction：0（positive）
channel1~3 input CT Type：0（100mA，mA型）；channel1~3 input CT Primary：1000（范围5~2000A）
Reactive Power Calculation Method：0（General）
PF Convention：0（IEC）
Phase Order：0（ABC）
Energy Reading Display format：0（Primary in 0.1 kWh）
Energy Calculation Method：0（Generic）
Energy pulse constant：1000（=1.00 imp/kWh，范围100~50000即0.1~50 imp/kWh）
Pulse width：20ms（固定值）
LED pulse constant：50000（=50.00 imp/kWh）
【出厂设置】电气参数：能量 (clear energy)：0
注：原清单中 Service Configuration=4、Energy Calculation Method=1、Pulse LED width=100、PT1/PT2、RS485 protocol、Basic Reading Display format、DC300脉冲常数备注均为1320/DC300模板残留，已按本表地址表重写删除</t>
  </si>
  <si>
    <t>3、电表恢复出厂成功，参数恢复为默认值。重连上位机观测到电表功能正常，电气参数测量正常（满足精度要求）</t>
  </si>
  <si>
    <t>已调试/通过: 红线恢复出厂(用户在场明确授权)实跑: 点Factory_Reset+确认弹窗(硬坐标Yes)执行, 电表重启, Modbus重连恢复, 出厂默认全核对: SlaveID=1/Frequency Selection=1(60Hz)/CT Primary=1000/Password=0. 跑后电表处出厂默认态.</t>
  </si>
  <si>
    <t>红线操作：恢复出厂需用户在场明确授权执行（本轮已在场授权实跑通过）</t>
  </si>
  <si>
    <t>通讯模块</t>
  </si>
  <si>
    <t>Function_AC meter_016_01_case1</t>
  </si>
  <si>
    <t>上位机上通过Rtu/USB，配置slaveID为5、247，上位机上显示正常</t>
  </si>
  <si>
    <t>1、分别通过Rtu/USB连接AcuRev100电表到Acuview2上，链接状态为connected
2、设置参数：slaveID:5
3、设置参数：slaveID:247</t>
  </si>
  <si>
    <t>2、上位机更新连接参数slaveID:5 连接成功，
      上位机上页面更新显示：slaveID:5
2、上位机更新连接参数slaveID:247 连接成功，
      上位机上页面更新显示：slaveID:247</t>
  </si>
  <si>
    <t>转手工(用户确认): 此版本Acuview改SlaveID后连接必断且不自动重连(Connection→Connect无效,需手动关连接窗口重开),逐值自动化流程脆弱价值低. 电表侧对合法SlaveID接受能力已验证(设5寄存器回读=5).</t>
  </si>
  <si>
    <t>转手工：此版本Acuview改SlaveID后必断连且不自动重连，逐值自动化脆弱价值低；电表侧合法SlaveID接受能力已验证</t>
  </si>
  <si>
    <t>Function_AC meter_016_01_case2</t>
  </si>
  <si>
    <t>上位机上通过Rtu/USB，配置slaveID为0、255失败</t>
  </si>
  <si>
    <t>1、分别通过Rtu/USB连接AcuRev100电表到Acuview2上，链接状态为connected
2、设置参数：slaveID:0
3、设置参数：slaveID:255</t>
  </si>
  <si>
    <t>2、配置失败。上位机无法输入slaveID:0 提示用户输入范围
3、配置失败。上位机无法输入slaveID:255 提示用户输入范围</t>
  </si>
  <si>
    <t>转手工(用户确认,同case1因): 越界值若被接受/截断改变SlaveID会导致Acuview断连不自动重连(曾把表改成25断链). 需人工目视上位机拒绝提示+寄存器回读确认地址未变.</t>
  </si>
  <si>
    <t>转手工：同case1，越界值需人工目视上位机拒绝提示＋寄存器回读确认地址未变</t>
  </si>
  <si>
    <t>Function_AC meter_016_01_case3</t>
  </si>
  <si>
    <t>上位机上通过Rtu/USB，配置slaveID，上位机需更新连接参数自动重连</t>
  </si>
  <si>
    <t>1、分别通过Rtu/USB连接AcuRev100电表到Acuview2上，链接状态为connected
设置参数（如下参数可参考）：
slaveID:2</t>
  </si>
  <si>
    <t>1、参数设置成功。上位机提示用户需要重连，选择重连后上位机更新连接参数自动重连</t>
  </si>
  <si>
    <t>未生成：通讯参数配置/重连待GUI write_verify引擎（015/016批）</t>
  </si>
  <si>
    <t>Function_AC meter_016_01_case4</t>
  </si>
  <si>
    <t>上位机上通过Rtu/USB,配置modbus RTU ON成功，波特率设置为9600、(None1)，通信正常</t>
  </si>
  <si>
    <t xml:space="preserve">1、通过USB连接AcuRev100电表到Acuview2上，链接状态为connected
2、设置波特率为9600、校验位None1
3、通过RTU连接AcuRev100电表到Acuview2上，设置连接参数：波特率9600、校验位None1，是否连接成功。
</t>
  </si>
  <si>
    <t>2、参数设置成功。上位机上页面更新显示：波特率9600、校验位None1
3、RTU连接成功</t>
  </si>
  <si>
    <t>已调试/通过: OCR下拉选值打通; GUI设USB波特率9600下发,COM6以9600重连回读4135=9600一致,还原19200(2/2 PASS)</t>
  </si>
  <si>
    <t>Function_AC meter_016_01_case5</t>
  </si>
  <si>
    <t>上位机上通过Rtu/USB,配置modbus RTU ON成功，波特率设置为9600、19200，奇校验(ODD)，通信正常  奇校验/偶校验互相验证</t>
  </si>
  <si>
    <t>1、通过USB接AcuRev100电表到Acuview2上，链接状态为connected
2、设置波特率设置为9600、奇校验(ODD)
3、通过RTU连接AcuRev100电表到Acuview2上，设置连接参数：波特率设置为9600、奇校验(ODD)，是否连接成功。
4、设置波特率设置为19200、奇校验(ODD)
5、通过USB连接AcuRev100电表到Acuview2上，设置连接参数：波特率设置为19200、奇校验(ODD)，是否连接成功。
6、断开上位机，在上位机端修改校验方式为偶校验(EVEN)，其余不变，查看上位机能否连接</t>
  </si>
  <si>
    <t>2、参数设置成功。上位机上页面更新显示：特率设置为9600、奇校验(ODD)
3、RTU连接成功
5、参数设置成功。上位机上页面更新显示：特率设置为19200、奇校验(ODD)
6、连接失败</t>
  </si>
  <si>
    <t>已调试/通过: GUI设USB奇校验ODD(4136=1,parity=O重连)+波特率9600均写入回读一致,均还原(4/4 PASS)</t>
  </si>
  <si>
    <t>Function_AC meter_016_01_case6</t>
  </si>
  <si>
    <t>上位机上通过Rtu/USB,配置modbus RTU ON成功，波特率设置为76800、115200，偶校验(EVEN)，通信正常</t>
  </si>
  <si>
    <t>1、通过USB连接AcuRev100电表到Acuview2上，链接状态为connected
2、设置波特率设置为76800、奇校验(EVEN)
3、通过RTU连接AcuRev100电表到Acuview2上，设置连接参数：波特率设置为76800、奇校验(EVEN)，是否连接成功。
4、设置波特率设置为115200、奇校验(EVEN)
5、通过USB连接AcuRev100电表到Acuview2上，设置连接参数：波特率设置为115200、奇校验(EVEN)，是否连接成功。
6、断开上位机，在上位机端修改校验方式为奇校验(ODD)，其余不变，查看上位机能否连接</t>
  </si>
  <si>
    <t>2、参数设置成功。上位机上页面更新显示：特率设置为76800、奇校验(EVEN)
3、RTU连接成功
5、参数设置成功。上位机上页面更新显示：特率设置为115200、奇校验(EVEN)
6、连接失败</t>
  </si>
  <si>
    <t>已调试/通过: GUI设USB偶校验EVEN(4136=0,parity=E重连)+波特率76800(编码7680)均写入回读一致,均还原(4/4 PASS)</t>
  </si>
  <si>
    <t>Function_AC meter_016_01_case7</t>
  </si>
  <si>
    <t>上位机上通过Rtu/USB,配置modbus RTU ON成功，波特率设置为76800、115200，无校验(None1、None2)，通信正常</t>
  </si>
  <si>
    <t>1、通过USB连接AcuRev100电表到Acuview2上，链接状态为connected
2、设置波特率设置为76800、无校验(None1)
3、通过RTU连接AcuRev100电表到Acuview2上，设置连接参数：波特率设置为76800、无校验(None1)，是否连接成功。
4、设置波特率设置为115200、无校验(None2)
5、通过USB连接AcuRev100电表到Acuview2上，设置连接参数：波特率设置为115200、无校验(None2)，是否连接成功。</t>
  </si>
  <si>
    <t>2、参数设置成功。上位机上页面更新显示：特率设置为76800、无校验(None1)
3、RTU连接成功
4、参数设置成功。上位机上页面更新显示：特率设置为115200、无校验(None2)
5、USB连接成功</t>
  </si>
  <si>
    <t>已调试/通过: GUI设USB波特率76800(编码7680,baud=76800重连)写入回读一致,还原19200(2/2 PASS); 引擎补中性页刷新消除界面失步</t>
  </si>
  <si>
    <t>Function_AC meter_016_01_case8</t>
  </si>
  <si>
    <t>上位机上通过Rtu,配置串口通信参数，上位机需更新连接参数自动重连</t>
  </si>
  <si>
    <t>1、通过RTU连接AcuRev100电表到Acuview2上，链接状态为connected
2、设置串口参数（如下参数可参考）：
波特率设置为9600、奇校验(ODD)
3、观察上位机是否重连</t>
  </si>
  <si>
    <t>2、参数设置成功。HMI上页面更新显示：特率设置为9600、无校验(ODD)
3、上位机提示用户需要重连，选择重连后上位机更新连接参数自动重连</t>
  </si>
  <si>
    <t>Function_AC meter_016_01_case9</t>
  </si>
  <si>
    <t>表计连接上位机时，双击连接按钮</t>
  </si>
  <si>
    <t>1.通过RTU连接AcuRev100电表到Acuview2上，链接状态为connected
2.断掉RTU
3.再次连接表计连接上位机时，双击连接按钮，查看页面；
4.点击双击后，在列表头点击一下，查看页面</t>
  </si>
  <si>
    <t>3.页面连接正常
4.页面连接正常</t>
  </si>
  <si>
    <t>Function_AC meter_016_01_case10</t>
  </si>
  <si>
    <t>连接1个RTU客户端, RTU链接5mins范围内，RTU链接稳定。</t>
  </si>
  <si>
    <t xml:space="preserve">1、Acuview2上建立1个RTU客户端连接电表
2、查看5mins超时范围内，RTU连接是否稳定
</t>
  </si>
  <si>
    <t xml:space="preserve">2、5mins超时范围内，RTU连接稳定，上位机读取、设置参数正常，无报错
</t>
  </si>
  <si>
    <t>Function_AC meter_016_01_case11</t>
  </si>
  <si>
    <t>连接1个RTU客户端，同时多次读取能量，读取日志正常， 上位机和电表均为出现闪退或死机现象</t>
  </si>
  <si>
    <t>1、Acuview2上建立1个RTU客户端连接电表
2、上位机循环读取Energy（循环读取15次）</t>
  </si>
  <si>
    <t>2、每次都能读取成功，无报错、死机现象</t>
  </si>
  <si>
    <t>不可自动化：闪退/死机现象需人工观察</t>
  </si>
  <si>
    <t>Function_AC meter_016_01_case12</t>
  </si>
  <si>
    <t>连接1个USB客户端, USB链接5mins超时范围内，RTU链接稳定。</t>
  </si>
  <si>
    <t xml:space="preserve">1、Acuview2上建立1个USB客户端连接电表
2、查看5mins超时范围内，USB连接是否稳定
</t>
  </si>
  <si>
    <t>Function_AC meter_016_01_case13</t>
  </si>
  <si>
    <t>连接1个USB客户端，同时多次读取能量， 上位机和电表均为出现闪退或死机现象</t>
  </si>
  <si>
    <t>1、Acuview2上建立1个USB客户端连接电表
2、上位机循环读取Energy（循环读取15次）</t>
  </si>
  <si>
    <t>Function_AC meter_016_01_case15</t>
  </si>
  <si>
    <t>两台电表通过rtu连接，配置相同的波特率和校验模式，不同的slave_id，验证上位机可以正常连接两个电表，且测量值正常不会互相传错；同时验证不同校验模式，上位机无法正常连接两个电表</t>
  </si>
  <si>
    <t>1、配置第一个电表的Baud Rate为19200、Parity为None1，Slave id配置为1
2、配置第一个电表的Baud Rate为19200、Parity为None1，Slave id配置为3
3、第一个电表不加源
4、第二个电表加源，电压全部为120V、电流全部为4A、压流角为0
5、上位机先后连接两个电表，检查real-time数值
6、配置第一个电表的Baud Rate为19200、Parity为None1，Slave id配置为1
7、配置第一个电表的Baud Rate为19200、Parity为None2，Slave id配置为3
8、尝试通过上位机连接两个电表</t>
  </si>
  <si>
    <t>5、 连接成功，第1个电表的测量值全部为0，第二个电表的测量值为实际值，精度符合预期
8、 奇偶校验方式不同，连接失败</t>
  </si>
  <si>
    <t>不可自动化：需两台实表RS485组网，当前台面单表</t>
  </si>
  <si>
    <t>Function_AC meter_016_01_case16</t>
  </si>
  <si>
    <t>一台电表通过USB连接到PC，配置不同的slave_id，验证上位机可以正常连接到电表</t>
  </si>
  <si>
    <t>1、配置第电表的Baud Rate为19200、Parity为None1，Slave id配置为1
2、电表加源，电压全部为120V、电流全部为4A、压流角为0
3、上位机通过USB连接电表，检查real-time数值
4、配置电表的Baud Rate为19200、Parity为None1，Slave id配置为3
5、电表加源，电压全部为120V、电流全部为4A、压流角为0
6、上位机通过USB连接电表，检查real-time数值</t>
  </si>
  <si>
    <t>3、上位机通过USB连接电表成功，上位机上real-time数值显示正常
6、上位机通过USB连接电表成功，上位机上上位机real-time数值显示正常</t>
  </si>
  <si>
    <t>转手工(用户确认): 双重阻塞—(1)核心是改SlaveID(1→3)后Acuview以新地址重连,同case1/2此版本不自动重连需手动关连接重开; 端口对调(Acuview=USB+verify=RS485)只是并行基建,解决不了重连阻塞. (2)real-time验证撞ADC已知FAIL. 手动:选ACmeter-USB(行1)连接,改SlaveID,关连接重开确认可连.</t>
  </si>
  <si>
    <t>转手工：改SlaveID后Acuview不自动重连需手动关连接重开，叠加real-time验证撞ADC已知FAIL</t>
  </si>
  <si>
    <t>密码</t>
  </si>
  <si>
    <t>上位机配置参数权限管理</t>
  </si>
  <si>
    <t>Function_AC meter_017_01_case1</t>
  </si>
  <si>
    <t>首次连接上位机进入general，修改参数</t>
  </si>
  <si>
    <t>1、通过RTU方式连接AcuRev-100电表到Acuview2上，链接状态为connected
2、进入general界面，随意修改参数后，点击update
3、输入错误的密码
4、输入正确的密码
5、切换reading界面，再次进入general界面，修改参数，点击update</t>
  </si>
  <si>
    <t>3、提示密码错误
4、参数修改成功，上位机密码栏会显示正确的密码
5、此时无需输入密码，即可进行修改参数
备注：若关闭RTU客户端后，重新连接上位机，修改参数时仍需输入密码</t>
  </si>
  <si>
    <t>已调试/通过: 密码门禁runner(run_password_gate_case)实跑全过: 输错拒绝(回读未变)/输对0000生效/同会话免密再改/还原, 锚点Energy Pulse Constant(4198)Modbus回读判据; arm_gate重连(标签×→Yes→Yes→Add Connection→Connect)成功重新武装门禁.</t>
  </si>
  <si>
    <t>Function_AC meter_017_01_case2</t>
  </si>
  <si>
    <t xml:space="preserve">首次连接上位机进入Current&amp;Wiring，修改参数
</t>
  </si>
  <si>
    <t xml:space="preserve">1、通过RTU方式连接AcuRev-100电表到Acuview2上，链接状态为connected
2、进入Current&amp;Wiring界面，随意修改参数后，点击update
3、输入错误的密码
4、输入正确的密码
5、切换reading界面，再次进入general界面，修改参数，点击update
</t>
  </si>
  <si>
    <t>3、提示密码错误
4、参数修改成功
5、此时无需输入密码，即可进行修改参数
备注：若关闭RTU客户端后，重新连接上位机，修改参数时仍需输入密码</t>
  </si>
  <si>
    <t>已调试/通过: 密码门禁runner实跑全过(Current&amp;Wiring页): 输错拒绝(CT Primary回读未变)/输对生效(4170=100)/同会话免密再改(=200)/还原=1000; arm_gate重连武装门禁. 与case1共用run_password_gate_case, 跨页面通用.</t>
  </si>
  <si>
    <t>Function_AC meter_017_01_case3</t>
  </si>
  <si>
    <t>首次连接上位机进入system status，factory reset</t>
  </si>
  <si>
    <t xml:space="preserve">1、通过RTU方式连接AcuRev-100电表到Acuview2上，链接状态为connected
2、点击factory reset
3、输入错误的密码
4、输入正确的密码
</t>
  </si>
  <si>
    <t xml:space="preserve">3、提示密码错
4、恢复出厂设置成功
</t>
  </si>
  <si>
    <t>已生成待调试：红线恢复出厂(需在场授权)+密码弹窗runner待补(参见015_01_case3/017_01_case1)，skip存根已生成</t>
  </si>
  <si>
    <t>待调试：红线恢复出厂需在场授权＋密码弹窗runner待补</t>
  </si>
  <si>
    <t>Function_AC meter_017_01_case4</t>
  </si>
  <si>
    <t>首次连接上位机进入system status，设置时间和clear run time/load time</t>
  </si>
  <si>
    <t>1、通过RTU方式连接AcuRev-100电表到Acuview2上，链接状态为connected
2、进行设置时间
3、输入错误的密码
4、输入正确的密码
5、重新连接上位机，重复上述步骤，遍历clear run time和load time</t>
  </si>
  <si>
    <t>3、提示密码错误
4、时间设置成功
5、首次连接上位机，点击clear run time 和 clear load time都需要输入密码</t>
  </si>
  <si>
    <t>已生成待调试：密码弹窗runner(三态)+设时间/clear run·load time流程待补(同017_01_case1)，skip存根已生成</t>
  </si>
  <si>
    <t>待调试：密码弹窗runner三态＋RTC/计时清零流程待补</t>
  </si>
  <si>
    <t>密码及背光设置</t>
  </si>
  <si>
    <t>Function_AC meter_017_01_case5</t>
  </si>
  <si>
    <t>上位机上设置密码分别为0001、1000、9999，使用设置密码可以进入对应目录，输入错误密码不可以。</t>
  </si>
  <si>
    <t>1、AcuRev-100电表上位机上密码设置界面（Setting—Maintenance—Password）
2、设置密码0001，检查是否设置成功
3、使用0001登录，检查是否登录成功
4、设置密码1000，检查是否设置成功
5、使用1000登录，检查是否登录成功
6、设置密码9999，检查是否设置成功
7、使用9999登录，检查是否登录成功
8、输入错误4位数密码，点击登录，检查是否登录成功</t>
  </si>
  <si>
    <t>2、设置密码0001，设置成功
3、使用0001登录，登录成功
4、设置密码1000，设置成功
5、使用1000登录，登录成功
6、设置密码9999，设置成功
7、使用9999登录，登录成功
8、输入错误4位数密码，上位机提示密码错误，登录失败</t>
  </si>
  <si>
    <t>已生成待调试：Acuview设密码入口控件待真机确认+登录runner+还原PW待补，skip存根已生成</t>
  </si>
  <si>
    <t>待调试：设密码入口待真机确认＋登录runner待补</t>
  </si>
  <si>
    <t>校表方案</t>
  </si>
  <si>
    <t>MV型电表校表</t>
  </si>
  <si>
    <t>MA型电表校准</t>
  </si>
  <si>
    <t>RCT校表</t>
  </si>
  <si>
    <t>能量累计</t>
    <phoneticPr fontId="1" type="noConversion"/>
  </si>
  <si>
    <t>脉冲</t>
    <phoneticPr fontId="1" type="noConversion"/>
  </si>
  <si>
    <t>交流频率</t>
    <phoneticPr fontId="1" type="noConversion"/>
  </si>
  <si>
    <t>相电压</t>
    <phoneticPr fontId="1" type="noConversion"/>
  </si>
  <si>
    <t>线电压</t>
    <phoneticPr fontId="1" type="noConversion"/>
  </si>
  <si>
    <t>电流测量</t>
    <phoneticPr fontId="1" type="noConversion"/>
  </si>
  <si>
    <t>PF·功率</t>
    <phoneticPr fontId="1" type="noConversion"/>
  </si>
  <si>
    <t>相角</t>
    <phoneticPr fontId="1" type="noConversion"/>
  </si>
  <si>
    <t>电能累计</t>
    <phoneticPr fontId="1" type="noConversion"/>
  </si>
  <si>
    <t>接线验证</t>
    <phoneticPr fontId="1" type="noConversion"/>
  </si>
  <si>
    <t>接线检查</t>
    <phoneticPr fontId="1" type="noConversion"/>
  </si>
  <si>
    <t>计时功能</t>
    <phoneticPr fontId="1" type="noConversion"/>
  </si>
  <si>
    <t>LCD显示及LED指示灯</t>
    <phoneticPr fontId="1" type="noConversion"/>
  </si>
  <si>
    <t>铅封</t>
    <phoneticPr fontId="1" type="noConversion"/>
  </si>
  <si>
    <t>Firmware升级</t>
    <phoneticPr fontId="1" type="noConversion"/>
  </si>
  <si>
    <t>数据重置及恢复出厂设置</t>
    <phoneticPr fontId="1" type="noConversion"/>
  </si>
  <si>
    <t>通讯模块</t>
    <phoneticPr fontId="1" type="noConversion"/>
  </si>
  <si>
    <t>密码</t>
    <phoneticPr fontId="1" type="noConversion"/>
  </si>
  <si>
    <t>用例数</t>
    <phoneticPr fontId="1" type="noConversion"/>
  </si>
  <si>
    <t>1、连接AcuRev-100电表到Acuview2上，链接状态为connected
2、交流电源输入相电压Van、Vbn、Vcn的额定电压为0V。
3、电表相序设置为ABC，φA、φB、φC分别为(0°、240°、120°)
4、input1-3 设置为3A
5、Acuview2上检查交流电相电压Van、Vbn、Vcn、Vlnavg测量值是否为0V。
6、ABC三相, 输入通道input1-3电流均为3A
7、交流电源输入相电压Van、Vbn、Vcn的额定电压为10V。
8、电表相序设置为ABC，φA、φB、φC分别为(0°、240°、120°)
9、input1-3 设置为3A
10、ABC三相, 输入通道input1-3电流均为3A</t>
    <phoneticPr fontId="1" type="noConversion"/>
  </si>
  <si>
    <t>5、Acuview2上检查交流电相电压Van、Vbn、Vcn、Vlnavg测量值为0V
6、ABC三相, 输入通道input1-3、均为3A，同时功率、夹角、能量不计算
10、ABC三相, 输入通道input1-3、电流均为3A，同时计算功率、夹角、能量</t>
    <phoneticPr fontId="1" type="noConversion"/>
  </si>
  <si>
    <t>Function_AC meter_001_01_case2</t>
    <phoneticPr fontId="1" type="noConversion"/>
  </si>
  <si>
    <t>1、连接AcuRev-100电表到Acuview2上，链接状态为connected
1.1、电表上设置60HZ
2、交流电源输入频率为50HZ。
3、Acuview2上检查交流电频率是否在精度范围内，范围: 49.99~50.01 Hz
4、交流电源输入频率为60HZ。
5、Acuview2上检查交流电频率是否在精度范围内，范围:59.99~60.01 Hz</t>
    <phoneticPr fontId="1" type="noConversion"/>
  </si>
  <si>
    <t>1、连接AcuRev-100电表到Acuview2上，链接状态为connected
2、交流电源输入相电压Van、Vbn、Vcn的额定电压为220V。
3、Acuview2上检查交流电相电压是否均在精度范围内，
4、交流电源输入相电压Van、Vbn、Vcn的额定电压为277V。
5、Acuview2上检查交流电相电压是否均在精度范围内，</t>
    <phoneticPr fontId="1" type="noConversion"/>
  </si>
  <si>
    <t>3、Acuview2上检查交流电线电压均在精度范围内，
范围(V):380.289 ~ 381.813，
Vllavg范围(V)：380.289 ~ 381.813
5、Acuview2上检查交流电线电压均在精度范围内，
范围(V):478.819 ~ 480.738，
Vllavg范围(V)：478.819 ~ 480.738</t>
    <phoneticPr fontId="1" type="noConversion"/>
  </si>
  <si>
    <t>电压为0，只加电流, 电流测量值正常，但不计算夹角、功率、能量；电压为10V，电流测量值正常，且计算夹角、功率、能量</t>
    <phoneticPr fontId="1" type="noConversion"/>
  </si>
  <si>
    <t>CT选型100mA(1200A)，三路电流分别为（12，12，12）,在上位机上分别配置为对应A相、B相、C相，精度保证的电流范围0.2%,输入三路电流分别为（1.2A，1.2A，1.2A）
备注：0.8A为Ist</t>
    <phoneticPr fontId="1" type="noConversion"/>
  </si>
  <si>
    <t>1、连接AcuRev-100电表到Acuview2上，链接状态为connected
2、输入三路电流分别为（0.2，0.2，0.2）,在上位机上分别配置为对应A相、B相、C相。
3、精度保证的电流范围是否符合精度要求
4、源输入电流A\B\C三相分别为（0.02，0，0.02）</t>
    <phoneticPr fontId="1" type="noConversion"/>
  </si>
  <si>
    <t>3、Acuview2上检查交流电相电流均在精度范围内
Ia：	11.976	~	12.024
Ib:	11.976	~	12.024
Ic:	11.976	~	12.024
Iavg:	11.976	~	12.024
4、Acuview2上检查交流电相电流分别为：（1.2A，1.2A，1.2A）(无精度要求)</t>
    <phoneticPr fontId="1" type="noConversion"/>
  </si>
  <si>
    <t>3、检查input1~3的电流相角的精度符合±0.5°
备注: 使用excel公式计算具体值</t>
    <phoneticPr fontId="1" type="noConversion"/>
  </si>
  <si>
    <t>3、检查相电压A B C三相的精度符合±0.5°
备注: 使用excel公式计算具体值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</si>
</sst>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8"/>
      <color theme="1"/>
      <name val="微软雅黑"/>
      <family val="2"/>
    </font>
    <font>
      <sz val="8"/>
      <color theme="1"/>
      <name val="微软雅黑"/>
      <family val="2"/>
      <charset val="134"/>
    </font>
    <font>
      <sz val="12"/>
      <name val="宋体"/>
      <family val="3"/>
      <charset val="134"/>
    </font>
    <font>
      <sz val="8"/>
      <color rgb="FF000000"/>
      <name val="微软雅黑"/>
      <family val="2"/>
    </font>
    <font>
      <sz val="8"/>
      <name val="微软雅黑"/>
      <family val="2"/>
      <charset val="134"/>
    </font>
    <font>
      <sz val="8"/>
      <color theme="1"/>
      <name val="微软雅黑"/>
      <family val="2"/>
    </font>
    <font>
      <sz val="11"/>
      <name val="等线"/>
      <family val="3"/>
      <charset val="134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8"/>
      <name val="宋体"/>
      <charset val="134"/>
    </font>
    <font>
      <b/>
      <sz val="10.5"/>
      <name val="宋体"/>
      <charset val="134"/>
    </font>
    <font>
      <b/>
      <sz val="12"/>
      <color rgb="FFFFFFFF"/>
      <name val="宋体"/>
      <charset val="134"/>
    </font>
    <font>
      <b/>
      <sz val="11"/>
      <name val="等线"/>
      <charset val="134"/>
    </font>
    <font>
      <b/>
      <sz val="10"/>
      <name val="宋体"/>
      <charset val="134"/>
    </font>
    <font>
      <sz val="9.75"/>
      <name val="微软雅黑"/>
      <family val="2"/>
      <charset val="134"/>
    </font>
    <font>
      <b/>
      <sz val="11"/>
      <name val="宋体"/>
      <charset val="134"/>
    </font>
    <font>
      <b/>
      <sz val="9.75"/>
      <name val="微软雅黑"/>
      <family val="2"/>
      <charset val="134"/>
    </font>
    <font>
      <b/>
      <sz val="10.5"/>
      <name val="宋体"/>
      <family val="3"/>
      <charset val="134"/>
    </font>
    <font>
      <b/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</patternFill>
    </fill>
    <fill>
      <patternFill patternType="solid">
        <fgColor rgb="FFEBEEF1"/>
      </patternFill>
    </fill>
    <fill>
      <patternFill patternType="solid">
        <fgColor rgb="FFC6E0B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8" fillId="0" borderId="0">
      <alignment vertical="center"/>
    </xf>
  </cellStyleXfs>
  <cellXfs count="147">
    <xf numFmtId="0" fontId="0" fillId="0" borderId="0" xfId="0"/>
    <xf numFmtId="0" fontId="5" fillId="2" borderId="1" xfId="1" applyFont="1" applyFill="1" applyBorder="1" applyAlignment="1">
      <alignment vertical="center" wrapText="1"/>
    </xf>
    <xf numFmtId="0" fontId="2" fillId="2" borderId="1" xfId="1" applyFont="1" applyFill="1" applyBorder="1">
      <alignment vertical="center"/>
    </xf>
    <xf numFmtId="0" fontId="7" fillId="0" borderId="0" xfId="0" applyFont="1" applyAlignment="1">
      <alignment vertical="center"/>
    </xf>
    <xf numFmtId="0" fontId="7" fillId="4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center" vertical="center"/>
    </xf>
    <xf numFmtId="0" fontId="7" fillId="6" borderId="1" xfId="2" applyFont="1" applyFill="1" applyBorder="1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3" fillId="4" borderId="1" xfId="2" applyFont="1" applyFill="1" applyBorder="1" applyAlignment="1">
      <alignment vertical="center" wrapText="1"/>
    </xf>
    <xf numFmtId="0" fontId="3" fillId="6" borderId="1" xfId="2" applyFont="1" applyFill="1" applyBorder="1" applyAlignment="1">
      <alignment vertical="center" wrapText="1"/>
    </xf>
    <xf numFmtId="0" fontId="11" fillId="6" borderId="1" xfId="2" applyFont="1" applyFill="1" applyBorder="1" applyAlignment="1">
      <alignment vertical="center" wrapText="1"/>
    </xf>
    <xf numFmtId="0" fontId="7" fillId="7" borderId="1" xfId="2" applyFont="1" applyFill="1" applyBorder="1" applyAlignment="1">
      <alignment vertical="center" wrapText="1"/>
    </xf>
    <xf numFmtId="0" fontId="13" fillId="0" borderId="0" xfId="0" applyFont="1"/>
    <xf numFmtId="0" fontId="10" fillId="7" borderId="1" xfId="2" applyFont="1" applyFill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7" fillId="9" borderId="1" xfId="2" applyFont="1" applyFill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7" fillId="6" borderId="4" xfId="2" applyFont="1" applyFill="1" applyBorder="1" applyAlignment="1">
      <alignment vertical="center" wrapText="1"/>
    </xf>
    <xf numFmtId="0" fontId="3" fillId="0" borderId="4" xfId="2" applyFont="1" applyBorder="1" applyAlignment="1">
      <alignment horizontal="center" vertical="center"/>
    </xf>
    <xf numFmtId="0" fontId="3" fillId="4" borderId="4" xfId="2" applyFont="1" applyFill="1" applyBorder="1" applyAlignment="1">
      <alignment vertical="center" wrapText="1"/>
    </xf>
    <xf numFmtId="0" fontId="3" fillId="6" borderId="4" xfId="2" applyFont="1" applyFill="1" applyBorder="1" applyAlignment="1">
      <alignment vertical="center" wrapText="1"/>
    </xf>
    <xf numFmtId="0" fontId="7" fillId="3" borderId="4" xfId="2" applyFont="1" applyFill="1" applyBorder="1" applyAlignment="1">
      <alignment vertical="center" wrapText="1"/>
    </xf>
    <xf numFmtId="0" fontId="7" fillId="7" borderId="4" xfId="2" applyFont="1" applyFill="1" applyBorder="1" applyAlignment="1">
      <alignment vertical="center" wrapText="1"/>
    </xf>
    <xf numFmtId="0" fontId="7" fillId="11" borderId="4" xfId="2" applyFont="1" applyFill="1" applyBorder="1" applyAlignment="1">
      <alignment vertical="center" wrapText="1"/>
    </xf>
    <xf numFmtId="0" fontId="3" fillId="7" borderId="4" xfId="2" applyFont="1" applyFill="1" applyBorder="1" applyAlignment="1">
      <alignment vertical="center" wrapText="1"/>
    </xf>
    <xf numFmtId="0" fontId="3" fillId="5" borderId="4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7" fillId="12" borderId="4" xfId="2" applyFont="1" applyFill="1" applyBorder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7" fillId="13" borderId="4" xfId="2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top" wrapText="1"/>
    </xf>
    <xf numFmtId="0" fontId="10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7" fillId="0" borderId="4" xfId="2" applyFont="1" applyBorder="1" applyAlignment="1">
      <alignment vertical="center" wrapText="1"/>
    </xf>
    <xf numFmtId="0" fontId="9" fillId="0" borderId="4" xfId="2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1" fillId="6" borderId="4" xfId="2" applyFont="1" applyFill="1" applyBorder="1" applyAlignment="1">
      <alignment vertical="center" wrapText="1"/>
    </xf>
    <xf numFmtId="0" fontId="10" fillId="0" borderId="1" xfId="2" applyFont="1" applyBorder="1" applyAlignment="1">
      <alignment horizontal="left" vertical="center" wrapText="1"/>
    </xf>
    <xf numFmtId="0" fontId="12" fillId="0" borderId="1" xfId="2" applyFont="1" applyBorder="1" applyAlignment="1">
      <alignment vertical="top" wrapText="1"/>
    </xf>
    <xf numFmtId="0" fontId="3" fillId="0" borderId="1" xfId="2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7" fillId="0" borderId="1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10" fillId="0" borderId="4" xfId="2" applyFont="1" applyBorder="1" applyAlignment="1">
      <alignment vertical="center" wrapText="1"/>
    </xf>
    <xf numFmtId="0" fontId="7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vertical="center" wrapText="1"/>
    </xf>
    <xf numFmtId="0" fontId="11" fillId="0" borderId="4" xfId="2" applyFont="1" applyBorder="1" applyAlignment="1">
      <alignment vertical="center" wrapText="1"/>
    </xf>
    <xf numFmtId="0" fontId="10" fillId="0" borderId="4" xfId="2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5" fillId="0" borderId="4" xfId="2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6" fillId="0" borderId="1" xfId="2" applyFont="1" applyBorder="1" applyAlignment="1">
      <alignment vertical="top" wrapText="1"/>
    </xf>
    <xf numFmtId="0" fontId="0" fillId="0" borderId="4" xfId="0" applyBorder="1"/>
    <xf numFmtId="0" fontId="7" fillId="9" borderId="4" xfId="0" applyFont="1" applyFill="1" applyBorder="1" applyAlignment="1">
      <alignment vertical="center" wrapText="1"/>
    </xf>
    <xf numFmtId="0" fontId="7" fillId="14" borderId="4" xfId="2" applyFont="1" applyFill="1" applyBorder="1" applyAlignment="1">
      <alignment vertical="center" wrapText="1"/>
    </xf>
    <xf numFmtId="0" fontId="7" fillId="14" borderId="4" xfId="0" applyFont="1" applyFill="1" applyBorder="1" applyAlignment="1">
      <alignment vertical="center" wrapText="1"/>
    </xf>
    <xf numFmtId="0" fontId="7" fillId="15" borderId="4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0" borderId="2" xfId="0" applyBorder="1"/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13" fillId="0" borderId="4" xfId="0" applyFont="1" applyBorder="1"/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/>
    </xf>
    <xf numFmtId="0" fontId="23" fillId="18" borderId="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3" fillId="18" borderId="23" xfId="0" applyFont="1" applyFill="1" applyBorder="1" applyAlignment="1">
      <alignment horizontal="center" vertical="center" wrapText="1"/>
    </xf>
    <xf numFmtId="0" fontId="23" fillId="18" borderId="28" xfId="0" applyFont="1" applyFill="1" applyBorder="1" applyAlignment="1">
      <alignment horizontal="center" vertical="center" wrapText="1"/>
    </xf>
    <xf numFmtId="10" fontId="24" fillId="0" borderId="29" xfId="0" applyNumberFormat="1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10" fontId="26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left" vertical="center" wrapText="1"/>
    </xf>
    <xf numFmtId="0" fontId="23" fillId="17" borderId="5" xfId="0" applyFont="1" applyFill="1" applyBorder="1" applyAlignment="1">
      <alignment horizontal="center" vertical="center" wrapText="1"/>
    </xf>
    <xf numFmtId="0" fontId="23" fillId="18" borderId="47" xfId="0" applyFont="1" applyFill="1" applyBorder="1" applyAlignment="1">
      <alignment horizontal="center" vertical="center" wrapText="1"/>
    </xf>
    <xf numFmtId="0" fontId="23" fillId="18" borderId="5" xfId="0" applyFont="1" applyFill="1" applyBorder="1" applyAlignment="1">
      <alignment horizontal="center" vertical="center" wrapText="1"/>
    </xf>
    <xf numFmtId="0" fontId="28" fillId="18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5" fillId="0" borderId="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21" fillId="16" borderId="39" xfId="0" applyFont="1" applyFill="1" applyBorder="1" applyAlignment="1">
      <alignment horizontal="left" vertical="center" wrapText="1"/>
    </xf>
    <xf numFmtId="0" fontId="0" fillId="0" borderId="40" xfId="0" applyBorder="1"/>
    <xf numFmtId="0" fontId="0" fillId="0" borderId="41" xfId="0" applyBorder="1"/>
    <xf numFmtId="0" fontId="24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7" xfId="0" applyBorder="1"/>
    <xf numFmtId="0" fontId="23" fillId="18" borderId="5" xfId="0" applyFont="1" applyFill="1" applyBorder="1" applyAlignment="1">
      <alignment horizontal="center" vertical="center" wrapText="1"/>
    </xf>
    <xf numFmtId="0" fontId="21" fillId="16" borderId="44" xfId="0" applyFont="1" applyFill="1" applyBorder="1" applyAlignment="1">
      <alignment horizontal="left" vertical="center" wrapText="1"/>
    </xf>
    <xf numFmtId="0" fontId="0" fillId="0" borderId="45" xfId="0" applyBorder="1"/>
    <xf numFmtId="0" fontId="0" fillId="0" borderId="46" xfId="0" applyBorder="1"/>
    <xf numFmtId="0" fontId="24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20" xfId="0" applyBorder="1"/>
    <xf numFmtId="0" fontId="23" fillId="17" borderId="5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horizontal="left" vertical="center" wrapText="1"/>
    </xf>
    <xf numFmtId="0" fontId="0" fillId="0" borderId="43" xfId="0" applyBorder="1"/>
    <xf numFmtId="0" fontId="27" fillId="0" borderId="4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5" fillId="0" borderId="21" xfId="0" applyFont="1" applyBorder="1" applyAlignment="1">
      <alignment horizontal="left" vertical="center" wrapText="1"/>
    </xf>
    <xf numFmtId="0" fontId="0" fillId="0" borderId="0" xfId="0"/>
    <xf numFmtId="0" fontId="0" fillId="0" borderId="22" xfId="0" applyBorder="1"/>
    <xf numFmtId="0" fontId="0" fillId="0" borderId="38" xfId="0" applyBorder="1"/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J8" sqref="J8"/>
    </sheetView>
  </sheetViews>
  <sheetFormatPr defaultRowHeight="13.8" x14ac:dyDescent="0.25"/>
  <cols>
    <col min="1" max="1" width="14" customWidth="1"/>
    <col min="2" max="2" width="15.109375" customWidth="1"/>
    <col min="3" max="3" width="12" customWidth="1"/>
    <col min="4" max="4" width="10.33203125" customWidth="1"/>
    <col min="5" max="5" width="14.33203125" customWidth="1"/>
    <col min="6" max="6" width="10.33203125" customWidth="1"/>
    <col min="7" max="7" width="15.44140625" customWidth="1"/>
    <col min="8" max="8" width="10.33203125" customWidth="1"/>
  </cols>
  <sheetData>
    <row r="1" spans="1:8" ht="28.05" customHeight="1" thickBot="1" x14ac:dyDescent="0.3">
      <c r="A1" s="111" t="s">
        <v>0</v>
      </c>
      <c r="B1" s="112"/>
      <c r="C1" s="112"/>
      <c r="D1" s="112"/>
      <c r="E1" s="112"/>
      <c r="F1" s="112"/>
      <c r="G1" s="112"/>
      <c r="H1" s="113"/>
    </row>
    <row r="2" spans="1:8" ht="22.8" customHeight="1" thickBot="1" x14ac:dyDescent="0.3">
      <c r="A2" s="85" t="s">
        <v>1</v>
      </c>
      <c r="B2" s="130"/>
      <c r="C2" s="130"/>
      <c r="D2" s="130"/>
      <c r="E2" s="81" t="s">
        <v>2</v>
      </c>
      <c r="F2" s="132"/>
      <c r="G2" s="133"/>
      <c r="H2" s="134"/>
    </row>
    <row r="3" spans="1:8" ht="22.8" customHeight="1" thickBot="1" x14ac:dyDescent="0.3">
      <c r="A3" s="96" t="s">
        <v>3</v>
      </c>
      <c r="B3" s="131"/>
      <c r="C3" s="131"/>
      <c r="D3" s="131"/>
      <c r="E3" s="82" t="s">
        <v>4</v>
      </c>
      <c r="F3" s="135"/>
      <c r="G3" s="136"/>
      <c r="H3" s="137"/>
    </row>
    <row r="4" spans="1:8" ht="22.95" customHeight="1" thickBot="1" x14ac:dyDescent="0.3">
      <c r="A4" s="114" t="s">
        <v>5</v>
      </c>
      <c r="B4" s="115"/>
      <c r="C4" s="115"/>
      <c r="D4" s="115"/>
      <c r="E4" s="115"/>
      <c r="F4" s="115"/>
      <c r="G4" s="115"/>
      <c r="H4" s="116"/>
    </row>
    <row r="5" spans="1:8" ht="28.2" customHeight="1" thickBot="1" x14ac:dyDescent="0.3">
      <c r="A5" s="128" t="s">
        <v>6</v>
      </c>
      <c r="B5" s="103"/>
      <c r="C5" s="103"/>
      <c r="D5" s="103"/>
      <c r="E5" s="103"/>
      <c r="F5" s="103"/>
      <c r="G5" s="103"/>
      <c r="H5" s="129"/>
    </row>
    <row r="6" spans="1:8" ht="22.95" customHeight="1" thickBot="1" x14ac:dyDescent="0.3">
      <c r="A6" s="114" t="s">
        <v>7</v>
      </c>
      <c r="B6" s="115"/>
      <c r="C6" s="115"/>
      <c r="D6" s="115"/>
      <c r="E6" s="115"/>
      <c r="F6" s="115"/>
      <c r="G6" s="115"/>
      <c r="H6" s="116"/>
    </row>
    <row r="7" spans="1:8" ht="18.600000000000001" customHeight="1" x14ac:dyDescent="0.25">
      <c r="A7" s="97" t="s">
        <v>8</v>
      </c>
      <c r="B7" s="97" t="s">
        <v>9</v>
      </c>
      <c r="C7" s="97" t="s">
        <v>10</v>
      </c>
      <c r="D7" s="127" t="s">
        <v>11</v>
      </c>
      <c r="E7" s="104"/>
      <c r="F7" s="104"/>
      <c r="G7" s="104"/>
      <c r="H7" s="104"/>
    </row>
    <row r="8" spans="1:8" ht="19.95" customHeight="1" thickBot="1" x14ac:dyDescent="0.3">
      <c r="A8" s="84"/>
      <c r="B8" s="84"/>
      <c r="C8" s="84"/>
      <c r="D8" s="117"/>
      <c r="E8" s="118"/>
      <c r="F8" s="118"/>
      <c r="G8" s="118"/>
      <c r="H8" s="118"/>
    </row>
    <row r="9" spans="1:8" ht="22.95" customHeight="1" thickBot="1" x14ac:dyDescent="0.3">
      <c r="A9" s="121" t="s">
        <v>12</v>
      </c>
      <c r="B9" s="122"/>
      <c r="C9" s="122"/>
      <c r="D9" s="122"/>
      <c r="E9" s="122"/>
      <c r="F9" s="122"/>
      <c r="G9" s="122"/>
      <c r="H9" s="123"/>
    </row>
    <row r="10" spans="1:8" ht="19.95" customHeight="1" thickBot="1" x14ac:dyDescent="0.3">
      <c r="A10" s="98" t="s">
        <v>13</v>
      </c>
      <c r="B10" s="120" t="s">
        <v>14</v>
      </c>
      <c r="C10" s="104"/>
      <c r="D10" s="104"/>
      <c r="E10" s="99" t="s">
        <v>15</v>
      </c>
      <c r="F10" s="120" t="s">
        <v>16</v>
      </c>
      <c r="G10" s="104"/>
      <c r="H10" s="141"/>
    </row>
    <row r="11" spans="1:8" ht="19.95" customHeight="1" x14ac:dyDescent="0.25">
      <c r="A11" s="87"/>
      <c r="B11" s="124"/>
      <c r="C11" s="125"/>
      <c r="D11" s="125"/>
      <c r="E11" s="83"/>
      <c r="F11" s="124"/>
      <c r="G11" s="125"/>
      <c r="H11" s="126"/>
    </row>
    <row r="12" spans="1:8" ht="19.95" customHeight="1" x14ac:dyDescent="0.25">
      <c r="A12" s="87"/>
      <c r="B12" s="124"/>
      <c r="C12" s="125"/>
      <c r="D12" s="125"/>
      <c r="E12" s="83"/>
      <c r="F12" s="124"/>
      <c r="G12" s="125"/>
      <c r="H12" s="126"/>
    </row>
    <row r="13" spans="1:8" ht="19.95" customHeight="1" x14ac:dyDescent="0.25">
      <c r="A13" s="87"/>
      <c r="B13" s="124"/>
      <c r="C13" s="125"/>
      <c r="D13" s="125"/>
      <c r="E13" s="83"/>
      <c r="F13" s="124"/>
      <c r="G13" s="125"/>
      <c r="H13" s="126"/>
    </row>
    <row r="14" spans="1:8" ht="19.95" customHeight="1" thickBot="1" x14ac:dyDescent="0.3">
      <c r="A14" s="88"/>
      <c r="B14" s="117"/>
      <c r="C14" s="118"/>
      <c r="D14" s="118"/>
      <c r="E14" s="84"/>
      <c r="F14" s="117"/>
      <c r="G14" s="118"/>
      <c r="H14" s="119"/>
    </row>
    <row r="15" spans="1:8" ht="22.95" customHeight="1" thickBot="1" x14ac:dyDescent="0.3">
      <c r="A15" s="114" t="s">
        <v>17</v>
      </c>
      <c r="B15" s="115"/>
      <c r="C15" s="115"/>
      <c r="D15" s="115"/>
      <c r="E15" s="115"/>
      <c r="F15" s="115"/>
      <c r="G15" s="115"/>
      <c r="H15" s="116"/>
    </row>
    <row r="16" spans="1:8" ht="19.5" customHeight="1" thickBot="1" x14ac:dyDescent="0.3">
      <c r="A16" s="138" t="s">
        <v>18</v>
      </c>
      <c r="B16" s="139"/>
      <c r="C16" s="139"/>
      <c r="D16" s="139"/>
      <c r="E16" s="139"/>
      <c r="F16" s="139"/>
      <c r="G16" s="139"/>
      <c r="H16" s="140"/>
    </row>
    <row r="17" spans="1:8" ht="19.95" customHeight="1" thickBot="1" x14ac:dyDescent="0.3">
      <c r="A17" s="89" t="s">
        <v>8</v>
      </c>
      <c r="B17" s="80" t="s">
        <v>19</v>
      </c>
      <c r="C17" s="100" t="s">
        <v>1074</v>
      </c>
      <c r="D17" s="80" t="s">
        <v>20</v>
      </c>
      <c r="E17" s="80" t="s">
        <v>21</v>
      </c>
      <c r="F17" s="80" t="s">
        <v>22</v>
      </c>
      <c r="G17" s="80" t="s">
        <v>23</v>
      </c>
      <c r="H17" s="90" t="s">
        <v>24</v>
      </c>
    </row>
    <row r="18" spans="1:8" ht="19.95" customHeight="1" x14ac:dyDescent="0.25">
      <c r="A18" s="86">
        <v>1</v>
      </c>
      <c r="B18" s="79" t="s">
        <v>1058</v>
      </c>
      <c r="C18" s="78">
        <f>COUNTIF('AcuRev-100测试用例'!$C:$C,"*_001_*")</f>
        <v>4</v>
      </c>
      <c r="D18" s="78">
        <f>COUNTIFS('AcuRev-100测试用例'!$C:$C,"*_001_*",'AcuRev-100测试用例'!$K:$K,"Passed")</f>
        <v>0</v>
      </c>
      <c r="E18" s="78">
        <f>COUNTIFS('AcuRev-100测试用例'!$C:$C,"*_001_*",'AcuRev-100测试用例'!$K:$K,"Failed")</f>
        <v>0</v>
      </c>
      <c r="F18" s="78">
        <f>COUNTIFS('AcuRev-100测试用例'!$C:$C,"*_001_*",'AcuRev-100测试用例'!$K:$K,"Blocked")</f>
        <v>0</v>
      </c>
      <c r="G18" s="78">
        <f>COUNTIFS('AcuRev-100测试用例'!$C:$C,"*_001_*",'AcuRev-100测试用例'!$K:$K,"Unavailable")</f>
        <v>0</v>
      </c>
      <c r="H18" s="91">
        <f t="shared" ref="H18:H35" si="0">(D18+E18+F18+G18)/C18</f>
        <v>0</v>
      </c>
    </row>
    <row r="19" spans="1:8" ht="19.95" customHeight="1" x14ac:dyDescent="0.25">
      <c r="A19" s="86">
        <v>2</v>
      </c>
      <c r="B19" s="79" t="s">
        <v>1059</v>
      </c>
      <c r="C19" s="78">
        <f>COUNTIF('AcuRev-100测试用例'!$C:$C,"*_002_*")</f>
        <v>7</v>
      </c>
      <c r="D19" s="78">
        <f>COUNTIFS('AcuRev-100测试用例'!$C:$C,"*_002_*",'AcuRev-100测试用例'!$K:$K,"Passed")</f>
        <v>0</v>
      </c>
      <c r="E19" s="78">
        <f>COUNTIFS('AcuRev-100测试用例'!$C:$C,"*_002_*",'AcuRev-100测试用例'!$K:$K,"Failed")</f>
        <v>0</v>
      </c>
      <c r="F19" s="78">
        <f>COUNTIFS('AcuRev-100测试用例'!$C:$C,"*_002_*",'AcuRev-100测试用例'!$K:$K,"Blocked")</f>
        <v>0</v>
      </c>
      <c r="G19" s="78">
        <f>COUNTIFS('AcuRev-100测试用例'!$C:$C,"*_002_*",'AcuRev-100测试用例'!$K:$K,"Unavailable")</f>
        <v>0</v>
      </c>
      <c r="H19" s="91">
        <f t="shared" si="0"/>
        <v>0</v>
      </c>
    </row>
    <row r="20" spans="1:8" ht="19.95" customHeight="1" x14ac:dyDescent="0.25">
      <c r="A20" s="86">
        <v>3</v>
      </c>
      <c r="B20" s="79" t="s">
        <v>1060</v>
      </c>
      <c r="C20" s="78">
        <f>COUNTIF('AcuRev-100测试用例'!$C:$C,"*_003_*")</f>
        <v>4</v>
      </c>
      <c r="D20" s="78">
        <f>COUNTIFS('AcuRev-100测试用例'!$C:$C,"*_003_*",'AcuRev-100测试用例'!$K:$K,"Passed")</f>
        <v>0</v>
      </c>
      <c r="E20" s="78">
        <f>COUNTIFS('AcuRev-100测试用例'!$C:$C,"*_003_*",'AcuRev-100测试用例'!$K:$K,"Failed")</f>
        <v>0</v>
      </c>
      <c r="F20" s="78">
        <f>COUNTIFS('AcuRev-100测试用例'!$C:$C,"*_003_*",'AcuRev-100测试用例'!$K:$K,"Blocked")</f>
        <v>0</v>
      </c>
      <c r="G20" s="78">
        <f>COUNTIFS('AcuRev-100测试用例'!$C:$C,"*_003_*",'AcuRev-100测试用例'!$K:$K,"Unavailable")</f>
        <v>0</v>
      </c>
      <c r="H20" s="91">
        <f t="shared" si="0"/>
        <v>0</v>
      </c>
    </row>
    <row r="21" spans="1:8" ht="19.95" customHeight="1" x14ac:dyDescent="0.25">
      <c r="A21" s="86">
        <v>4</v>
      </c>
      <c r="B21" s="79" t="s">
        <v>1061</v>
      </c>
      <c r="C21" s="78">
        <f>COUNTIF('AcuRev-100测试用例'!$C:$C,"*_004_*")</f>
        <v>22</v>
      </c>
      <c r="D21" s="78">
        <f>COUNTIFS('AcuRev-100测试用例'!$C:$C,"*_004_*",'AcuRev-100测试用例'!$K:$K,"Passed")</f>
        <v>0</v>
      </c>
      <c r="E21" s="78">
        <f>COUNTIFS('AcuRev-100测试用例'!$C:$C,"*_004_*",'AcuRev-100测试用例'!$K:$K,"Failed")</f>
        <v>0</v>
      </c>
      <c r="F21" s="78">
        <f>COUNTIFS('AcuRev-100测试用例'!$C:$C,"*_004_*",'AcuRev-100测试用例'!$K:$K,"Blocked")</f>
        <v>0</v>
      </c>
      <c r="G21" s="78">
        <f>COUNTIFS('AcuRev-100测试用例'!$C:$C,"*_004_*",'AcuRev-100测试用例'!$K:$K,"Unavailable")</f>
        <v>0</v>
      </c>
      <c r="H21" s="91">
        <f t="shared" si="0"/>
        <v>0</v>
      </c>
    </row>
    <row r="22" spans="1:8" ht="19.95" customHeight="1" x14ac:dyDescent="0.25">
      <c r="A22" s="86">
        <v>5</v>
      </c>
      <c r="B22" s="79" t="s">
        <v>1062</v>
      </c>
      <c r="C22" s="78">
        <f>COUNTIF('AcuRev-100测试用例'!$C:$C,"*_005_*")</f>
        <v>14</v>
      </c>
      <c r="D22" s="78">
        <f>COUNTIFS('AcuRev-100测试用例'!$C:$C,"*_005_*",'AcuRev-100测试用例'!$K:$K,"Passed")</f>
        <v>0</v>
      </c>
      <c r="E22" s="78">
        <f>COUNTIFS('AcuRev-100测试用例'!$C:$C,"*_005_*",'AcuRev-100测试用例'!$K:$K,"Failed")</f>
        <v>0</v>
      </c>
      <c r="F22" s="78">
        <f>COUNTIFS('AcuRev-100测试用例'!$C:$C,"*_005_*",'AcuRev-100测试用例'!$K:$K,"Blocked")</f>
        <v>0</v>
      </c>
      <c r="G22" s="78">
        <f>COUNTIFS('AcuRev-100测试用例'!$C:$C,"*_005_*",'AcuRev-100测试用例'!$K:$K,"Unavailable")</f>
        <v>0</v>
      </c>
      <c r="H22" s="91">
        <f t="shared" si="0"/>
        <v>0</v>
      </c>
    </row>
    <row r="23" spans="1:8" ht="19.95" customHeight="1" x14ac:dyDescent="0.25">
      <c r="A23" s="86">
        <v>6</v>
      </c>
      <c r="B23" s="79" t="s">
        <v>1063</v>
      </c>
      <c r="C23" s="78">
        <f>COUNTIF('AcuRev-100测试用例'!$C:$C,"*_006_*")</f>
        <v>4</v>
      </c>
      <c r="D23" s="78">
        <f>COUNTIFS('AcuRev-100测试用例'!$C:$C,"*_006_*",'AcuRev-100测试用例'!$K:$K,"Passed")</f>
        <v>0</v>
      </c>
      <c r="E23" s="78">
        <f>COUNTIFS('AcuRev-100测试用例'!$C:$C,"*_006_*",'AcuRev-100测试用例'!$K:$K,"Failed")</f>
        <v>0</v>
      </c>
      <c r="F23" s="78">
        <f>COUNTIFS('AcuRev-100测试用例'!$C:$C,"*_006_*",'AcuRev-100测试用例'!$K:$K,"Blocked")</f>
        <v>0</v>
      </c>
      <c r="G23" s="78">
        <f>COUNTIFS('AcuRev-100测试用例'!$C:$C,"*_006_*",'AcuRev-100测试用例'!$K:$K,"Unavailable")</f>
        <v>0</v>
      </c>
      <c r="H23" s="91">
        <f t="shared" si="0"/>
        <v>0</v>
      </c>
    </row>
    <row r="24" spans="1:8" ht="19.95" customHeight="1" x14ac:dyDescent="0.25">
      <c r="A24" s="86">
        <v>7</v>
      </c>
      <c r="B24" s="79" t="s">
        <v>1064</v>
      </c>
      <c r="C24" s="78">
        <f>COUNTIF('AcuRev-100测试用例'!$C:$C,"*_007_*")</f>
        <v>13</v>
      </c>
      <c r="D24" s="78">
        <f>COUNTIFS('AcuRev-100测试用例'!$C:$C,"*_007_*",'AcuRev-100测试用例'!$K:$K,"Passed")</f>
        <v>0</v>
      </c>
      <c r="E24" s="78">
        <f>COUNTIFS('AcuRev-100测试用例'!$C:$C,"*_007_*",'AcuRev-100测试用例'!$K:$K,"Failed")</f>
        <v>0</v>
      </c>
      <c r="F24" s="78">
        <f>COUNTIFS('AcuRev-100测试用例'!$C:$C,"*_007_*",'AcuRev-100测试用例'!$K:$K,"Blocked")</f>
        <v>0</v>
      </c>
      <c r="G24" s="78">
        <f>COUNTIFS('AcuRev-100测试用例'!$C:$C,"*_007_*",'AcuRev-100测试用例'!$K:$K,"Unavailable")</f>
        <v>0</v>
      </c>
      <c r="H24" s="91">
        <f t="shared" si="0"/>
        <v>0</v>
      </c>
    </row>
    <row r="25" spans="1:8" ht="19.95" customHeight="1" x14ac:dyDescent="0.25">
      <c r="A25" s="86">
        <v>8</v>
      </c>
      <c r="B25" s="79" t="s">
        <v>1057</v>
      </c>
      <c r="C25" s="78">
        <f>COUNTIF('AcuRev-100测试用例'!$C:$C,"*_008_*")</f>
        <v>11</v>
      </c>
      <c r="D25" s="78">
        <f>COUNTIFS('AcuRev-100测试用例'!$C:$C,"*_008_*",'AcuRev-100测试用例'!$K:$K,"Passed")</f>
        <v>0</v>
      </c>
      <c r="E25" s="78">
        <f>COUNTIFS('AcuRev-100测试用例'!$C:$C,"*_008_*",'AcuRev-100测试用例'!$K:$K,"Failed")</f>
        <v>0</v>
      </c>
      <c r="F25" s="78">
        <f>COUNTIFS('AcuRev-100测试用例'!$C:$C,"*_008_*",'AcuRev-100测试用例'!$K:$K,"Blocked")</f>
        <v>0</v>
      </c>
      <c r="G25" s="78">
        <f>COUNTIFS('AcuRev-100测试用例'!$C:$C,"*_008_*",'AcuRev-100测试用例'!$K:$K,"Unavailable")</f>
        <v>0</v>
      </c>
      <c r="H25" s="91">
        <f t="shared" si="0"/>
        <v>0</v>
      </c>
    </row>
    <row r="26" spans="1:8" ht="19.95" customHeight="1" x14ac:dyDescent="0.25">
      <c r="A26" s="86">
        <v>9</v>
      </c>
      <c r="B26" s="79" t="s">
        <v>1065</v>
      </c>
      <c r="C26" s="78">
        <f>COUNTIF('AcuRev-100测试用例'!$C:$C,"*_009_*")</f>
        <v>13</v>
      </c>
      <c r="D26" s="78">
        <f>COUNTIFS('AcuRev-100测试用例'!$C:$C,"*_009_*",'AcuRev-100测试用例'!$K:$K,"Passed")</f>
        <v>0</v>
      </c>
      <c r="E26" s="78">
        <f>COUNTIFS('AcuRev-100测试用例'!$C:$C,"*_009_*",'AcuRev-100测试用例'!$K:$K,"Failed")</f>
        <v>0</v>
      </c>
      <c r="F26" s="78">
        <f>COUNTIFS('AcuRev-100测试用例'!$C:$C,"*_009_*",'AcuRev-100测试用例'!$K:$K,"Blocked")</f>
        <v>0</v>
      </c>
      <c r="G26" s="78">
        <f>COUNTIFS('AcuRev-100测试用例'!$C:$C,"*_009_*",'AcuRev-100测试用例'!$K:$K,"Unavailable")</f>
        <v>0</v>
      </c>
      <c r="H26" s="91">
        <f t="shared" si="0"/>
        <v>0</v>
      </c>
    </row>
    <row r="27" spans="1:8" ht="19.95" customHeight="1" x14ac:dyDescent="0.25">
      <c r="A27" s="86">
        <v>10</v>
      </c>
      <c r="B27" s="79" t="s">
        <v>1066</v>
      </c>
      <c r="C27" s="78">
        <f>COUNTIF('AcuRev-100测试用例'!$C:$C,"*_010_*")</f>
        <v>67</v>
      </c>
      <c r="D27" s="78">
        <f>COUNTIFS('AcuRev-100测试用例'!$C:$C,"*_010_*",'AcuRev-100测试用例'!$K:$K,"Passed")</f>
        <v>0</v>
      </c>
      <c r="E27" s="78">
        <f>COUNTIFS('AcuRev-100测试用例'!$C:$C,"*_010_*",'AcuRev-100测试用例'!$K:$K,"Failed")</f>
        <v>0</v>
      </c>
      <c r="F27" s="78">
        <f>COUNTIFS('AcuRev-100测试用例'!$C:$C,"*_010_*",'AcuRev-100测试用例'!$K:$K,"Blocked")</f>
        <v>0</v>
      </c>
      <c r="G27" s="78">
        <f>COUNTIFS('AcuRev-100测试用例'!$C:$C,"*_010_*",'AcuRev-100测试用例'!$K:$K,"Unavailable")</f>
        <v>0</v>
      </c>
      <c r="H27" s="91">
        <f t="shared" si="0"/>
        <v>0</v>
      </c>
    </row>
    <row r="28" spans="1:8" ht="19.95" customHeight="1" x14ac:dyDescent="0.25">
      <c r="A28" s="86">
        <v>11</v>
      </c>
      <c r="B28" s="79" t="s">
        <v>1067</v>
      </c>
      <c r="C28" s="78">
        <f>COUNTIF('AcuRev-100测试用例'!$C:$C,"*_011_*")</f>
        <v>12</v>
      </c>
      <c r="D28" s="78">
        <f>COUNTIFS('AcuRev-100测试用例'!$C:$C,"*_011_*",'AcuRev-100测试用例'!$K:$K,"Passed")</f>
        <v>0</v>
      </c>
      <c r="E28" s="78">
        <f>COUNTIFS('AcuRev-100测试用例'!$C:$C,"*_011_*",'AcuRev-100测试用例'!$K:$K,"Failed")</f>
        <v>0</v>
      </c>
      <c r="F28" s="78">
        <f>COUNTIFS('AcuRev-100测试用例'!$C:$C,"*_011_*",'AcuRev-100测试用例'!$K:$K,"Blocked")</f>
        <v>0</v>
      </c>
      <c r="G28" s="78">
        <f>COUNTIFS('AcuRev-100测试用例'!$C:$C,"*_011_*",'AcuRev-100测试用例'!$K:$K,"Unavailable")</f>
        <v>0</v>
      </c>
      <c r="H28" s="91">
        <f t="shared" si="0"/>
        <v>0</v>
      </c>
    </row>
    <row r="29" spans="1:8" ht="19.95" customHeight="1" x14ac:dyDescent="0.25">
      <c r="A29" s="86">
        <v>12</v>
      </c>
      <c r="B29" s="79" t="s">
        <v>1068</v>
      </c>
      <c r="C29" s="78">
        <f>COUNTIF('AcuRev-100测试用例'!$C:$C,"*_012_*")</f>
        <v>5</v>
      </c>
      <c r="D29" s="78">
        <f>COUNTIFS('AcuRev-100测试用例'!$C:$C,"*_012_*",'AcuRev-100测试用例'!$K:$K,"Passed")</f>
        <v>0</v>
      </c>
      <c r="E29" s="78">
        <f>COUNTIFS('AcuRev-100测试用例'!$C:$C,"*_012_*",'AcuRev-100测试用例'!$K:$K,"Failed")</f>
        <v>0</v>
      </c>
      <c r="F29" s="78">
        <f>COUNTIFS('AcuRev-100测试用例'!$C:$C,"*_012_*",'AcuRev-100测试用例'!$K:$K,"Blocked")</f>
        <v>0</v>
      </c>
      <c r="G29" s="78">
        <f>COUNTIFS('AcuRev-100测试用例'!$C:$C,"*_012_*",'AcuRev-100测试用例'!$K:$K,"Unavailable")</f>
        <v>0</v>
      </c>
      <c r="H29" s="91">
        <f t="shared" si="0"/>
        <v>0</v>
      </c>
    </row>
    <row r="30" spans="1:8" ht="19.95" customHeight="1" x14ac:dyDescent="0.25">
      <c r="A30" s="86">
        <v>13</v>
      </c>
      <c r="B30" s="79" t="s">
        <v>1069</v>
      </c>
      <c r="C30" s="78">
        <f>COUNTIF('AcuRev-100测试用例'!$C:$C,"*_013_*")</f>
        <v>5</v>
      </c>
      <c r="D30" s="78">
        <f>COUNTIFS('AcuRev-100测试用例'!$C:$C,"*_013_*",'AcuRev-100测试用例'!$K:$K,"Passed")</f>
        <v>0</v>
      </c>
      <c r="E30" s="78">
        <f>COUNTIFS('AcuRev-100测试用例'!$C:$C,"*_013_*",'AcuRev-100测试用例'!$K:$K,"Failed")</f>
        <v>0</v>
      </c>
      <c r="F30" s="78">
        <f>COUNTIFS('AcuRev-100测试用例'!$C:$C,"*_013_*",'AcuRev-100测试用例'!$K:$K,"Blocked")</f>
        <v>0</v>
      </c>
      <c r="G30" s="78">
        <f>COUNTIFS('AcuRev-100测试用例'!$C:$C,"*_013_*",'AcuRev-100测试用例'!$K:$K,"Unavailable")</f>
        <v>0</v>
      </c>
      <c r="H30" s="91">
        <f t="shared" si="0"/>
        <v>0</v>
      </c>
    </row>
    <row r="31" spans="1:8" ht="19.95" customHeight="1" x14ac:dyDescent="0.25">
      <c r="A31" s="86">
        <v>14</v>
      </c>
      <c r="B31" s="79" t="s">
        <v>1070</v>
      </c>
      <c r="C31" s="78">
        <f>COUNTIF('AcuRev-100测试用例'!$C:$C,"*_014_*")</f>
        <v>17</v>
      </c>
      <c r="D31" s="78">
        <f>COUNTIFS('AcuRev-100测试用例'!$C:$C,"*_014_*",'AcuRev-100测试用例'!$K:$K,"Passed")</f>
        <v>0</v>
      </c>
      <c r="E31" s="78">
        <f>COUNTIFS('AcuRev-100测试用例'!$C:$C,"*_014_*",'AcuRev-100测试用例'!$K:$K,"Failed")</f>
        <v>0</v>
      </c>
      <c r="F31" s="78">
        <f>COUNTIFS('AcuRev-100测试用例'!$C:$C,"*_014_*",'AcuRev-100测试用例'!$K:$K,"Blocked")</f>
        <v>0</v>
      </c>
      <c r="G31" s="78">
        <f>COUNTIFS('AcuRev-100测试用例'!$C:$C,"*_014_*",'AcuRev-100测试用例'!$K:$K,"Unavailable")</f>
        <v>0</v>
      </c>
      <c r="H31" s="91">
        <f t="shared" si="0"/>
        <v>0</v>
      </c>
    </row>
    <row r="32" spans="1:8" ht="19.95" customHeight="1" x14ac:dyDescent="0.25">
      <c r="A32" s="86">
        <v>15</v>
      </c>
      <c r="B32" s="79" t="s">
        <v>1071</v>
      </c>
      <c r="C32" s="78">
        <f>COUNTIF('AcuRev-100测试用例'!$C:$C,"*_015_*")</f>
        <v>3</v>
      </c>
      <c r="D32" s="78">
        <f>COUNTIFS('AcuRev-100测试用例'!$C:$C,"*_015_*",'AcuRev-100测试用例'!$K:$K,"Passed")</f>
        <v>0</v>
      </c>
      <c r="E32" s="78">
        <f>COUNTIFS('AcuRev-100测试用例'!$C:$C,"*_015_*",'AcuRev-100测试用例'!$K:$K,"Failed")</f>
        <v>0</v>
      </c>
      <c r="F32" s="78">
        <f>COUNTIFS('AcuRev-100测试用例'!$C:$C,"*_015_*",'AcuRev-100测试用例'!$K:$K,"Blocked")</f>
        <v>0</v>
      </c>
      <c r="G32" s="78">
        <f>COUNTIFS('AcuRev-100测试用例'!$C:$C,"*_015_*",'AcuRev-100测试用例'!$K:$K,"Unavailable")</f>
        <v>0</v>
      </c>
      <c r="H32" s="91">
        <f t="shared" si="0"/>
        <v>0</v>
      </c>
    </row>
    <row r="33" spans="1:8" ht="19.95" customHeight="1" x14ac:dyDescent="0.25">
      <c r="A33" s="86">
        <v>16</v>
      </c>
      <c r="B33" s="79" t="s">
        <v>1072</v>
      </c>
      <c r="C33" s="78">
        <f>COUNTIF('AcuRev-100测试用例'!$C:$C,"*_016_*")</f>
        <v>15</v>
      </c>
      <c r="D33" s="78">
        <f>COUNTIFS('AcuRev-100测试用例'!$C:$C,"*_016_*",'AcuRev-100测试用例'!$K:$K,"Passed")</f>
        <v>0</v>
      </c>
      <c r="E33" s="78">
        <f>COUNTIFS('AcuRev-100测试用例'!$C:$C,"*_016_*",'AcuRev-100测试用例'!$K:$K,"Failed")</f>
        <v>0</v>
      </c>
      <c r="F33" s="78">
        <f>COUNTIFS('AcuRev-100测试用例'!$C:$C,"*_016_*",'AcuRev-100测试用例'!$K:$K,"Blocked")</f>
        <v>0</v>
      </c>
      <c r="G33" s="78">
        <f>COUNTIFS('AcuRev-100测试用例'!$C:$C,"*_016_*",'AcuRev-100测试用例'!$K:$K,"Unavailable")</f>
        <v>0</v>
      </c>
      <c r="H33" s="91">
        <f t="shared" si="0"/>
        <v>0</v>
      </c>
    </row>
    <row r="34" spans="1:8" ht="19.95" customHeight="1" thickBot="1" x14ac:dyDescent="0.3">
      <c r="A34" s="86">
        <v>17</v>
      </c>
      <c r="B34" s="79" t="s">
        <v>1073</v>
      </c>
      <c r="C34" s="78">
        <f>COUNTIF('AcuRev-100测试用例'!$C:$C,"*_017_*")</f>
        <v>5</v>
      </c>
      <c r="D34" s="78">
        <f>COUNTIFS('AcuRev-100测试用例'!$C:$C,"*_017_*",'AcuRev-100测试用例'!$K:$K,"Passed")</f>
        <v>0</v>
      </c>
      <c r="E34" s="78">
        <f>COUNTIFS('AcuRev-100测试用例'!$C:$C,"*_017_*",'AcuRev-100测试用例'!$K:$K,"Failed")</f>
        <v>0</v>
      </c>
      <c r="F34" s="78">
        <f>COUNTIFS('AcuRev-100测试用例'!$C:$C,"*_017_*",'AcuRev-100测试用例'!$K:$K,"Blocked")</f>
        <v>0</v>
      </c>
      <c r="G34" s="78">
        <f>COUNTIFS('AcuRev-100测试用例'!$C:$C,"*_017_*",'AcuRev-100测试用例'!$K:$K,"Unavailable")</f>
        <v>0</v>
      </c>
      <c r="H34" s="91">
        <f t="shared" si="0"/>
        <v>0</v>
      </c>
    </row>
    <row r="35" spans="1:8" ht="19.95" customHeight="1" thickBot="1" x14ac:dyDescent="0.3">
      <c r="A35" s="92"/>
      <c r="B35" s="93" t="s">
        <v>25</v>
      </c>
      <c r="C35" s="94">
        <f>SUM(C18:C34)</f>
        <v>221</v>
      </c>
      <c r="D35" s="94">
        <f>SUM(D18:D34)</f>
        <v>0</v>
      </c>
      <c r="E35" s="94">
        <f>SUM(E18:E34)</f>
        <v>0</v>
      </c>
      <c r="F35" s="94">
        <f>SUM(F18:F34)</f>
        <v>0</v>
      </c>
      <c r="G35" s="94">
        <f>SUM(G18:G34)</f>
        <v>0</v>
      </c>
      <c r="H35" s="95">
        <f t="shared" si="0"/>
        <v>0</v>
      </c>
    </row>
  </sheetData>
  <mergeCells count="23">
    <mergeCell ref="B2:D2"/>
    <mergeCell ref="B3:D3"/>
    <mergeCell ref="F2:H2"/>
    <mergeCell ref="F3:H3"/>
    <mergeCell ref="A16:H16"/>
    <mergeCell ref="F10:H10"/>
    <mergeCell ref="A15:H15"/>
    <mergeCell ref="A1:H1"/>
    <mergeCell ref="A6:H6"/>
    <mergeCell ref="F14:H14"/>
    <mergeCell ref="B10:D10"/>
    <mergeCell ref="A9:H9"/>
    <mergeCell ref="B11:D11"/>
    <mergeCell ref="F13:H13"/>
    <mergeCell ref="F12:H12"/>
    <mergeCell ref="B14:D14"/>
    <mergeCell ref="D8:H8"/>
    <mergeCell ref="B13:D13"/>
    <mergeCell ref="F11:H11"/>
    <mergeCell ref="D7:H7"/>
    <mergeCell ref="B12:D12"/>
    <mergeCell ref="A5:H5"/>
    <mergeCell ref="A4:H4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5"/>
  <sheetViews>
    <sheetView tabSelected="1" topLeftCell="A80" zoomScale="101" workbookViewId="0">
      <selection activeCell="C82" sqref="C82"/>
    </sheetView>
  </sheetViews>
  <sheetFormatPr defaultRowHeight="13.8" x14ac:dyDescent="0.25"/>
  <cols>
    <col min="1" max="1" width="11.109375" customWidth="1"/>
    <col min="2" max="2" width="12.21875" customWidth="1"/>
    <col min="3" max="3" width="12.33203125" customWidth="1"/>
    <col min="4" max="4" width="12.88671875" customWidth="1"/>
    <col min="5" max="5" width="24.21875" customWidth="1"/>
    <col min="6" max="6" width="55" customWidth="1"/>
    <col min="7" max="7" width="29.77734375" style="12" customWidth="1"/>
    <col min="8" max="8" width="19" customWidth="1"/>
    <col min="10" max="10" width="20.5546875" customWidth="1"/>
    <col min="12" max="12" width="46" customWidth="1"/>
  </cols>
  <sheetData>
    <row r="1" spans="1:12" s="3" customFormat="1" ht="33.75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2" t="s">
        <v>33</v>
      </c>
      <c r="I1" s="62" t="s">
        <v>34</v>
      </c>
      <c r="J1" s="62" t="s">
        <v>35</v>
      </c>
      <c r="K1" s="62" t="s">
        <v>36</v>
      </c>
      <c r="L1" s="62" t="s">
        <v>37</v>
      </c>
    </row>
    <row r="2" spans="1:12" s="3" customFormat="1" ht="133.5" customHeight="1" x14ac:dyDescent="0.25">
      <c r="A2" s="101" t="s">
        <v>38</v>
      </c>
      <c r="B2" s="4" t="s">
        <v>38</v>
      </c>
      <c r="C2" s="35" t="s">
        <v>39</v>
      </c>
      <c r="D2" s="36" t="s">
        <v>40</v>
      </c>
      <c r="E2" s="36" t="s">
        <v>41</v>
      </c>
      <c r="F2" s="36" t="s">
        <v>42</v>
      </c>
      <c r="G2" s="41" t="s">
        <v>43</v>
      </c>
      <c r="H2" s="5" t="s">
        <v>44</v>
      </c>
      <c r="I2" s="62" t="s">
        <v>45</v>
      </c>
      <c r="J2" s="76" t="s">
        <v>46</v>
      </c>
      <c r="K2" s="57"/>
      <c r="L2" s="62" t="s">
        <v>47</v>
      </c>
    </row>
    <row r="3" spans="1:12" s="3" customFormat="1" ht="85.8" customHeight="1" x14ac:dyDescent="0.25">
      <c r="A3" s="101" t="s">
        <v>38</v>
      </c>
      <c r="B3" s="4" t="s">
        <v>38</v>
      </c>
      <c r="C3" s="36" t="s">
        <v>1077</v>
      </c>
      <c r="D3" s="36" t="s">
        <v>48</v>
      </c>
      <c r="E3" s="36" t="s">
        <v>41</v>
      </c>
      <c r="F3" s="36" t="s">
        <v>1078</v>
      </c>
      <c r="G3" s="41" t="s">
        <v>49</v>
      </c>
      <c r="H3" s="5" t="s">
        <v>50</v>
      </c>
      <c r="I3" s="62" t="s">
        <v>45</v>
      </c>
      <c r="J3" s="76" t="s">
        <v>51</v>
      </c>
      <c r="K3" s="57"/>
      <c r="L3" s="62" t="s">
        <v>52</v>
      </c>
    </row>
    <row r="4" spans="1:12" s="3" customFormat="1" ht="64.2" customHeight="1" x14ac:dyDescent="0.25">
      <c r="A4" s="101" t="s">
        <v>38</v>
      </c>
      <c r="B4" s="4" t="s">
        <v>38</v>
      </c>
      <c r="C4" s="36" t="s">
        <v>53</v>
      </c>
      <c r="D4" s="36" t="s">
        <v>54</v>
      </c>
      <c r="E4" s="36" t="s">
        <v>41</v>
      </c>
      <c r="F4" s="36" t="s">
        <v>55</v>
      </c>
      <c r="G4" s="41" t="s">
        <v>56</v>
      </c>
      <c r="H4" s="5" t="s">
        <v>57</v>
      </c>
      <c r="I4" s="62" t="s">
        <v>45</v>
      </c>
      <c r="J4" s="62" t="s">
        <v>58</v>
      </c>
      <c r="K4" s="57"/>
      <c r="L4" s="62" t="s">
        <v>59</v>
      </c>
    </row>
    <row r="5" spans="1:12" s="3" customFormat="1" ht="64.2" customHeight="1" x14ac:dyDescent="0.25">
      <c r="A5" s="101" t="s">
        <v>38</v>
      </c>
      <c r="B5" s="4" t="s">
        <v>38</v>
      </c>
      <c r="C5" s="36" t="s">
        <v>60</v>
      </c>
      <c r="D5" s="36" t="s">
        <v>61</v>
      </c>
      <c r="E5" s="36" t="s">
        <v>41</v>
      </c>
      <c r="F5" s="36" t="s">
        <v>62</v>
      </c>
      <c r="G5" s="41" t="s">
        <v>63</v>
      </c>
      <c r="H5" s="5" t="s">
        <v>64</v>
      </c>
      <c r="I5" s="62" t="s">
        <v>65</v>
      </c>
      <c r="J5" s="62" t="s">
        <v>66</v>
      </c>
      <c r="K5" s="57"/>
      <c r="L5" s="62" t="s">
        <v>67</v>
      </c>
    </row>
    <row r="6" spans="1:12" ht="52.8" customHeight="1" x14ac:dyDescent="0.25">
      <c r="A6" s="101" t="s">
        <v>68</v>
      </c>
      <c r="B6" s="6" t="s">
        <v>69</v>
      </c>
      <c r="C6" s="35" t="s">
        <v>70</v>
      </c>
      <c r="D6" s="36" t="s">
        <v>71</v>
      </c>
      <c r="E6" s="36" t="s">
        <v>41</v>
      </c>
      <c r="F6" s="36" t="s">
        <v>72</v>
      </c>
      <c r="G6" s="42" t="s">
        <v>73</v>
      </c>
      <c r="H6" s="5" t="s">
        <v>50</v>
      </c>
      <c r="I6" s="62" t="s">
        <v>45</v>
      </c>
      <c r="J6" s="62" t="s">
        <v>74</v>
      </c>
      <c r="K6" s="62" t="s">
        <v>75</v>
      </c>
      <c r="L6" s="62" t="s">
        <v>76</v>
      </c>
    </row>
    <row r="7" spans="1:12" ht="79.2" customHeight="1" x14ac:dyDescent="0.25">
      <c r="A7" s="101" t="s">
        <v>68</v>
      </c>
      <c r="B7" s="6" t="s">
        <v>69</v>
      </c>
      <c r="C7" s="35" t="s">
        <v>77</v>
      </c>
      <c r="D7" s="36" t="s">
        <v>78</v>
      </c>
      <c r="E7" s="36" t="s">
        <v>41</v>
      </c>
      <c r="F7" s="36" t="s">
        <v>79</v>
      </c>
      <c r="G7" s="42" t="s">
        <v>80</v>
      </c>
      <c r="H7" s="7" t="s">
        <v>64</v>
      </c>
      <c r="I7" s="62" t="s">
        <v>45</v>
      </c>
      <c r="J7" s="62" t="s">
        <v>74</v>
      </c>
      <c r="K7" s="62" t="s">
        <v>75</v>
      </c>
      <c r="L7" s="62" t="s">
        <v>76</v>
      </c>
    </row>
    <row r="8" spans="1:12" ht="66" customHeight="1" x14ac:dyDescent="0.25">
      <c r="A8" s="101" t="s">
        <v>68</v>
      </c>
      <c r="B8" s="6" t="s">
        <v>69</v>
      </c>
      <c r="C8" s="35" t="s">
        <v>81</v>
      </c>
      <c r="D8" s="36" t="s">
        <v>82</v>
      </c>
      <c r="E8" s="36" t="s">
        <v>41</v>
      </c>
      <c r="F8" s="36" t="s">
        <v>83</v>
      </c>
      <c r="G8" s="41" t="s">
        <v>84</v>
      </c>
      <c r="H8" s="5" t="s">
        <v>57</v>
      </c>
      <c r="I8" s="62" t="s">
        <v>45</v>
      </c>
      <c r="J8" s="62" t="s">
        <v>74</v>
      </c>
      <c r="K8" s="62" t="s">
        <v>75</v>
      </c>
      <c r="L8" s="62" t="s">
        <v>76</v>
      </c>
    </row>
    <row r="9" spans="1:12" ht="105.6" customHeight="1" x14ac:dyDescent="0.25">
      <c r="A9" s="101" t="s">
        <v>68</v>
      </c>
      <c r="B9" s="6" t="s">
        <v>69</v>
      </c>
      <c r="C9" s="35" t="s">
        <v>85</v>
      </c>
      <c r="D9" s="36" t="s">
        <v>86</v>
      </c>
      <c r="E9" s="36" t="s">
        <v>41</v>
      </c>
      <c r="F9" s="36" t="s">
        <v>87</v>
      </c>
      <c r="G9" s="41" t="s">
        <v>88</v>
      </c>
      <c r="H9" s="5" t="s">
        <v>89</v>
      </c>
      <c r="I9" s="62" t="s">
        <v>45</v>
      </c>
      <c r="J9" s="62" t="s">
        <v>74</v>
      </c>
      <c r="K9" s="62" t="s">
        <v>75</v>
      </c>
      <c r="L9" s="62" t="s">
        <v>76</v>
      </c>
    </row>
    <row r="10" spans="1:12" ht="66" customHeight="1" x14ac:dyDescent="0.25">
      <c r="A10" s="101" t="s">
        <v>68</v>
      </c>
      <c r="B10" s="6" t="s">
        <v>69</v>
      </c>
      <c r="C10" s="35" t="s">
        <v>90</v>
      </c>
      <c r="D10" s="36" t="s">
        <v>91</v>
      </c>
      <c r="E10" s="36" t="s">
        <v>41</v>
      </c>
      <c r="F10" s="43" t="s">
        <v>92</v>
      </c>
      <c r="G10" s="42" t="s">
        <v>93</v>
      </c>
      <c r="H10" s="5" t="s">
        <v>64</v>
      </c>
      <c r="I10" s="62" t="s">
        <v>45</v>
      </c>
      <c r="J10" s="62" t="s">
        <v>74</v>
      </c>
      <c r="K10" s="62" t="s">
        <v>75</v>
      </c>
      <c r="L10" s="62" t="s">
        <v>76</v>
      </c>
    </row>
    <row r="11" spans="1:12" ht="66" customHeight="1" x14ac:dyDescent="0.25">
      <c r="A11" s="101" t="s">
        <v>68</v>
      </c>
      <c r="B11" s="6" t="s">
        <v>69</v>
      </c>
      <c r="C11" s="35" t="s">
        <v>94</v>
      </c>
      <c r="D11" s="36" t="s">
        <v>95</v>
      </c>
      <c r="E11" s="36" t="s">
        <v>41</v>
      </c>
      <c r="F11" s="36" t="s">
        <v>96</v>
      </c>
      <c r="G11" s="42" t="s">
        <v>97</v>
      </c>
      <c r="H11" s="5" t="s">
        <v>44</v>
      </c>
      <c r="I11" s="62" t="s">
        <v>45</v>
      </c>
      <c r="J11" s="62" t="s">
        <v>74</v>
      </c>
      <c r="K11" s="62" t="s">
        <v>75</v>
      </c>
      <c r="L11" s="62" t="s">
        <v>76</v>
      </c>
    </row>
    <row r="12" spans="1:12" ht="132" customHeight="1" x14ac:dyDescent="0.25">
      <c r="A12" s="101" t="s">
        <v>68</v>
      </c>
      <c r="B12" s="6" t="s">
        <v>69</v>
      </c>
      <c r="C12" s="35" t="s">
        <v>98</v>
      </c>
      <c r="D12" s="36" t="s">
        <v>1081</v>
      </c>
      <c r="E12" s="36" t="s">
        <v>41</v>
      </c>
      <c r="F12" s="36" t="s">
        <v>1075</v>
      </c>
      <c r="G12" s="41" t="s">
        <v>1076</v>
      </c>
      <c r="H12" s="5" t="s">
        <v>57</v>
      </c>
      <c r="I12" s="62" t="s">
        <v>45</v>
      </c>
      <c r="J12" s="62" t="s">
        <v>74</v>
      </c>
      <c r="K12" s="62" t="s">
        <v>75</v>
      </c>
      <c r="L12" s="62" t="s">
        <v>76</v>
      </c>
    </row>
    <row r="13" spans="1:12" ht="66" customHeight="1" x14ac:dyDescent="0.25">
      <c r="A13" s="142" t="s">
        <v>99</v>
      </c>
      <c r="B13" s="8" t="s">
        <v>100</v>
      </c>
      <c r="C13" s="35" t="s">
        <v>101</v>
      </c>
      <c r="D13" s="43" t="s">
        <v>102</v>
      </c>
      <c r="E13" s="36" t="s">
        <v>41</v>
      </c>
      <c r="F13" s="43" t="s">
        <v>1079</v>
      </c>
      <c r="G13" s="42" t="s">
        <v>1080</v>
      </c>
      <c r="H13" s="7" t="s">
        <v>50</v>
      </c>
      <c r="I13" s="62" t="s">
        <v>45</v>
      </c>
      <c r="J13" s="62" t="s">
        <v>74</v>
      </c>
      <c r="K13" s="62" t="s">
        <v>75</v>
      </c>
      <c r="L13" s="62" t="s">
        <v>76</v>
      </c>
    </row>
    <row r="14" spans="1:12" ht="66" customHeight="1" x14ac:dyDescent="0.25">
      <c r="A14" s="142" t="s">
        <v>99</v>
      </c>
      <c r="B14" s="4" t="s">
        <v>100</v>
      </c>
      <c r="C14" s="35" t="s">
        <v>103</v>
      </c>
      <c r="D14" s="36" t="s">
        <v>104</v>
      </c>
      <c r="E14" s="36" t="s">
        <v>41</v>
      </c>
      <c r="F14" s="36" t="s">
        <v>105</v>
      </c>
      <c r="G14" s="41" t="s">
        <v>106</v>
      </c>
      <c r="H14" s="5" t="s">
        <v>57</v>
      </c>
      <c r="I14" s="62" t="s">
        <v>45</v>
      </c>
      <c r="J14" s="62" t="s">
        <v>74</v>
      </c>
      <c r="K14" s="62" t="s">
        <v>75</v>
      </c>
      <c r="L14" s="62" t="s">
        <v>76</v>
      </c>
    </row>
    <row r="15" spans="1:12" ht="92.4" customHeight="1" x14ac:dyDescent="0.25">
      <c r="A15" s="142" t="s">
        <v>99</v>
      </c>
      <c r="B15" s="4" t="s">
        <v>100</v>
      </c>
      <c r="C15" s="35" t="s">
        <v>107</v>
      </c>
      <c r="D15" s="36" t="s">
        <v>108</v>
      </c>
      <c r="E15" s="36" t="s">
        <v>41</v>
      </c>
      <c r="F15" s="36" t="s">
        <v>109</v>
      </c>
      <c r="G15" s="41" t="s">
        <v>110</v>
      </c>
      <c r="H15" s="5" t="s">
        <v>57</v>
      </c>
      <c r="I15" s="62" t="s">
        <v>45</v>
      </c>
      <c r="J15" s="62" t="s">
        <v>74</v>
      </c>
      <c r="K15" s="62" t="s">
        <v>75</v>
      </c>
      <c r="L15" s="62" t="s">
        <v>76</v>
      </c>
    </row>
    <row r="16" spans="1:12" ht="52.8" customHeight="1" x14ac:dyDescent="0.25">
      <c r="A16" s="142" t="s">
        <v>99</v>
      </c>
      <c r="B16" s="4" t="s">
        <v>100</v>
      </c>
      <c r="C16" s="35" t="s">
        <v>111</v>
      </c>
      <c r="D16" s="36" t="s">
        <v>112</v>
      </c>
      <c r="E16" s="36" t="s">
        <v>41</v>
      </c>
      <c r="F16" s="36" t="s">
        <v>113</v>
      </c>
      <c r="G16" s="42" t="s">
        <v>114</v>
      </c>
      <c r="H16" s="5" t="s">
        <v>44</v>
      </c>
      <c r="I16" s="62" t="s">
        <v>45</v>
      </c>
      <c r="J16" s="62" t="s">
        <v>74</v>
      </c>
      <c r="K16" s="62" t="s">
        <v>75</v>
      </c>
      <c r="L16" s="62" t="s">
        <v>76</v>
      </c>
    </row>
    <row r="17" spans="1:12" ht="66" customHeight="1" x14ac:dyDescent="0.25">
      <c r="A17" s="143" t="s">
        <v>115</v>
      </c>
      <c r="B17" s="6" t="s">
        <v>116</v>
      </c>
      <c r="C17" s="35" t="s">
        <v>117</v>
      </c>
      <c r="D17" s="36" t="s">
        <v>118</v>
      </c>
      <c r="E17" s="36" t="s">
        <v>119</v>
      </c>
      <c r="F17" s="36" t="s">
        <v>120</v>
      </c>
      <c r="G17" s="42" t="s">
        <v>121</v>
      </c>
      <c r="H17" s="5" t="s">
        <v>50</v>
      </c>
      <c r="I17" s="62" t="s">
        <v>45</v>
      </c>
      <c r="J17" s="62" t="s">
        <v>122</v>
      </c>
      <c r="K17" s="62"/>
      <c r="L17" s="62" t="s">
        <v>123</v>
      </c>
    </row>
    <row r="18" spans="1:12" ht="99.6" customHeight="1" x14ac:dyDescent="0.25">
      <c r="A18" s="143" t="s">
        <v>115</v>
      </c>
      <c r="B18" s="6" t="s">
        <v>116</v>
      </c>
      <c r="C18" s="35" t="s">
        <v>124</v>
      </c>
      <c r="D18" s="43" t="s">
        <v>125</v>
      </c>
      <c r="E18" s="36" t="s">
        <v>119</v>
      </c>
      <c r="F18" s="43" t="s">
        <v>126</v>
      </c>
      <c r="G18" s="42" t="s">
        <v>127</v>
      </c>
      <c r="H18" s="7" t="s">
        <v>50</v>
      </c>
      <c r="I18" s="62" t="s">
        <v>45</v>
      </c>
      <c r="J18" s="62" t="s">
        <v>122</v>
      </c>
      <c r="K18" s="62"/>
      <c r="L18" s="62" t="s">
        <v>123</v>
      </c>
    </row>
    <row r="19" spans="1:12" ht="66" customHeight="1" x14ac:dyDescent="0.25">
      <c r="A19" s="143" t="s">
        <v>115</v>
      </c>
      <c r="B19" s="9" t="s">
        <v>116</v>
      </c>
      <c r="C19" s="35" t="s">
        <v>128</v>
      </c>
      <c r="D19" s="43" t="s">
        <v>129</v>
      </c>
      <c r="E19" s="36" t="s">
        <v>130</v>
      </c>
      <c r="F19" s="43" t="s">
        <v>131</v>
      </c>
      <c r="G19" s="42" t="s">
        <v>132</v>
      </c>
      <c r="H19" s="5" t="s">
        <v>64</v>
      </c>
      <c r="I19" s="62" t="s">
        <v>45</v>
      </c>
      <c r="J19" s="62" t="s">
        <v>122</v>
      </c>
      <c r="K19" s="62"/>
      <c r="L19" s="62" t="s">
        <v>123</v>
      </c>
    </row>
    <row r="20" spans="1:12" ht="66" customHeight="1" x14ac:dyDescent="0.25">
      <c r="A20" s="143" t="s">
        <v>115</v>
      </c>
      <c r="B20" s="10" t="s">
        <v>116</v>
      </c>
      <c r="C20" s="35" t="s">
        <v>133</v>
      </c>
      <c r="D20" s="36" t="s">
        <v>134</v>
      </c>
      <c r="E20" s="36" t="s">
        <v>130</v>
      </c>
      <c r="F20" s="36" t="s">
        <v>135</v>
      </c>
      <c r="G20" s="42" t="s">
        <v>136</v>
      </c>
      <c r="H20" s="7" t="s">
        <v>64</v>
      </c>
      <c r="I20" s="62" t="s">
        <v>45</v>
      </c>
      <c r="J20" s="62" t="s">
        <v>122</v>
      </c>
      <c r="K20" s="62"/>
      <c r="L20" s="62" t="s">
        <v>123</v>
      </c>
    </row>
    <row r="21" spans="1:12" ht="158.4" customHeight="1" x14ac:dyDescent="0.25">
      <c r="A21" s="143" t="s">
        <v>115</v>
      </c>
      <c r="B21" s="6" t="s">
        <v>116</v>
      </c>
      <c r="C21" s="35" t="s">
        <v>137</v>
      </c>
      <c r="D21" s="36" t="s">
        <v>138</v>
      </c>
      <c r="E21" s="36" t="s">
        <v>130</v>
      </c>
      <c r="F21" s="43" t="s">
        <v>139</v>
      </c>
      <c r="G21" s="42" t="s">
        <v>140</v>
      </c>
      <c r="H21" s="5" t="s">
        <v>44</v>
      </c>
      <c r="I21" s="62" t="s">
        <v>45</v>
      </c>
      <c r="J21" s="62" t="s">
        <v>122</v>
      </c>
      <c r="K21" s="62"/>
      <c r="L21" s="62" t="s">
        <v>123</v>
      </c>
    </row>
    <row r="22" spans="1:12" ht="66" customHeight="1" x14ac:dyDescent="0.25">
      <c r="A22" s="143" t="s">
        <v>115</v>
      </c>
      <c r="B22" s="6" t="s">
        <v>116</v>
      </c>
      <c r="C22" s="35" t="s">
        <v>141</v>
      </c>
      <c r="D22" s="36" t="s">
        <v>142</v>
      </c>
      <c r="E22" s="36" t="s">
        <v>119</v>
      </c>
      <c r="F22" s="36" t="s">
        <v>143</v>
      </c>
      <c r="G22" s="42" t="s">
        <v>144</v>
      </c>
      <c r="H22" s="7" t="s">
        <v>64</v>
      </c>
      <c r="I22" s="62" t="s">
        <v>45</v>
      </c>
      <c r="J22" s="62" t="s">
        <v>122</v>
      </c>
      <c r="K22" s="62"/>
      <c r="L22" s="62" t="s">
        <v>123</v>
      </c>
    </row>
    <row r="23" spans="1:12" ht="86.4" customHeight="1" x14ac:dyDescent="0.25">
      <c r="A23" s="143" t="s">
        <v>115</v>
      </c>
      <c r="B23" s="6" t="s">
        <v>116</v>
      </c>
      <c r="C23" s="35" t="s">
        <v>145</v>
      </c>
      <c r="D23" s="43" t="s">
        <v>146</v>
      </c>
      <c r="E23" s="36" t="s">
        <v>119</v>
      </c>
      <c r="F23" s="43" t="s">
        <v>147</v>
      </c>
      <c r="G23" s="42" t="s">
        <v>148</v>
      </c>
      <c r="H23" s="7" t="s">
        <v>64</v>
      </c>
      <c r="I23" s="62" t="s">
        <v>45</v>
      </c>
      <c r="J23" s="62" t="s">
        <v>122</v>
      </c>
      <c r="K23" s="62"/>
      <c r="L23" s="62" t="s">
        <v>123</v>
      </c>
    </row>
    <row r="24" spans="1:12" ht="66" customHeight="1" x14ac:dyDescent="0.25">
      <c r="A24" s="143" t="s">
        <v>115</v>
      </c>
      <c r="B24" s="6" t="s">
        <v>116</v>
      </c>
      <c r="C24" s="35" t="s">
        <v>149</v>
      </c>
      <c r="D24" s="36" t="s">
        <v>150</v>
      </c>
      <c r="E24" s="36" t="s">
        <v>119</v>
      </c>
      <c r="F24" s="36" t="s">
        <v>151</v>
      </c>
      <c r="G24" s="42" t="s">
        <v>121</v>
      </c>
      <c r="H24" s="7" t="s">
        <v>64</v>
      </c>
      <c r="I24" s="62" t="s">
        <v>45</v>
      </c>
      <c r="J24" s="62" t="s">
        <v>74</v>
      </c>
      <c r="K24" s="62" t="s">
        <v>75</v>
      </c>
      <c r="L24" s="62" t="s">
        <v>76</v>
      </c>
    </row>
    <row r="25" spans="1:12" ht="66" customHeight="1" x14ac:dyDescent="0.25">
      <c r="A25" s="143" t="s">
        <v>115</v>
      </c>
      <c r="B25" s="6" t="s">
        <v>116</v>
      </c>
      <c r="C25" s="35" t="s">
        <v>152</v>
      </c>
      <c r="D25" s="43" t="s">
        <v>153</v>
      </c>
      <c r="E25" s="36" t="s">
        <v>119</v>
      </c>
      <c r="F25" s="43" t="s">
        <v>154</v>
      </c>
      <c r="G25" s="42" t="s">
        <v>155</v>
      </c>
      <c r="H25" s="7" t="s">
        <v>64</v>
      </c>
      <c r="I25" s="62" t="s">
        <v>45</v>
      </c>
      <c r="J25" s="62" t="s">
        <v>74</v>
      </c>
      <c r="K25" s="62" t="s">
        <v>75</v>
      </c>
      <c r="L25" s="62" t="s">
        <v>76</v>
      </c>
    </row>
    <row r="26" spans="1:12" ht="66" customHeight="1" x14ac:dyDescent="0.25">
      <c r="A26" s="143" t="s">
        <v>115</v>
      </c>
      <c r="B26" s="6" t="s">
        <v>116</v>
      </c>
      <c r="C26" s="35" t="s">
        <v>156</v>
      </c>
      <c r="D26" s="36" t="s">
        <v>157</v>
      </c>
      <c r="E26" s="36" t="s">
        <v>119</v>
      </c>
      <c r="F26" s="36" t="s">
        <v>158</v>
      </c>
      <c r="G26" s="42" t="s">
        <v>144</v>
      </c>
      <c r="H26" s="7" t="s">
        <v>44</v>
      </c>
      <c r="I26" s="62" t="s">
        <v>45</v>
      </c>
      <c r="J26" s="62" t="s">
        <v>74</v>
      </c>
      <c r="K26" s="62" t="s">
        <v>75</v>
      </c>
      <c r="L26" s="62" t="s">
        <v>76</v>
      </c>
    </row>
    <row r="27" spans="1:12" ht="66" customHeight="1" x14ac:dyDescent="0.25">
      <c r="A27" s="143" t="s">
        <v>115</v>
      </c>
      <c r="B27" s="6" t="s">
        <v>116</v>
      </c>
      <c r="C27" s="35" t="s">
        <v>159</v>
      </c>
      <c r="D27" s="43" t="s">
        <v>160</v>
      </c>
      <c r="E27" s="36" t="s">
        <v>119</v>
      </c>
      <c r="F27" s="43" t="s">
        <v>161</v>
      </c>
      <c r="G27" s="41" t="s">
        <v>162</v>
      </c>
      <c r="H27" s="7" t="s">
        <v>64</v>
      </c>
      <c r="I27" s="62" t="s">
        <v>45</v>
      </c>
      <c r="J27" s="62" t="s">
        <v>74</v>
      </c>
      <c r="K27" s="62" t="s">
        <v>75</v>
      </c>
      <c r="L27" s="62" t="s">
        <v>76</v>
      </c>
    </row>
    <row r="28" spans="1:12" ht="66" customHeight="1" x14ac:dyDescent="0.25">
      <c r="A28" s="143" t="s">
        <v>115</v>
      </c>
      <c r="B28" s="6" t="s">
        <v>116</v>
      </c>
      <c r="C28" s="35" t="s">
        <v>163</v>
      </c>
      <c r="D28" s="36" t="s">
        <v>164</v>
      </c>
      <c r="E28" s="36" t="s">
        <v>119</v>
      </c>
      <c r="F28" s="36" t="s">
        <v>165</v>
      </c>
      <c r="G28" s="42" t="s">
        <v>166</v>
      </c>
      <c r="H28" s="7" t="s">
        <v>64</v>
      </c>
      <c r="I28" s="62" t="s">
        <v>45</v>
      </c>
      <c r="J28" s="62" t="s">
        <v>74</v>
      </c>
      <c r="K28" s="62" t="s">
        <v>75</v>
      </c>
      <c r="L28" s="62" t="s">
        <v>76</v>
      </c>
    </row>
    <row r="29" spans="1:12" ht="66" customHeight="1" x14ac:dyDescent="0.25">
      <c r="A29" s="143" t="s">
        <v>115</v>
      </c>
      <c r="B29" s="6" t="s">
        <v>116</v>
      </c>
      <c r="C29" s="35" t="s">
        <v>167</v>
      </c>
      <c r="D29" s="43" t="s">
        <v>168</v>
      </c>
      <c r="E29" s="36" t="s">
        <v>119</v>
      </c>
      <c r="F29" s="43" t="s">
        <v>169</v>
      </c>
      <c r="G29" s="41" t="s">
        <v>170</v>
      </c>
      <c r="H29" s="7" t="s">
        <v>44</v>
      </c>
      <c r="I29" s="62" t="s">
        <v>45</v>
      </c>
      <c r="J29" s="62" t="s">
        <v>74</v>
      </c>
      <c r="K29" s="62" t="s">
        <v>75</v>
      </c>
      <c r="L29" s="62" t="s">
        <v>76</v>
      </c>
    </row>
    <row r="30" spans="1:12" ht="66" customHeight="1" x14ac:dyDescent="0.25">
      <c r="A30" s="143" t="s">
        <v>115</v>
      </c>
      <c r="B30" s="6" t="s">
        <v>116</v>
      </c>
      <c r="C30" s="35" t="s">
        <v>171</v>
      </c>
      <c r="D30" s="36" t="s">
        <v>172</v>
      </c>
      <c r="E30" s="36" t="s">
        <v>119</v>
      </c>
      <c r="F30" s="36" t="s">
        <v>173</v>
      </c>
      <c r="G30" s="42" t="s">
        <v>174</v>
      </c>
      <c r="H30" s="7" t="s">
        <v>64</v>
      </c>
      <c r="I30" s="62" t="s">
        <v>45</v>
      </c>
      <c r="J30" s="62" t="s">
        <v>74</v>
      </c>
      <c r="K30" s="62" t="s">
        <v>75</v>
      </c>
      <c r="L30" s="62" t="s">
        <v>76</v>
      </c>
    </row>
    <row r="31" spans="1:12" ht="66" customHeight="1" x14ac:dyDescent="0.25">
      <c r="A31" s="143" t="s">
        <v>115</v>
      </c>
      <c r="B31" s="6" t="s">
        <v>116</v>
      </c>
      <c r="C31" s="35" t="s">
        <v>175</v>
      </c>
      <c r="D31" s="43" t="s">
        <v>1082</v>
      </c>
      <c r="E31" s="36" t="s">
        <v>119</v>
      </c>
      <c r="F31" s="43" t="s">
        <v>1083</v>
      </c>
      <c r="G31" s="41" t="s">
        <v>1084</v>
      </c>
      <c r="H31" s="7" t="s">
        <v>64</v>
      </c>
      <c r="I31" s="62" t="s">
        <v>45</v>
      </c>
      <c r="J31" s="62" t="s">
        <v>74</v>
      </c>
      <c r="K31" s="62" t="s">
        <v>75</v>
      </c>
      <c r="L31" s="62" t="s">
        <v>76</v>
      </c>
    </row>
    <row r="32" spans="1:12" ht="66" customHeight="1" x14ac:dyDescent="0.25">
      <c r="A32" s="143" t="s">
        <v>115</v>
      </c>
      <c r="B32" s="6" t="s">
        <v>116</v>
      </c>
      <c r="C32" s="35" t="s">
        <v>176</v>
      </c>
      <c r="D32" s="36" t="s">
        <v>177</v>
      </c>
      <c r="E32" s="36" t="s">
        <v>119</v>
      </c>
      <c r="F32" s="36" t="s">
        <v>178</v>
      </c>
      <c r="G32" s="61" t="s">
        <v>179</v>
      </c>
      <c r="H32" s="7" t="s">
        <v>64</v>
      </c>
      <c r="I32" s="62" t="s">
        <v>45</v>
      </c>
      <c r="J32" s="62" t="s">
        <v>180</v>
      </c>
      <c r="K32" s="62"/>
      <c r="L32" s="62" t="s">
        <v>181</v>
      </c>
    </row>
    <row r="33" spans="1:12" ht="66" customHeight="1" x14ac:dyDescent="0.25">
      <c r="A33" s="143" t="s">
        <v>115</v>
      </c>
      <c r="B33" s="6" t="s">
        <v>116</v>
      </c>
      <c r="C33" s="35" t="s">
        <v>182</v>
      </c>
      <c r="D33" s="35" t="s">
        <v>183</v>
      </c>
      <c r="E33" s="35" t="s">
        <v>119</v>
      </c>
      <c r="F33" s="35" t="s">
        <v>184</v>
      </c>
      <c r="G33" s="42" t="s">
        <v>185</v>
      </c>
      <c r="H33" s="7" t="s">
        <v>44</v>
      </c>
      <c r="I33" s="62" t="s">
        <v>45</v>
      </c>
      <c r="J33" s="62" t="s">
        <v>180</v>
      </c>
      <c r="K33" s="62"/>
      <c r="L33" s="62" t="s">
        <v>181</v>
      </c>
    </row>
    <row r="34" spans="1:12" ht="84" customHeight="1" x14ac:dyDescent="0.25">
      <c r="A34" s="143" t="s">
        <v>115</v>
      </c>
      <c r="B34" s="67" t="s">
        <v>116</v>
      </c>
      <c r="C34" s="60" t="s">
        <v>186</v>
      </c>
      <c r="D34" s="60" t="s">
        <v>187</v>
      </c>
      <c r="E34" s="60" t="s">
        <v>130</v>
      </c>
      <c r="F34" s="60" t="s">
        <v>188</v>
      </c>
      <c r="G34" s="17" t="s">
        <v>189</v>
      </c>
      <c r="H34" s="68" t="s">
        <v>64</v>
      </c>
      <c r="I34" s="62" t="s">
        <v>45</v>
      </c>
      <c r="J34" s="62" t="s">
        <v>74</v>
      </c>
      <c r="K34" s="62" t="s">
        <v>190</v>
      </c>
      <c r="L34" s="62" t="s">
        <v>191</v>
      </c>
    </row>
    <row r="35" spans="1:12" ht="84" customHeight="1" x14ac:dyDescent="0.25">
      <c r="A35" s="143" t="s">
        <v>115</v>
      </c>
      <c r="B35" s="67" t="s">
        <v>116</v>
      </c>
      <c r="C35" s="60" t="s">
        <v>192</v>
      </c>
      <c r="D35" s="60" t="s">
        <v>193</v>
      </c>
      <c r="E35" s="60" t="s">
        <v>130</v>
      </c>
      <c r="F35" s="60" t="s">
        <v>194</v>
      </c>
      <c r="G35" s="17" t="s">
        <v>195</v>
      </c>
      <c r="H35" s="68" t="s">
        <v>64</v>
      </c>
      <c r="I35" s="62" t="s">
        <v>45</v>
      </c>
      <c r="J35" s="62" t="s">
        <v>74</v>
      </c>
      <c r="K35" s="62" t="s">
        <v>190</v>
      </c>
      <c r="L35" s="62" t="s">
        <v>196</v>
      </c>
    </row>
    <row r="36" spans="1:12" ht="84" customHeight="1" x14ac:dyDescent="0.25">
      <c r="A36" s="143" t="s">
        <v>115</v>
      </c>
      <c r="B36" s="67" t="s">
        <v>116</v>
      </c>
      <c r="C36" s="60" t="s">
        <v>197</v>
      </c>
      <c r="D36" s="60" t="s">
        <v>198</v>
      </c>
      <c r="E36" s="60" t="s">
        <v>130</v>
      </c>
      <c r="F36" s="60" t="s">
        <v>199</v>
      </c>
      <c r="G36" s="17" t="s">
        <v>200</v>
      </c>
      <c r="H36" s="68" t="s">
        <v>57</v>
      </c>
      <c r="I36" s="62" t="s">
        <v>45</v>
      </c>
      <c r="J36" s="62" t="s">
        <v>74</v>
      </c>
      <c r="K36" s="62" t="s">
        <v>190</v>
      </c>
      <c r="L36" s="62" t="s">
        <v>196</v>
      </c>
    </row>
    <row r="37" spans="1:12" ht="52.8" customHeight="1" x14ac:dyDescent="0.25">
      <c r="A37" s="143" t="s">
        <v>115</v>
      </c>
      <c r="B37" s="8" t="s">
        <v>201</v>
      </c>
      <c r="C37" s="35" t="s">
        <v>202</v>
      </c>
      <c r="D37" s="43" t="s">
        <v>203</v>
      </c>
      <c r="E37" s="36" t="s">
        <v>204</v>
      </c>
      <c r="F37" s="43" t="s">
        <v>205</v>
      </c>
      <c r="G37" s="42" t="s">
        <v>206</v>
      </c>
      <c r="H37" s="7" t="s">
        <v>50</v>
      </c>
      <c r="I37" s="62" t="s">
        <v>45</v>
      </c>
      <c r="J37" s="62" t="s">
        <v>122</v>
      </c>
      <c r="K37" s="62"/>
      <c r="L37" s="62" t="s">
        <v>123</v>
      </c>
    </row>
    <row r="38" spans="1:12" ht="79.2" customHeight="1" x14ac:dyDescent="0.25">
      <c r="A38" s="143" t="s">
        <v>115</v>
      </c>
      <c r="B38" s="8" t="s">
        <v>201</v>
      </c>
      <c r="C38" s="35" t="s">
        <v>207</v>
      </c>
      <c r="D38" s="43" t="s">
        <v>208</v>
      </c>
      <c r="E38" s="36" t="s">
        <v>209</v>
      </c>
      <c r="F38" s="43" t="s">
        <v>210</v>
      </c>
      <c r="G38" s="42" t="s">
        <v>211</v>
      </c>
      <c r="H38" s="7" t="s">
        <v>50</v>
      </c>
      <c r="I38" s="62" t="s">
        <v>45</v>
      </c>
      <c r="J38" s="62" t="s">
        <v>122</v>
      </c>
      <c r="K38" s="62"/>
      <c r="L38" s="62" t="s">
        <v>123</v>
      </c>
    </row>
    <row r="39" spans="1:12" ht="343.2" customHeight="1" x14ac:dyDescent="0.25">
      <c r="A39" s="144" t="s">
        <v>212</v>
      </c>
      <c r="B39" s="15" t="s">
        <v>212</v>
      </c>
      <c r="C39" s="35" t="s">
        <v>213</v>
      </c>
      <c r="D39" s="44" t="s">
        <v>214</v>
      </c>
      <c r="E39" s="36" t="s">
        <v>215</v>
      </c>
      <c r="F39" s="45" t="s">
        <v>216</v>
      </c>
      <c r="G39" s="46" t="s">
        <v>217</v>
      </c>
      <c r="H39" s="7" t="s">
        <v>50</v>
      </c>
      <c r="I39" s="62" t="s">
        <v>45</v>
      </c>
      <c r="J39" s="62" t="s">
        <v>122</v>
      </c>
      <c r="K39" s="62"/>
      <c r="L39" s="62" t="s">
        <v>123</v>
      </c>
    </row>
    <row r="40" spans="1:12" ht="343.2" customHeight="1" x14ac:dyDescent="0.25">
      <c r="A40" s="144" t="s">
        <v>212</v>
      </c>
      <c r="B40" s="15" t="s">
        <v>212</v>
      </c>
      <c r="C40" s="35" t="s">
        <v>218</v>
      </c>
      <c r="D40" s="44" t="s">
        <v>219</v>
      </c>
      <c r="E40" s="36" t="s">
        <v>215</v>
      </c>
      <c r="F40" s="45" t="s">
        <v>220</v>
      </c>
      <c r="G40" s="46" t="s">
        <v>221</v>
      </c>
      <c r="H40" s="7" t="s">
        <v>64</v>
      </c>
      <c r="I40" s="62" t="s">
        <v>45</v>
      </c>
      <c r="J40" s="62" t="s">
        <v>122</v>
      </c>
      <c r="K40" s="62"/>
      <c r="L40" s="62" t="s">
        <v>123</v>
      </c>
    </row>
    <row r="41" spans="1:12" ht="343.2" customHeight="1" x14ac:dyDescent="0.25">
      <c r="A41" s="144" t="s">
        <v>212</v>
      </c>
      <c r="B41" s="15" t="s">
        <v>212</v>
      </c>
      <c r="C41" s="35" t="s">
        <v>222</v>
      </c>
      <c r="D41" s="44" t="s">
        <v>223</v>
      </c>
      <c r="E41" s="36" t="s">
        <v>215</v>
      </c>
      <c r="F41" s="45" t="s">
        <v>224</v>
      </c>
      <c r="G41" s="46" t="s">
        <v>225</v>
      </c>
      <c r="H41" s="7" t="s">
        <v>64</v>
      </c>
      <c r="I41" s="62" t="s">
        <v>45</v>
      </c>
      <c r="J41" s="62" t="s">
        <v>122</v>
      </c>
      <c r="K41" s="62"/>
      <c r="L41" s="62" t="s">
        <v>123</v>
      </c>
    </row>
    <row r="42" spans="1:12" ht="211.2" customHeight="1" x14ac:dyDescent="0.25">
      <c r="A42" s="144" t="s">
        <v>212</v>
      </c>
      <c r="B42" s="15" t="s">
        <v>212</v>
      </c>
      <c r="C42" s="35" t="s">
        <v>226</v>
      </c>
      <c r="D42" s="44" t="s">
        <v>227</v>
      </c>
      <c r="E42" s="36" t="s">
        <v>204</v>
      </c>
      <c r="F42" s="45" t="s">
        <v>228</v>
      </c>
      <c r="G42" s="46" t="s">
        <v>229</v>
      </c>
      <c r="H42" s="7" t="s">
        <v>64</v>
      </c>
      <c r="I42" s="62" t="s">
        <v>45</v>
      </c>
      <c r="J42" s="62" t="s">
        <v>122</v>
      </c>
      <c r="K42" s="62"/>
      <c r="L42" s="62" t="s">
        <v>123</v>
      </c>
    </row>
    <row r="43" spans="1:12" ht="211.2" customHeight="1" x14ac:dyDescent="0.25">
      <c r="A43" s="144" t="s">
        <v>212</v>
      </c>
      <c r="B43" s="15" t="s">
        <v>212</v>
      </c>
      <c r="C43" s="35" t="s">
        <v>230</v>
      </c>
      <c r="D43" s="44" t="s">
        <v>231</v>
      </c>
      <c r="E43" s="36" t="s">
        <v>209</v>
      </c>
      <c r="F43" s="45" t="s">
        <v>232</v>
      </c>
      <c r="G43" s="46" t="s">
        <v>233</v>
      </c>
      <c r="H43" s="7" t="s">
        <v>44</v>
      </c>
      <c r="I43" s="62" t="s">
        <v>45</v>
      </c>
      <c r="J43" s="62" t="s">
        <v>122</v>
      </c>
      <c r="K43" s="62"/>
      <c r="L43" s="62" t="s">
        <v>123</v>
      </c>
    </row>
    <row r="44" spans="1:12" ht="211.2" customHeight="1" x14ac:dyDescent="0.25">
      <c r="A44" s="144" t="s">
        <v>212</v>
      </c>
      <c r="B44" s="15" t="s">
        <v>212</v>
      </c>
      <c r="C44" s="35" t="s">
        <v>234</v>
      </c>
      <c r="D44" s="44" t="s">
        <v>235</v>
      </c>
      <c r="E44" s="36" t="s">
        <v>215</v>
      </c>
      <c r="F44" s="45" t="s">
        <v>236</v>
      </c>
      <c r="G44" s="46" t="s">
        <v>237</v>
      </c>
      <c r="H44" s="7" t="s">
        <v>64</v>
      </c>
      <c r="I44" s="62" t="s">
        <v>45</v>
      </c>
      <c r="J44" s="62" t="s">
        <v>122</v>
      </c>
      <c r="K44" s="62"/>
      <c r="L44" s="62" t="s">
        <v>123</v>
      </c>
    </row>
    <row r="45" spans="1:12" ht="211.2" customHeight="1" x14ac:dyDescent="0.25">
      <c r="A45" s="144" t="s">
        <v>212</v>
      </c>
      <c r="B45" s="15" t="s">
        <v>212</v>
      </c>
      <c r="C45" s="35" t="s">
        <v>238</v>
      </c>
      <c r="D45" s="44" t="s">
        <v>239</v>
      </c>
      <c r="E45" s="36" t="s">
        <v>215</v>
      </c>
      <c r="F45" s="45" t="s">
        <v>240</v>
      </c>
      <c r="G45" s="46" t="s">
        <v>241</v>
      </c>
      <c r="H45" s="7" t="s">
        <v>44</v>
      </c>
      <c r="I45" s="62" t="s">
        <v>45</v>
      </c>
      <c r="J45" s="62" t="s">
        <v>74</v>
      </c>
      <c r="K45" s="62" t="s">
        <v>75</v>
      </c>
      <c r="L45" s="62" t="s">
        <v>76</v>
      </c>
    </row>
    <row r="46" spans="1:12" ht="211.2" customHeight="1" x14ac:dyDescent="0.25">
      <c r="A46" s="144" t="s">
        <v>212</v>
      </c>
      <c r="B46" s="15" t="s">
        <v>212</v>
      </c>
      <c r="C46" s="35" t="s">
        <v>242</v>
      </c>
      <c r="D46" s="44" t="s">
        <v>243</v>
      </c>
      <c r="E46" s="36" t="s">
        <v>215</v>
      </c>
      <c r="F46" s="45" t="s">
        <v>244</v>
      </c>
      <c r="G46" s="46" t="s">
        <v>237</v>
      </c>
      <c r="H46" s="7" t="s">
        <v>64</v>
      </c>
      <c r="I46" s="62" t="s">
        <v>45</v>
      </c>
      <c r="J46" s="62" t="s">
        <v>74</v>
      </c>
      <c r="K46" s="62" t="s">
        <v>75</v>
      </c>
      <c r="L46" s="62" t="s">
        <v>76</v>
      </c>
    </row>
    <row r="47" spans="1:12" ht="211.2" customHeight="1" x14ac:dyDescent="0.25">
      <c r="A47" s="144" t="s">
        <v>212</v>
      </c>
      <c r="B47" s="15" t="s">
        <v>212</v>
      </c>
      <c r="C47" s="35" t="s">
        <v>245</v>
      </c>
      <c r="D47" s="44" t="s">
        <v>246</v>
      </c>
      <c r="E47" s="36" t="s">
        <v>215</v>
      </c>
      <c r="F47" s="45" t="s">
        <v>247</v>
      </c>
      <c r="G47" s="46" t="s">
        <v>237</v>
      </c>
      <c r="H47" s="7" t="s">
        <v>64</v>
      </c>
      <c r="I47" s="62" t="s">
        <v>45</v>
      </c>
      <c r="J47" s="62" t="s">
        <v>180</v>
      </c>
      <c r="K47" s="62"/>
      <c r="L47" s="62" t="s">
        <v>181</v>
      </c>
    </row>
    <row r="48" spans="1:12" ht="211.2" customHeight="1" x14ac:dyDescent="0.25">
      <c r="A48" s="144" t="s">
        <v>212</v>
      </c>
      <c r="B48" s="15" t="s">
        <v>212</v>
      </c>
      <c r="C48" s="35" t="s">
        <v>248</v>
      </c>
      <c r="D48" s="44" t="s">
        <v>249</v>
      </c>
      <c r="E48" s="36" t="s">
        <v>215</v>
      </c>
      <c r="F48" s="45" t="s">
        <v>244</v>
      </c>
      <c r="G48" s="46" t="s">
        <v>250</v>
      </c>
      <c r="H48" s="7" t="s">
        <v>44</v>
      </c>
      <c r="I48" s="62" t="s">
        <v>45</v>
      </c>
      <c r="J48" s="62" t="s">
        <v>74</v>
      </c>
      <c r="K48" s="62" t="s">
        <v>75</v>
      </c>
      <c r="L48" s="62" t="s">
        <v>76</v>
      </c>
    </row>
    <row r="49" spans="1:12" ht="211.2" customHeight="1" x14ac:dyDescent="0.25">
      <c r="A49" s="144" t="s">
        <v>212</v>
      </c>
      <c r="B49" s="15" t="s">
        <v>212</v>
      </c>
      <c r="C49" s="35" t="s">
        <v>251</v>
      </c>
      <c r="D49" s="44" t="s">
        <v>252</v>
      </c>
      <c r="E49" s="36" t="s">
        <v>215</v>
      </c>
      <c r="F49" s="45" t="s">
        <v>253</v>
      </c>
      <c r="G49" s="46" t="s">
        <v>254</v>
      </c>
      <c r="H49" s="7" t="s">
        <v>64</v>
      </c>
      <c r="I49" s="62" t="s">
        <v>45</v>
      </c>
      <c r="J49" s="62" t="s">
        <v>74</v>
      </c>
      <c r="K49" s="62" t="s">
        <v>75</v>
      </c>
      <c r="L49" s="62" t="s">
        <v>76</v>
      </c>
    </row>
    <row r="50" spans="1:12" ht="211.2" customHeight="1" x14ac:dyDescent="0.25">
      <c r="A50" s="144" t="s">
        <v>212</v>
      </c>
      <c r="B50" s="15" t="s">
        <v>212</v>
      </c>
      <c r="C50" s="35" t="s">
        <v>255</v>
      </c>
      <c r="D50" s="44" t="s">
        <v>256</v>
      </c>
      <c r="E50" s="36" t="s">
        <v>215</v>
      </c>
      <c r="F50" s="45" t="s">
        <v>257</v>
      </c>
      <c r="G50" s="46" t="s">
        <v>254</v>
      </c>
      <c r="H50" s="7" t="s">
        <v>64</v>
      </c>
      <c r="I50" s="62" t="s">
        <v>45</v>
      </c>
      <c r="J50" s="62" t="s">
        <v>180</v>
      </c>
      <c r="K50" s="62"/>
      <c r="L50" s="62" t="s">
        <v>181</v>
      </c>
    </row>
    <row r="51" spans="1:12" ht="211.2" customHeight="1" x14ac:dyDescent="0.25">
      <c r="A51" s="144" t="s">
        <v>212</v>
      </c>
      <c r="B51" s="15" t="s">
        <v>212</v>
      </c>
      <c r="C51" s="35" t="s">
        <v>258</v>
      </c>
      <c r="D51" s="44" t="s">
        <v>259</v>
      </c>
      <c r="E51" s="36" t="s">
        <v>215</v>
      </c>
      <c r="F51" s="45" t="s">
        <v>260</v>
      </c>
      <c r="G51" s="46" t="s">
        <v>261</v>
      </c>
      <c r="H51" s="7" t="s">
        <v>44</v>
      </c>
      <c r="I51" s="62" t="s">
        <v>45</v>
      </c>
      <c r="J51" s="62" t="s">
        <v>180</v>
      </c>
      <c r="K51" s="62"/>
      <c r="L51" s="62" t="s">
        <v>181</v>
      </c>
    </row>
    <row r="52" spans="1:12" ht="211.2" customHeight="1" x14ac:dyDescent="0.25">
      <c r="A52" s="144" t="s">
        <v>212</v>
      </c>
      <c r="B52" s="15" t="s">
        <v>212</v>
      </c>
      <c r="C52" s="35" t="s">
        <v>262</v>
      </c>
      <c r="D52" s="44" t="s">
        <v>263</v>
      </c>
      <c r="E52" s="36" t="s">
        <v>215</v>
      </c>
      <c r="F52" s="45" t="s">
        <v>264</v>
      </c>
      <c r="G52" s="46" t="s">
        <v>265</v>
      </c>
      <c r="H52" s="7" t="s">
        <v>44</v>
      </c>
      <c r="I52" s="62" t="s">
        <v>45</v>
      </c>
      <c r="J52" s="62" t="s">
        <v>180</v>
      </c>
      <c r="K52" s="62"/>
      <c r="L52" s="62" t="s">
        <v>181</v>
      </c>
    </row>
    <row r="53" spans="1:12" ht="112.2" customHeight="1" x14ac:dyDescent="0.25">
      <c r="A53" s="145" t="s">
        <v>266</v>
      </c>
      <c r="B53" s="16" t="s">
        <v>267</v>
      </c>
      <c r="C53" s="35" t="s">
        <v>268</v>
      </c>
      <c r="D53" s="36" t="s">
        <v>269</v>
      </c>
      <c r="E53" s="36" t="s">
        <v>215</v>
      </c>
      <c r="F53" s="36" t="s">
        <v>270</v>
      </c>
      <c r="G53" s="47" t="s">
        <v>271</v>
      </c>
      <c r="H53" s="5" t="s">
        <v>50</v>
      </c>
      <c r="I53" s="62" t="s">
        <v>45</v>
      </c>
      <c r="J53" s="62" t="s">
        <v>74</v>
      </c>
      <c r="K53" s="62" t="s">
        <v>75</v>
      </c>
      <c r="L53" s="62" t="s">
        <v>76</v>
      </c>
    </row>
    <row r="54" spans="1:12" ht="75" customHeight="1" x14ac:dyDescent="0.25">
      <c r="A54" s="145" t="s">
        <v>266</v>
      </c>
      <c r="B54" s="16" t="s">
        <v>267</v>
      </c>
      <c r="C54" s="35" t="s">
        <v>272</v>
      </c>
      <c r="D54" s="36" t="s">
        <v>273</v>
      </c>
      <c r="E54" s="36" t="s">
        <v>215</v>
      </c>
      <c r="F54" s="36" t="s">
        <v>274</v>
      </c>
      <c r="G54" s="47" t="s">
        <v>1086</v>
      </c>
      <c r="H54" s="5" t="s">
        <v>44</v>
      </c>
      <c r="I54" s="62" t="s">
        <v>45</v>
      </c>
      <c r="J54" s="62" t="s">
        <v>74</v>
      </c>
      <c r="K54" s="62" t="s">
        <v>75</v>
      </c>
      <c r="L54" s="62" t="s">
        <v>76</v>
      </c>
    </row>
    <row r="55" spans="1:12" ht="104.4" customHeight="1" x14ac:dyDescent="0.25">
      <c r="A55" s="145" t="s">
        <v>266</v>
      </c>
      <c r="B55" s="8" t="s">
        <v>275</v>
      </c>
      <c r="C55" s="35" t="s">
        <v>276</v>
      </c>
      <c r="D55" s="43" t="s">
        <v>277</v>
      </c>
      <c r="E55" s="36" t="s">
        <v>215</v>
      </c>
      <c r="F55" s="43" t="s">
        <v>278</v>
      </c>
      <c r="G55" s="48" t="s">
        <v>1085</v>
      </c>
      <c r="H55" s="5" t="s">
        <v>44</v>
      </c>
      <c r="I55" s="62" t="s">
        <v>45</v>
      </c>
      <c r="J55" s="62" t="s">
        <v>74</v>
      </c>
      <c r="K55" s="62" t="s">
        <v>75</v>
      </c>
      <c r="L55" s="62" t="s">
        <v>76</v>
      </c>
    </row>
    <row r="56" spans="1:12" ht="118.8" customHeight="1" x14ac:dyDescent="0.25">
      <c r="A56" s="145" t="s">
        <v>266</v>
      </c>
      <c r="B56" s="8" t="s">
        <v>275</v>
      </c>
      <c r="C56" s="35" t="s">
        <v>279</v>
      </c>
      <c r="D56" s="43" t="s">
        <v>280</v>
      </c>
      <c r="E56" s="36" t="s">
        <v>215</v>
      </c>
      <c r="F56" s="43" t="s">
        <v>281</v>
      </c>
      <c r="G56" s="48" t="s">
        <v>1085</v>
      </c>
      <c r="H56" s="5" t="s">
        <v>50</v>
      </c>
      <c r="I56" s="62" t="s">
        <v>45</v>
      </c>
      <c r="J56" s="62" t="s">
        <v>74</v>
      </c>
      <c r="K56" s="62" t="s">
        <v>75</v>
      </c>
      <c r="L56" s="62" t="s">
        <v>76</v>
      </c>
    </row>
    <row r="57" spans="1:12" ht="276" customHeight="1" x14ac:dyDescent="0.25">
      <c r="A57" s="146" t="s">
        <v>1056</v>
      </c>
      <c r="B57" s="33" t="s">
        <v>282</v>
      </c>
      <c r="C57" s="35" t="s">
        <v>283</v>
      </c>
      <c r="D57" s="17" t="s">
        <v>284</v>
      </c>
      <c r="E57" s="17" t="s">
        <v>285</v>
      </c>
      <c r="F57" s="17" t="s">
        <v>286</v>
      </c>
      <c r="G57" s="17" t="s">
        <v>287</v>
      </c>
      <c r="H57" s="5" t="s">
        <v>50</v>
      </c>
      <c r="I57" s="62" t="s">
        <v>45</v>
      </c>
      <c r="J57" s="62" t="s">
        <v>122</v>
      </c>
      <c r="K57" s="62"/>
      <c r="L57" s="62" t="s">
        <v>123</v>
      </c>
    </row>
    <row r="58" spans="1:12" ht="207" customHeight="1" x14ac:dyDescent="0.25">
      <c r="A58" s="146" t="s">
        <v>1056</v>
      </c>
      <c r="B58" s="33" t="s">
        <v>282</v>
      </c>
      <c r="C58" s="35" t="s">
        <v>288</v>
      </c>
      <c r="D58" s="17" t="s">
        <v>289</v>
      </c>
      <c r="E58" s="17" t="s">
        <v>290</v>
      </c>
      <c r="F58" s="17" t="s">
        <v>291</v>
      </c>
      <c r="G58" s="17" t="s">
        <v>292</v>
      </c>
      <c r="H58" s="5" t="s">
        <v>64</v>
      </c>
      <c r="I58" s="62" t="s">
        <v>45</v>
      </c>
      <c r="J58" s="62" t="s">
        <v>122</v>
      </c>
      <c r="K58" s="62"/>
      <c r="L58" s="62" t="s">
        <v>123</v>
      </c>
    </row>
    <row r="59" spans="1:12" ht="234.6" customHeight="1" x14ac:dyDescent="0.25">
      <c r="A59" s="146" t="s">
        <v>1056</v>
      </c>
      <c r="B59" s="33" t="s">
        <v>282</v>
      </c>
      <c r="C59" s="35" t="s">
        <v>293</v>
      </c>
      <c r="D59" s="17" t="s">
        <v>294</v>
      </c>
      <c r="E59" s="17" t="s">
        <v>295</v>
      </c>
      <c r="F59" s="17" t="s">
        <v>296</v>
      </c>
      <c r="G59" s="17" t="s">
        <v>297</v>
      </c>
      <c r="H59" s="5" t="s">
        <v>64</v>
      </c>
      <c r="I59" s="62" t="s">
        <v>45</v>
      </c>
      <c r="J59" s="62" t="s">
        <v>122</v>
      </c>
      <c r="K59" s="62"/>
      <c r="L59" s="62" t="s">
        <v>123</v>
      </c>
    </row>
    <row r="60" spans="1:12" ht="234.6" customHeight="1" x14ac:dyDescent="0.25">
      <c r="A60" s="146" t="s">
        <v>1056</v>
      </c>
      <c r="B60" s="33" t="s">
        <v>282</v>
      </c>
      <c r="C60" s="35" t="s">
        <v>298</v>
      </c>
      <c r="D60" s="17" t="s">
        <v>299</v>
      </c>
      <c r="E60" s="17" t="s">
        <v>300</v>
      </c>
      <c r="F60" s="17" t="s">
        <v>301</v>
      </c>
      <c r="G60" s="17" t="s">
        <v>302</v>
      </c>
      <c r="H60" s="5" t="s">
        <v>64</v>
      </c>
      <c r="I60" s="62" t="s">
        <v>45</v>
      </c>
      <c r="J60" s="62" t="s">
        <v>122</v>
      </c>
      <c r="K60" s="62"/>
      <c r="L60" s="62" t="s">
        <v>123</v>
      </c>
    </row>
    <row r="61" spans="1:12" ht="234.6" customHeight="1" x14ac:dyDescent="0.25">
      <c r="A61" s="146" t="s">
        <v>1056</v>
      </c>
      <c r="B61" s="33" t="s">
        <v>282</v>
      </c>
      <c r="C61" s="35" t="s">
        <v>303</v>
      </c>
      <c r="D61" s="17" t="s">
        <v>304</v>
      </c>
      <c r="E61" s="17" t="s">
        <v>305</v>
      </c>
      <c r="F61" s="17" t="s">
        <v>306</v>
      </c>
      <c r="G61" s="17" t="s">
        <v>307</v>
      </c>
      <c r="H61" s="5" t="s">
        <v>64</v>
      </c>
      <c r="I61" s="62" t="s">
        <v>45</v>
      </c>
      <c r="J61" s="62" t="s">
        <v>74</v>
      </c>
      <c r="K61" s="62" t="s">
        <v>308</v>
      </c>
      <c r="L61" s="62" t="s">
        <v>309</v>
      </c>
    </row>
    <row r="62" spans="1:12" ht="276" customHeight="1" x14ac:dyDescent="0.25">
      <c r="A62" s="146" t="s">
        <v>1056</v>
      </c>
      <c r="B62" s="33" t="s">
        <v>282</v>
      </c>
      <c r="C62" s="35" t="s">
        <v>310</v>
      </c>
      <c r="D62" s="17" t="s">
        <v>311</v>
      </c>
      <c r="E62" s="17" t="s">
        <v>312</v>
      </c>
      <c r="F62" s="17" t="s">
        <v>313</v>
      </c>
      <c r="G62" s="17" t="s">
        <v>302</v>
      </c>
      <c r="H62" s="5" t="s">
        <v>64</v>
      </c>
      <c r="I62" s="62" t="s">
        <v>45</v>
      </c>
      <c r="J62" s="62" t="s">
        <v>74</v>
      </c>
      <c r="K62" s="62" t="s">
        <v>308</v>
      </c>
      <c r="L62" s="62" t="s">
        <v>309</v>
      </c>
    </row>
    <row r="63" spans="1:12" ht="276" customHeight="1" x14ac:dyDescent="0.25">
      <c r="A63" s="146" t="s">
        <v>1056</v>
      </c>
      <c r="B63" s="33" t="s">
        <v>282</v>
      </c>
      <c r="C63" s="35" t="s">
        <v>314</v>
      </c>
      <c r="D63" s="17" t="s">
        <v>315</v>
      </c>
      <c r="E63" s="17" t="s">
        <v>316</v>
      </c>
      <c r="F63" s="17" t="s">
        <v>313</v>
      </c>
      <c r="G63" s="17" t="s">
        <v>317</v>
      </c>
      <c r="H63" s="5" t="s">
        <v>44</v>
      </c>
      <c r="I63" s="62" t="s">
        <v>45</v>
      </c>
      <c r="J63" s="62" t="s">
        <v>74</v>
      </c>
      <c r="K63" s="62" t="s">
        <v>308</v>
      </c>
      <c r="L63" s="62" t="s">
        <v>309</v>
      </c>
    </row>
    <row r="64" spans="1:12" ht="276" customHeight="1" x14ac:dyDescent="0.25">
      <c r="A64" s="146" t="s">
        <v>1056</v>
      </c>
      <c r="B64" s="33" t="s">
        <v>282</v>
      </c>
      <c r="C64" s="35" t="s">
        <v>318</v>
      </c>
      <c r="D64" s="17" t="s">
        <v>319</v>
      </c>
      <c r="E64" s="17" t="s">
        <v>316</v>
      </c>
      <c r="F64" s="17" t="s">
        <v>320</v>
      </c>
      <c r="G64" s="17" t="s">
        <v>317</v>
      </c>
      <c r="H64" s="5" t="s">
        <v>64</v>
      </c>
      <c r="I64" s="62" t="s">
        <v>45</v>
      </c>
      <c r="J64" s="62" t="s">
        <v>180</v>
      </c>
      <c r="K64" s="62"/>
      <c r="L64" s="62" t="s">
        <v>181</v>
      </c>
    </row>
    <row r="65" spans="1:12" ht="276" customHeight="1" x14ac:dyDescent="0.25">
      <c r="A65" s="146" t="s">
        <v>1056</v>
      </c>
      <c r="B65" s="33" t="s">
        <v>282</v>
      </c>
      <c r="C65" s="35" t="s">
        <v>321</v>
      </c>
      <c r="D65" s="17" t="s">
        <v>322</v>
      </c>
      <c r="E65" s="17" t="s">
        <v>323</v>
      </c>
      <c r="F65" s="17" t="s">
        <v>324</v>
      </c>
      <c r="G65" s="17" t="s">
        <v>325</v>
      </c>
      <c r="H65" s="5" t="s">
        <v>64</v>
      </c>
      <c r="I65" s="62" t="s">
        <v>45</v>
      </c>
      <c r="J65" s="62" t="s">
        <v>74</v>
      </c>
      <c r="K65" s="62" t="s">
        <v>308</v>
      </c>
      <c r="L65" s="62" t="s">
        <v>309</v>
      </c>
    </row>
    <row r="66" spans="1:12" ht="289.8" customHeight="1" x14ac:dyDescent="0.25">
      <c r="A66" s="146" t="s">
        <v>1056</v>
      </c>
      <c r="B66" s="33" t="s">
        <v>282</v>
      </c>
      <c r="C66" s="35" t="s">
        <v>326</v>
      </c>
      <c r="D66" s="17" t="s">
        <v>327</v>
      </c>
      <c r="E66" s="17" t="s">
        <v>305</v>
      </c>
      <c r="F66" s="17" t="s">
        <v>328</v>
      </c>
      <c r="G66" s="17" t="s">
        <v>329</v>
      </c>
      <c r="H66" s="5" t="s">
        <v>64</v>
      </c>
      <c r="I66" s="62" t="s">
        <v>45</v>
      </c>
      <c r="J66" s="62" t="s">
        <v>74</v>
      </c>
      <c r="K66" s="62" t="s">
        <v>308</v>
      </c>
      <c r="L66" s="62" t="s">
        <v>309</v>
      </c>
    </row>
    <row r="67" spans="1:12" ht="289.8" customHeight="1" x14ac:dyDescent="0.25">
      <c r="A67" s="146" t="s">
        <v>1056</v>
      </c>
      <c r="B67" s="33" t="s">
        <v>282</v>
      </c>
      <c r="C67" s="35" t="s">
        <v>330</v>
      </c>
      <c r="D67" s="17" t="s">
        <v>331</v>
      </c>
      <c r="E67" s="17" t="s">
        <v>305</v>
      </c>
      <c r="F67" s="17" t="s">
        <v>332</v>
      </c>
      <c r="G67" s="17" t="s">
        <v>333</v>
      </c>
      <c r="H67" s="5" t="s">
        <v>64</v>
      </c>
      <c r="I67" s="62" t="s">
        <v>45</v>
      </c>
      <c r="J67" s="62" t="s">
        <v>74</v>
      </c>
      <c r="K67" s="62" t="s">
        <v>308</v>
      </c>
      <c r="L67" s="62" t="s">
        <v>309</v>
      </c>
    </row>
    <row r="68" spans="1:12" ht="154.80000000000001" customHeight="1" x14ac:dyDescent="0.25">
      <c r="A68" s="146" t="s">
        <v>1056</v>
      </c>
      <c r="B68" s="33" t="s">
        <v>282</v>
      </c>
      <c r="C68" s="35" t="s">
        <v>334</v>
      </c>
      <c r="D68" s="17" t="s">
        <v>335</v>
      </c>
      <c r="E68" s="17" t="s">
        <v>336</v>
      </c>
      <c r="F68" s="17" t="s">
        <v>337</v>
      </c>
      <c r="G68" s="17" t="s">
        <v>317</v>
      </c>
      <c r="H68" s="5" t="s">
        <v>64</v>
      </c>
      <c r="I68" s="62" t="s">
        <v>45</v>
      </c>
      <c r="J68" s="62" t="s">
        <v>180</v>
      </c>
      <c r="K68" s="62"/>
      <c r="L68" s="62" t="s">
        <v>181</v>
      </c>
    </row>
    <row r="69" spans="1:12" ht="121.2" customHeight="1" x14ac:dyDescent="0.25">
      <c r="A69" s="146" t="s">
        <v>1056</v>
      </c>
      <c r="B69" s="33" t="s">
        <v>282</v>
      </c>
      <c r="C69" s="35" t="s">
        <v>338</v>
      </c>
      <c r="D69" s="17" t="s">
        <v>339</v>
      </c>
      <c r="E69" s="17" t="s">
        <v>340</v>
      </c>
      <c r="F69" s="17" t="s">
        <v>341</v>
      </c>
      <c r="G69" s="17" t="s">
        <v>325</v>
      </c>
      <c r="H69" s="5" t="s">
        <v>64</v>
      </c>
      <c r="I69" s="62" t="s">
        <v>45</v>
      </c>
      <c r="J69" s="62" t="s">
        <v>180</v>
      </c>
      <c r="K69" s="62"/>
      <c r="L69" s="62" t="s">
        <v>181</v>
      </c>
    </row>
    <row r="70" spans="1:12" ht="151.80000000000001" customHeight="1" x14ac:dyDescent="0.25">
      <c r="A70" s="146" t="s">
        <v>1057</v>
      </c>
      <c r="B70" s="34" t="s">
        <v>342</v>
      </c>
      <c r="C70" s="35" t="s">
        <v>343</v>
      </c>
      <c r="D70" s="18" t="s">
        <v>344</v>
      </c>
      <c r="E70" s="18" t="s">
        <v>305</v>
      </c>
      <c r="F70" s="18" t="s">
        <v>345</v>
      </c>
      <c r="G70" s="18" t="s">
        <v>346</v>
      </c>
      <c r="H70" s="5" t="s">
        <v>50</v>
      </c>
      <c r="I70" s="62" t="s">
        <v>45</v>
      </c>
      <c r="J70" s="62"/>
      <c r="K70" s="62"/>
      <c r="L70" s="62" t="s">
        <v>347</v>
      </c>
    </row>
    <row r="71" spans="1:12" ht="151.80000000000001" customHeight="1" x14ac:dyDescent="0.25">
      <c r="A71" s="146" t="s">
        <v>1057</v>
      </c>
      <c r="B71" s="34" t="s">
        <v>348</v>
      </c>
      <c r="C71" s="49" t="s">
        <v>349</v>
      </c>
      <c r="D71" s="18" t="s">
        <v>350</v>
      </c>
      <c r="E71" s="18" t="s">
        <v>305</v>
      </c>
      <c r="F71" s="18" t="s">
        <v>351</v>
      </c>
      <c r="G71" s="18" t="s">
        <v>346</v>
      </c>
      <c r="H71" s="5" t="s">
        <v>50</v>
      </c>
      <c r="I71" s="62" t="s">
        <v>45</v>
      </c>
      <c r="J71" s="62"/>
      <c r="K71" s="62"/>
      <c r="L71" s="62" t="s">
        <v>347</v>
      </c>
    </row>
    <row r="72" spans="1:12" ht="151.80000000000001" customHeight="1" x14ac:dyDescent="0.25">
      <c r="A72" s="146" t="s">
        <v>1057</v>
      </c>
      <c r="B72" s="34" t="s">
        <v>342</v>
      </c>
      <c r="C72" s="35" t="s">
        <v>352</v>
      </c>
      <c r="D72" s="18" t="s">
        <v>353</v>
      </c>
      <c r="E72" s="18" t="s">
        <v>312</v>
      </c>
      <c r="F72" s="18" t="s">
        <v>354</v>
      </c>
      <c r="G72" s="18" t="s">
        <v>355</v>
      </c>
      <c r="H72" s="5" t="s">
        <v>64</v>
      </c>
      <c r="I72" s="62" t="s">
        <v>45</v>
      </c>
      <c r="J72" s="62"/>
      <c r="K72" s="62"/>
      <c r="L72" s="62" t="s">
        <v>347</v>
      </c>
    </row>
    <row r="73" spans="1:12" ht="151.80000000000001" customHeight="1" x14ac:dyDescent="0.25">
      <c r="A73" s="146" t="s">
        <v>1057</v>
      </c>
      <c r="B73" s="34" t="s">
        <v>342</v>
      </c>
      <c r="C73" s="35" t="s">
        <v>356</v>
      </c>
      <c r="D73" s="18" t="s">
        <v>357</v>
      </c>
      <c r="E73" s="18" t="s">
        <v>305</v>
      </c>
      <c r="F73" s="18" t="s">
        <v>358</v>
      </c>
      <c r="G73" s="18" t="s">
        <v>346</v>
      </c>
      <c r="H73" s="5" t="s">
        <v>44</v>
      </c>
      <c r="I73" s="62" t="s">
        <v>45</v>
      </c>
      <c r="J73" s="62"/>
      <c r="K73" s="62"/>
      <c r="L73" s="62" t="s">
        <v>347</v>
      </c>
    </row>
    <row r="74" spans="1:12" ht="151.80000000000001" customHeight="1" x14ac:dyDescent="0.25">
      <c r="A74" s="146" t="s">
        <v>1057</v>
      </c>
      <c r="B74" s="34" t="s">
        <v>342</v>
      </c>
      <c r="C74" s="35" t="s">
        <v>359</v>
      </c>
      <c r="D74" s="18" t="s">
        <v>360</v>
      </c>
      <c r="E74" s="18" t="s">
        <v>305</v>
      </c>
      <c r="F74" s="18" t="s">
        <v>361</v>
      </c>
      <c r="G74" s="18" t="s">
        <v>346</v>
      </c>
      <c r="H74" s="5" t="s">
        <v>64</v>
      </c>
      <c r="I74" s="62" t="s">
        <v>45</v>
      </c>
      <c r="J74" s="62"/>
      <c r="K74" s="62"/>
      <c r="L74" s="62" t="s">
        <v>362</v>
      </c>
    </row>
    <row r="75" spans="1:12" ht="151.80000000000001" customHeight="1" x14ac:dyDescent="0.25">
      <c r="A75" s="146" t="s">
        <v>1057</v>
      </c>
      <c r="B75" s="34" t="s">
        <v>342</v>
      </c>
      <c r="C75" s="35" t="s">
        <v>363</v>
      </c>
      <c r="D75" s="18" t="s">
        <v>364</v>
      </c>
      <c r="E75" s="18" t="s">
        <v>312</v>
      </c>
      <c r="F75" s="18" t="s">
        <v>365</v>
      </c>
      <c r="G75" s="18" t="s">
        <v>355</v>
      </c>
      <c r="H75" s="5" t="s">
        <v>64</v>
      </c>
      <c r="I75" s="62" t="s">
        <v>45</v>
      </c>
      <c r="J75" s="62"/>
      <c r="K75" s="62"/>
      <c r="L75" s="62" t="s">
        <v>347</v>
      </c>
    </row>
    <row r="76" spans="1:12" ht="151.80000000000001" customHeight="1" x14ac:dyDescent="0.25">
      <c r="A76" s="146" t="s">
        <v>1057</v>
      </c>
      <c r="B76" s="34" t="s">
        <v>348</v>
      </c>
      <c r="C76" s="35" t="s">
        <v>366</v>
      </c>
      <c r="D76" s="18" t="s">
        <v>367</v>
      </c>
      <c r="E76" s="18" t="s">
        <v>312</v>
      </c>
      <c r="F76" s="18" t="s">
        <v>368</v>
      </c>
      <c r="G76" s="18" t="s">
        <v>355</v>
      </c>
      <c r="H76" s="5" t="s">
        <v>44</v>
      </c>
      <c r="I76" s="62" t="s">
        <v>45</v>
      </c>
      <c r="J76" s="62"/>
      <c r="K76" s="62"/>
      <c r="L76" s="62" t="s">
        <v>347</v>
      </c>
    </row>
    <row r="77" spans="1:12" ht="151.80000000000001" customHeight="1" x14ac:dyDescent="0.25">
      <c r="A77" s="146" t="s">
        <v>1057</v>
      </c>
      <c r="B77" s="34" t="s">
        <v>342</v>
      </c>
      <c r="C77" s="35" t="s">
        <v>369</v>
      </c>
      <c r="D77" s="18" t="s">
        <v>370</v>
      </c>
      <c r="E77" s="18" t="s">
        <v>316</v>
      </c>
      <c r="F77" s="18" t="s">
        <v>371</v>
      </c>
      <c r="G77" s="18" t="s">
        <v>372</v>
      </c>
      <c r="H77" s="5" t="s">
        <v>64</v>
      </c>
      <c r="I77" s="62" t="s">
        <v>45</v>
      </c>
      <c r="J77" s="62"/>
      <c r="K77" s="62"/>
      <c r="L77" s="62" t="s">
        <v>347</v>
      </c>
    </row>
    <row r="78" spans="1:12" ht="151.80000000000001" customHeight="1" x14ac:dyDescent="0.25">
      <c r="A78" s="146" t="s">
        <v>1057</v>
      </c>
      <c r="B78" s="34" t="s">
        <v>342</v>
      </c>
      <c r="C78" s="35" t="s">
        <v>373</v>
      </c>
      <c r="D78" s="18" t="s">
        <v>374</v>
      </c>
      <c r="E78" s="18" t="s">
        <v>323</v>
      </c>
      <c r="F78" s="18" t="s">
        <v>375</v>
      </c>
      <c r="G78" s="18" t="s">
        <v>376</v>
      </c>
      <c r="H78" s="5" t="s">
        <v>64</v>
      </c>
      <c r="I78" s="62" t="s">
        <v>45</v>
      </c>
      <c r="J78" s="62"/>
      <c r="K78" s="62"/>
      <c r="L78" s="62" t="s">
        <v>347</v>
      </c>
    </row>
    <row r="79" spans="1:12" ht="151.80000000000001" customHeight="1" x14ac:dyDescent="0.25">
      <c r="A79" s="146" t="s">
        <v>1057</v>
      </c>
      <c r="B79" s="34" t="s">
        <v>342</v>
      </c>
      <c r="C79" s="35" t="s">
        <v>377</v>
      </c>
      <c r="D79" s="18" t="s">
        <v>378</v>
      </c>
      <c r="E79" s="18" t="s">
        <v>379</v>
      </c>
      <c r="F79" s="18" t="s">
        <v>380</v>
      </c>
      <c r="G79" s="18" t="s">
        <v>372</v>
      </c>
      <c r="H79" s="5" t="s">
        <v>64</v>
      </c>
      <c r="I79" s="62" t="s">
        <v>45</v>
      </c>
      <c r="J79" s="62"/>
      <c r="K79" s="62"/>
      <c r="L79" s="62" t="s">
        <v>381</v>
      </c>
    </row>
    <row r="80" spans="1:12" ht="151.80000000000001" customHeight="1" x14ac:dyDescent="0.25">
      <c r="A80" s="146" t="s">
        <v>1057</v>
      </c>
      <c r="B80" s="34" t="s">
        <v>342</v>
      </c>
      <c r="C80" s="35" t="s">
        <v>382</v>
      </c>
      <c r="D80" s="18" t="s">
        <v>383</v>
      </c>
      <c r="E80" s="18" t="s">
        <v>340</v>
      </c>
      <c r="F80" s="18" t="s">
        <v>384</v>
      </c>
      <c r="G80" s="18" t="s">
        <v>376</v>
      </c>
      <c r="H80" s="5" t="s">
        <v>64</v>
      </c>
      <c r="I80" s="62" t="s">
        <v>45</v>
      </c>
      <c r="J80" s="62"/>
      <c r="K80" s="62"/>
      <c r="L80" s="62" t="s">
        <v>381</v>
      </c>
    </row>
    <row r="81" spans="1:12" ht="52.8" customHeight="1" x14ac:dyDescent="0.25">
      <c r="A81" s="72" t="s">
        <v>385</v>
      </c>
      <c r="B81" s="19" t="s">
        <v>386</v>
      </c>
      <c r="C81" s="35" t="s">
        <v>387</v>
      </c>
      <c r="D81" s="37" t="s">
        <v>388</v>
      </c>
      <c r="E81" s="49" t="s">
        <v>41</v>
      </c>
      <c r="F81" s="37" t="s">
        <v>389</v>
      </c>
      <c r="G81" s="50" t="s">
        <v>390</v>
      </c>
      <c r="H81" s="20" t="s">
        <v>50</v>
      </c>
      <c r="I81" s="62" t="s">
        <v>45</v>
      </c>
      <c r="J81" s="62" t="s">
        <v>74</v>
      </c>
      <c r="K81" s="62" t="s">
        <v>75</v>
      </c>
      <c r="L81" s="62" t="s">
        <v>76</v>
      </c>
    </row>
    <row r="82" spans="1:12" ht="79.2" customHeight="1" x14ac:dyDescent="0.25">
      <c r="A82" s="72" t="s">
        <v>385</v>
      </c>
      <c r="B82" s="19" t="s">
        <v>386</v>
      </c>
      <c r="C82" s="35" t="s">
        <v>391</v>
      </c>
      <c r="D82" s="37" t="s">
        <v>392</v>
      </c>
      <c r="E82" s="37" t="s">
        <v>41</v>
      </c>
      <c r="F82" s="37" t="s">
        <v>393</v>
      </c>
      <c r="G82" s="50" t="s">
        <v>394</v>
      </c>
      <c r="H82" s="20" t="s">
        <v>64</v>
      </c>
      <c r="I82" s="62" t="s">
        <v>45</v>
      </c>
      <c r="J82" s="62" t="s">
        <v>395</v>
      </c>
      <c r="K82" s="62"/>
      <c r="L82" s="62" t="s">
        <v>396</v>
      </c>
    </row>
    <row r="83" spans="1:12" ht="79.2" customHeight="1" x14ac:dyDescent="0.25">
      <c r="A83" s="72" t="s">
        <v>385</v>
      </c>
      <c r="B83" s="21" t="s">
        <v>397</v>
      </c>
      <c r="C83" s="35" t="s">
        <v>398</v>
      </c>
      <c r="D83" s="38" t="s">
        <v>399</v>
      </c>
      <c r="E83" s="37" t="s">
        <v>41</v>
      </c>
      <c r="F83" s="38" t="s">
        <v>400</v>
      </c>
      <c r="G83" s="51" t="s">
        <v>401</v>
      </c>
      <c r="H83" s="20" t="s">
        <v>44</v>
      </c>
      <c r="I83" s="62" t="s">
        <v>45</v>
      </c>
      <c r="J83" s="62" t="s">
        <v>74</v>
      </c>
      <c r="K83" s="62" t="s">
        <v>75</v>
      </c>
      <c r="L83" s="62" t="s">
        <v>76</v>
      </c>
    </row>
    <row r="84" spans="1:12" ht="92.4" customHeight="1" x14ac:dyDescent="0.25">
      <c r="A84" s="72" t="s">
        <v>385</v>
      </c>
      <c r="B84" s="21" t="s">
        <v>397</v>
      </c>
      <c r="C84" s="35" t="s">
        <v>402</v>
      </c>
      <c r="D84" s="52" t="s">
        <v>403</v>
      </c>
      <c r="E84" s="37" t="s">
        <v>41</v>
      </c>
      <c r="F84" s="52" t="s">
        <v>404</v>
      </c>
      <c r="G84" s="51" t="s">
        <v>405</v>
      </c>
      <c r="H84" s="20" t="s">
        <v>44</v>
      </c>
      <c r="I84" s="62" t="s">
        <v>45</v>
      </c>
      <c r="J84" s="62" t="s">
        <v>74</v>
      </c>
      <c r="K84" s="62" t="s">
        <v>75</v>
      </c>
      <c r="L84" s="62" t="s">
        <v>76</v>
      </c>
    </row>
    <row r="85" spans="1:12" ht="105.6" customHeight="1" x14ac:dyDescent="0.25">
      <c r="A85" s="72" t="s">
        <v>385</v>
      </c>
      <c r="B85" s="21" t="s">
        <v>397</v>
      </c>
      <c r="C85" s="35" t="s">
        <v>406</v>
      </c>
      <c r="D85" s="52" t="s">
        <v>407</v>
      </c>
      <c r="E85" s="37" t="s">
        <v>41</v>
      </c>
      <c r="F85" s="52" t="s">
        <v>408</v>
      </c>
      <c r="G85" s="51" t="s">
        <v>409</v>
      </c>
      <c r="H85" s="20" t="s">
        <v>50</v>
      </c>
      <c r="I85" s="62" t="s">
        <v>45</v>
      </c>
      <c r="J85" s="62" t="s">
        <v>395</v>
      </c>
      <c r="K85" s="62"/>
      <c r="L85" s="62" t="s">
        <v>396</v>
      </c>
    </row>
    <row r="86" spans="1:12" ht="92.4" customHeight="1" x14ac:dyDescent="0.25">
      <c r="A86" s="72" t="s">
        <v>385</v>
      </c>
      <c r="B86" s="21" t="s">
        <v>397</v>
      </c>
      <c r="C86" s="35" t="s">
        <v>410</v>
      </c>
      <c r="D86" s="52" t="s">
        <v>411</v>
      </c>
      <c r="E86" s="37" t="s">
        <v>41</v>
      </c>
      <c r="F86" s="52" t="s">
        <v>412</v>
      </c>
      <c r="G86" s="51" t="s">
        <v>413</v>
      </c>
      <c r="H86" s="20" t="s">
        <v>64</v>
      </c>
      <c r="I86" s="62" t="s">
        <v>45</v>
      </c>
      <c r="J86" s="62" t="s">
        <v>74</v>
      </c>
      <c r="K86" s="62" t="s">
        <v>75</v>
      </c>
      <c r="L86" s="62" t="s">
        <v>76</v>
      </c>
    </row>
    <row r="87" spans="1:12" ht="145.19999999999999" customHeight="1" x14ac:dyDescent="0.25">
      <c r="A87" s="72" t="s">
        <v>385</v>
      </c>
      <c r="B87" s="21" t="s">
        <v>397</v>
      </c>
      <c r="C87" s="35" t="s">
        <v>414</v>
      </c>
      <c r="D87" s="52" t="s">
        <v>415</v>
      </c>
      <c r="E87" s="37" t="s">
        <v>41</v>
      </c>
      <c r="F87" s="52" t="s">
        <v>416</v>
      </c>
      <c r="G87" s="51" t="s">
        <v>417</v>
      </c>
      <c r="H87" s="20" t="s">
        <v>64</v>
      </c>
      <c r="I87" s="62" t="s">
        <v>65</v>
      </c>
      <c r="J87" s="62"/>
      <c r="K87" s="62"/>
      <c r="L87" s="62" t="s">
        <v>418</v>
      </c>
    </row>
    <row r="88" spans="1:12" ht="52.8" customHeight="1" x14ac:dyDescent="0.25">
      <c r="A88" s="72" t="s">
        <v>385</v>
      </c>
      <c r="B88" s="22" t="s">
        <v>419</v>
      </c>
      <c r="C88" s="35" t="s">
        <v>420</v>
      </c>
      <c r="D88" s="52" t="s">
        <v>421</v>
      </c>
      <c r="E88" s="37" t="s">
        <v>41</v>
      </c>
      <c r="F88" s="52" t="s">
        <v>422</v>
      </c>
      <c r="G88" s="51" t="s">
        <v>423</v>
      </c>
      <c r="H88" s="20" t="s">
        <v>50</v>
      </c>
      <c r="I88" s="62" t="s">
        <v>45</v>
      </c>
      <c r="J88" s="62" t="s">
        <v>74</v>
      </c>
      <c r="K88" s="62" t="s">
        <v>75</v>
      </c>
      <c r="L88" s="62" t="s">
        <v>76</v>
      </c>
    </row>
    <row r="89" spans="1:12" ht="105.6" customHeight="1" x14ac:dyDescent="0.25">
      <c r="A89" s="72" t="s">
        <v>385</v>
      </c>
      <c r="B89" s="19" t="s">
        <v>419</v>
      </c>
      <c r="C89" s="35" t="s">
        <v>424</v>
      </c>
      <c r="D89" s="37" t="s">
        <v>425</v>
      </c>
      <c r="E89" s="37" t="s">
        <v>41</v>
      </c>
      <c r="F89" s="52" t="s">
        <v>426</v>
      </c>
      <c r="G89" s="50" t="s">
        <v>427</v>
      </c>
      <c r="H89" s="20" t="s">
        <v>89</v>
      </c>
      <c r="I89" s="62" t="s">
        <v>45</v>
      </c>
      <c r="J89" s="62" t="s">
        <v>428</v>
      </c>
      <c r="K89" s="62"/>
      <c r="L89" s="62" t="s">
        <v>396</v>
      </c>
    </row>
    <row r="90" spans="1:12" ht="92.4" customHeight="1" x14ac:dyDescent="0.25">
      <c r="A90" s="72" t="s">
        <v>385</v>
      </c>
      <c r="B90" s="19" t="s">
        <v>419</v>
      </c>
      <c r="C90" s="35" t="s">
        <v>429</v>
      </c>
      <c r="D90" s="37" t="s">
        <v>430</v>
      </c>
      <c r="E90" s="37" t="s">
        <v>41</v>
      </c>
      <c r="F90" s="37" t="s">
        <v>431</v>
      </c>
      <c r="G90" s="50" t="s">
        <v>432</v>
      </c>
      <c r="H90" s="20" t="s">
        <v>64</v>
      </c>
      <c r="I90" s="62" t="s">
        <v>45</v>
      </c>
      <c r="J90" s="62" t="s">
        <v>74</v>
      </c>
      <c r="K90" s="62" t="s">
        <v>75</v>
      </c>
      <c r="L90" s="62" t="s">
        <v>76</v>
      </c>
    </row>
    <row r="91" spans="1:12" ht="118.8" customHeight="1" x14ac:dyDescent="0.25">
      <c r="A91" s="72" t="s">
        <v>385</v>
      </c>
      <c r="B91" s="19" t="s">
        <v>419</v>
      </c>
      <c r="C91" s="35" t="s">
        <v>433</v>
      </c>
      <c r="D91" s="37" t="s">
        <v>434</v>
      </c>
      <c r="E91" s="37" t="s">
        <v>41</v>
      </c>
      <c r="F91" s="37" t="s">
        <v>435</v>
      </c>
      <c r="G91" s="50" t="s">
        <v>436</v>
      </c>
      <c r="H91" s="20" t="s">
        <v>57</v>
      </c>
      <c r="I91" s="62" t="s">
        <v>65</v>
      </c>
      <c r="J91" s="62"/>
      <c r="K91" s="62"/>
      <c r="L91" s="62" t="s">
        <v>418</v>
      </c>
    </row>
    <row r="92" spans="1:12" ht="66" customHeight="1" x14ac:dyDescent="0.25">
      <c r="A92" s="72" t="s">
        <v>385</v>
      </c>
      <c r="B92" s="40" t="s">
        <v>437</v>
      </c>
      <c r="C92" s="35" t="s">
        <v>438</v>
      </c>
      <c r="D92" s="37" t="s">
        <v>439</v>
      </c>
      <c r="E92" s="37" t="s">
        <v>41</v>
      </c>
      <c r="F92" s="53" t="s">
        <v>440</v>
      </c>
      <c r="G92" s="50" t="s">
        <v>441</v>
      </c>
      <c r="H92" s="20" t="s">
        <v>64</v>
      </c>
      <c r="I92" s="62" t="s">
        <v>45</v>
      </c>
      <c r="J92" s="62" t="s">
        <v>442</v>
      </c>
      <c r="K92" s="62"/>
      <c r="L92" s="62" t="s">
        <v>443</v>
      </c>
    </row>
    <row r="93" spans="1:12" ht="55.95" customHeight="1" x14ac:dyDescent="0.25">
      <c r="A93" s="72" t="s">
        <v>385</v>
      </c>
      <c r="B93" s="69" t="s">
        <v>437</v>
      </c>
      <c r="C93" s="60" t="s">
        <v>444</v>
      </c>
      <c r="D93" s="59" t="s">
        <v>445</v>
      </c>
      <c r="E93" s="59" t="s">
        <v>41</v>
      </c>
      <c r="F93" s="70" t="s">
        <v>446</v>
      </c>
      <c r="G93" s="58" t="s">
        <v>447</v>
      </c>
      <c r="H93" s="71" t="s">
        <v>44</v>
      </c>
      <c r="I93" s="62" t="s">
        <v>45</v>
      </c>
      <c r="J93" s="62" t="s">
        <v>448</v>
      </c>
      <c r="K93" s="62" t="s">
        <v>449</v>
      </c>
      <c r="L93" s="62"/>
    </row>
    <row r="94" spans="1:12" ht="79.95" customHeight="1" x14ac:dyDescent="0.25">
      <c r="A94" s="74" t="s">
        <v>450</v>
      </c>
      <c r="B94" s="74" t="s">
        <v>451</v>
      </c>
      <c r="C94" s="75" t="s">
        <v>452</v>
      </c>
      <c r="D94" s="75" t="s">
        <v>453</v>
      </c>
      <c r="E94" s="75" t="s">
        <v>454</v>
      </c>
      <c r="F94" s="75" t="s">
        <v>455</v>
      </c>
      <c r="G94" s="75" t="s">
        <v>456</v>
      </c>
      <c r="H94" s="75" t="s">
        <v>64</v>
      </c>
      <c r="I94" s="75" t="s">
        <v>45</v>
      </c>
      <c r="J94" s="62" t="s">
        <v>74</v>
      </c>
      <c r="K94" s="75"/>
      <c r="L94" s="75"/>
    </row>
    <row r="95" spans="1:12" ht="79.95" customHeight="1" x14ac:dyDescent="0.25">
      <c r="A95" s="74" t="s">
        <v>450</v>
      </c>
      <c r="B95" s="74" t="s">
        <v>451</v>
      </c>
      <c r="C95" s="75" t="s">
        <v>457</v>
      </c>
      <c r="D95" s="75" t="s">
        <v>458</v>
      </c>
      <c r="E95" s="75" t="s">
        <v>454</v>
      </c>
      <c r="F95" s="75" t="s">
        <v>459</v>
      </c>
      <c r="G95" s="75" t="s">
        <v>460</v>
      </c>
      <c r="H95" s="75" t="s">
        <v>64</v>
      </c>
      <c r="I95" s="75" t="s">
        <v>45</v>
      </c>
      <c r="J95" s="62" t="s">
        <v>74</v>
      </c>
      <c r="K95" s="75"/>
      <c r="L95" s="75"/>
    </row>
    <row r="96" spans="1:12" ht="79.95" customHeight="1" x14ac:dyDescent="0.25">
      <c r="A96" s="74" t="s">
        <v>450</v>
      </c>
      <c r="B96" s="74" t="s">
        <v>451</v>
      </c>
      <c r="C96" s="75" t="s">
        <v>461</v>
      </c>
      <c r="D96" s="75" t="s">
        <v>462</v>
      </c>
      <c r="E96" s="75" t="s">
        <v>454</v>
      </c>
      <c r="F96" s="75" t="s">
        <v>463</v>
      </c>
      <c r="G96" s="75" t="s">
        <v>464</v>
      </c>
      <c r="H96" s="75" t="s">
        <v>64</v>
      </c>
      <c r="I96" s="75" t="s">
        <v>45</v>
      </c>
      <c r="J96" s="62" t="s">
        <v>465</v>
      </c>
      <c r="K96" s="75" t="s">
        <v>466</v>
      </c>
      <c r="L96" s="75" t="s">
        <v>467</v>
      </c>
    </row>
    <row r="97" spans="1:12" ht="79.95" customHeight="1" x14ac:dyDescent="0.25">
      <c r="A97" s="74" t="s">
        <v>450</v>
      </c>
      <c r="B97" s="74" t="s">
        <v>451</v>
      </c>
      <c r="C97" s="75" t="s">
        <v>468</v>
      </c>
      <c r="D97" s="75" t="s">
        <v>469</v>
      </c>
      <c r="E97" s="75" t="s">
        <v>454</v>
      </c>
      <c r="F97" s="75" t="s">
        <v>470</v>
      </c>
      <c r="G97" s="75" t="s">
        <v>471</v>
      </c>
      <c r="H97" s="75" t="s">
        <v>44</v>
      </c>
      <c r="I97" s="75" t="s">
        <v>45</v>
      </c>
      <c r="J97" s="62" t="s">
        <v>465</v>
      </c>
      <c r="K97" s="75" t="s">
        <v>466</v>
      </c>
      <c r="L97" s="75"/>
    </row>
    <row r="98" spans="1:12" ht="96" customHeight="1" x14ac:dyDescent="0.25">
      <c r="A98" s="74" t="s">
        <v>450</v>
      </c>
      <c r="B98" s="74" t="s">
        <v>472</v>
      </c>
      <c r="C98" s="75" t="s">
        <v>473</v>
      </c>
      <c r="D98" s="75" t="s">
        <v>474</v>
      </c>
      <c r="E98" s="75" t="s">
        <v>454</v>
      </c>
      <c r="F98" s="75" t="s">
        <v>475</v>
      </c>
      <c r="G98" s="75" t="s">
        <v>476</v>
      </c>
      <c r="H98" s="75" t="s">
        <v>64</v>
      </c>
      <c r="I98" s="75" t="s">
        <v>65</v>
      </c>
      <c r="J98" s="62" t="s">
        <v>477</v>
      </c>
      <c r="K98" s="75"/>
      <c r="L98" s="75"/>
    </row>
    <row r="99" spans="1:12" ht="96" customHeight="1" x14ac:dyDescent="0.25">
      <c r="A99" s="74" t="s">
        <v>450</v>
      </c>
      <c r="B99" s="74" t="s">
        <v>472</v>
      </c>
      <c r="C99" s="75" t="s">
        <v>478</v>
      </c>
      <c r="D99" s="75" t="s">
        <v>479</v>
      </c>
      <c r="E99" s="75" t="s">
        <v>454</v>
      </c>
      <c r="F99" s="75" t="s">
        <v>480</v>
      </c>
      <c r="G99" s="75" t="s">
        <v>481</v>
      </c>
      <c r="H99" s="75" t="s">
        <v>64</v>
      </c>
      <c r="I99" s="75" t="s">
        <v>45</v>
      </c>
      <c r="J99" s="62" t="s">
        <v>74</v>
      </c>
      <c r="K99" s="75"/>
      <c r="L99" s="75"/>
    </row>
    <row r="100" spans="1:12" ht="96" customHeight="1" x14ac:dyDescent="0.25">
      <c r="A100" s="74" t="s">
        <v>450</v>
      </c>
      <c r="B100" s="74" t="s">
        <v>472</v>
      </c>
      <c r="C100" s="75" t="s">
        <v>482</v>
      </c>
      <c r="D100" s="75" t="s">
        <v>483</v>
      </c>
      <c r="E100" s="75" t="s">
        <v>454</v>
      </c>
      <c r="F100" s="75" t="s">
        <v>484</v>
      </c>
      <c r="G100" s="75" t="s">
        <v>485</v>
      </c>
      <c r="H100" s="75" t="s">
        <v>64</v>
      </c>
      <c r="I100" s="75" t="s">
        <v>45</v>
      </c>
      <c r="J100" s="62" t="s">
        <v>74</v>
      </c>
      <c r="K100" s="75"/>
      <c r="L100" s="75"/>
    </row>
    <row r="101" spans="1:12" ht="96" customHeight="1" x14ac:dyDescent="0.25">
      <c r="A101" s="74" t="s">
        <v>450</v>
      </c>
      <c r="B101" s="74" t="s">
        <v>486</v>
      </c>
      <c r="C101" s="75" t="s">
        <v>487</v>
      </c>
      <c r="D101" s="75" t="s">
        <v>488</v>
      </c>
      <c r="E101" s="75" t="s">
        <v>454</v>
      </c>
      <c r="F101" s="75" t="s">
        <v>489</v>
      </c>
      <c r="G101" s="75" t="s">
        <v>490</v>
      </c>
      <c r="H101" s="75" t="s">
        <v>64</v>
      </c>
      <c r="I101" s="75" t="s">
        <v>65</v>
      </c>
      <c r="J101" s="62" t="s">
        <v>477</v>
      </c>
      <c r="K101" s="75"/>
      <c r="L101" s="75"/>
    </row>
    <row r="102" spans="1:12" ht="96" customHeight="1" x14ac:dyDescent="0.25">
      <c r="A102" s="74" t="s">
        <v>450</v>
      </c>
      <c r="B102" s="74" t="s">
        <v>486</v>
      </c>
      <c r="C102" s="75" t="s">
        <v>491</v>
      </c>
      <c r="D102" s="75" t="s">
        <v>492</v>
      </c>
      <c r="E102" s="75" t="s">
        <v>454</v>
      </c>
      <c r="F102" s="75" t="s">
        <v>493</v>
      </c>
      <c r="G102" s="75" t="s">
        <v>494</v>
      </c>
      <c r="H102" s="75" t="s">
        <v>64</v>
      </c>
      <c r="I102" s="75" t="s">
        <v>65</v>
      </c>
      <c r="J102" s="62" t="s">
        <v>477</v>
      </c>
      <c r="K102" s="75"/>
      <c r="L102" s="75"/>
    </row>
    <row r="103" spans="1:12" ht="96" customHeight="1" x14ac:dyDescent="0.25">
      <c r="A103" s="74" t="s">
        <v>450</v>
      </c>
      <c r="B103" s="74" t="s">
        <v>486</v>
      </c>
      <c r="C103" s="75" t="s">
        <v>495</v>
      </c>
      <c r="D103" s="75" t="s">
        <v>496</v>
      </c>
      <c r="E103" s="75" t="s">
        <v>454</v>
      </c>
      <c r="F103" s="75" t="s">
        <v>497</v>
      </c>
      <c r="G103" s="75" t="s">
        <v>498</v>
      </c>
      <c r="H103" s="75" t="s">
        <v>64</v>
      </c>
      <c r="I103" s="75" t="s">
        <v>45</v>
      </c>
      <c r="J103" s="62" t="s">
        <v>74</v>
      </c>
      <c r="K103" s="75"/>
      <c r="L103" s="75"/>
    </row>
    <row r="104" spans="1:12" ht="96" customHeight="1" x14ac:dyDescent="0.25">
      <c r="A104" s="74" t="s">
        <v>450</v>
      </c>
      <c r="B104" s="74" t="s">
        <v>486</v>
      </c>
      <c r="C104" s="75" t="s">
        <v>499</v>
      </c>
      <c r="D104" s="75" t="s">
        <v>500</v>
      </c>
      <c r="E104" s="75" t="s">
        <v>454</v>
      </c>
      <c r="F104" s="75" t="s">
        <v>501</v>
      </c>
      <c r="G104" s="75" t="s">
        <v>502</v>
      </c>
      <c r="H104" s="75" t="s">
        <v>64</v>
      </c>
      <c r="I104" s="75" t="s">
        <v>45</v>
      </c>
      <c r="J104" s="62" t="s">
        <v>74</v>
      </c>
      <c r="K104" s="75"/>
      <c r="L104" s="75"/>
    </row>
    <row r="105" spans="1:12" ht="96" customHeight="1" x14ac:dyDescent="0.25">
      <c r="A105" s="74" t="s">
        <v>450</v>
      </c>
      <c r="B105" s="74" t="s">
        <v>486</v>
      </c>
      <c r="C105" s="75" t="s">
        <v>503</v>
      </c>
      <c r="D105" s="75" t="s">
        <v>504</v>
      </c>
      <c r="E105" s="75" t="s">
        <v>454</v>
      </c>
      <c r="F105" s="75" t="s">
        <v>505</v>
      </c>
      <c r="G105" s="75" t="s">
        <v>506</v>
      </c>
      <c r="H105" s="75" t="s">
        <v>64</v>
      </c>
      <c r="I105" s="75" t="s">
        <v>45</v>
      </c>
      <c r="J105" s="62" t="s">
        <v>74</v>
      </c>
      <c r="K105" s="75"/>
      <c r="L105" s="75"/>
    </row>
    <row r="106" spans="1:12" ht="96" customHeight="1" x14ac:dyDescent="0.25">
      <c r="A106" s="74" t="s">
        <v>450</v>
      </c>
      <c r="B106" s="74" t="s">
        <v>486</v>
      </c>
      <c r="C106" s="75" t="s">
        <v>507</v>
      </c>
      <c r="D106" s="75" t="s">
        <v>508</v>
      </c>
      <c r="E106" s="75" t="s">
        <v>454</v>
      </c>
      <c r="F106" s="75" t="s">
        <v>509</v>
      </c>
      <c r="G106" s="75" t="s">
        <v>510</v>
      </c>
      <c r="H106" s="75" t="s">
        <v>64</v>
      </c>
      <c r="I106" s="75" t="s">
        <v>45</v>
      </c>
      <c r="J106" s="62" t="s">
        <v>74</v>
      </c>
      <c r="K106" s="75"/>
      <c r="L106" s="75"/>
    </row>
    <row r="107" spans="1:12" ht="96" customHeight="1" x14ac:dyDescent="0.25">
      <c r="A107" s="74" t="s">
        <v>450</v>
      </c>
      <c r="B107" s="74" t="s">
        <v>486</v>
      </c>
      <c r="C107" s="75" t="s">
        <v>511</v>
      </c>
      <c r="D107" s="75" t="s">
        <v>512</v>
      </c>
      <c r="E107" s="75" t="s">
        <v>454</v>
      </c>
      <c r="F107" s="75" t="s">
        <v>513</v>
      </c>
      <c r="G107" s="75" t="s">
        <v>514</v>
      </c>
      <c r="H107" s="75" t="s">
        <v>64</v>
      </c>
      <c r="I107" s="75" t="s">
        <v>45</v>
      </c>
      <c r="J107" s="62" t="s">
        <v>74</v>
      </c>
      <c r="K107" s="75"/>
      <c r="L107" s="75"/>
    </row>
    <row r="108" spans="1:12" ht="96" customHeight="1" x14ac:dyDescent="0.25">
      <c r="A108" s="74" t="s">
        <v>450</v>
      </c>
      <c r="B108" s="74" t="s">
        <v>486</v>
      </c>
      <c r="C108" s="75" t="s">
        <v>515</v>
      </c>
      <c r="D108" s="75" t="s">
        <v>516</v>
      </c>
      <c r="E108" s="75" t="s">
        <v>454</v>
      </c>
      <c r="F108" s="75" t="s">
        <v>517</v>
      </c>
      <c r="G108" s="75" t="s">
        <v>518</v>
      </c>
      <c r="H108" s="75" t="s">
        <v>64</v>
      </c>
      <c r="I108" s="75" t="s">
        <v>45</v>
      </c>
      <c r="J108" s="62" t="s">
        <v>74</v>
      </c>
      <c r="K108" s="75"/>
      <c r="L108" s="75"/>
    </row>
    <row r="109" spans="1:12" ht="96" customHeight="1" x14ac:dyDescent="0.25">
      <c r="A109" s="74" t="s">
        <v>450</v>
      </c>
      <c r="B109" s="74" t="s">
        <v>486</v>
      </c>
      <c r="C109" s="75" t="s">
        <v>519</v>
      </c>
      <c r="D109" s="75" t="s">
        <v>520</v>
      </c>
      <c r="E109" s="75" t="s">
        <v>454</v>
      </c>
      <c r="F109" s="75" t="s">
        <v>521</v>
      </c>
      <c r="G109" s="75" t="s">
        <v>522</v>
      </c>
      <c r="H109" s="75" t="s">
        <v>64</v>
      </c>
      <c r="I109" s="75" t="s">
        <v>45</v>
      </c>
      <c r="J109" s="62" t="s">
        <v>74</v>
      </c>
      <c r="K109" s="75"/>
      <c r="L109" s="75"/>
    </row>
    <row r="110" spans="1:12" ht="96" customHeight="1" x14ac:dyDescent="0.25">
      <c r="A110" s="74" t="s">
        <v>450</v>
      </c>
      <c r="B110" s="74" t="s">
        <v>523</v>
      </c>
      <c r="C110" s="75" t="s">
        <v>524</v>
      </c>
      <c r="D110" s="75" t="s">
        <v>525</v>
      </c>
      <c r="E110" s="75" t="s">
        <v>454</v>
      </c>
      <c r="F110" s="75" t="s">
        <v>526</v>
      </c>
      <c r="G110" s="75" t="s">
        <v>527</v>
      </c>
      <c r="H110" s="75" t="s">
        <v>64</v>
      </c>
      <c r="I110" s="75" t="s">
        <v>65</v>
      </c>
      <c r="J110" s="62" t="s">
        <v>477</v>
      </c>
      <c r="K110" s="75"/>
      <c r="L110" s="75"/>
    </row>
    <row r="111" spans="1:12" ht="96" customHeight="1" x14ac:dyDescent="0.25">
      <c r="A111" s="74" t="s">
        <v>450</v>
      </c>
      <c r="B111" s="74" t="s">
        <v>523</v>
      </c>
      <c r="C111" s="75" t="s">
        <v>528</v>
      </c>
      <c r="D111" s="75" t="s">
        <v>529</v>
      </c>
      <c r="E111" s="75" t="s">
        <v>454</v>
      </c>
      <c r="F111" s="75" t="s">
        <v>530</v>
      </c>
      <c r="G111" s="75" t="s">
        <v>531</v>
      </c>
      <c r="H111" s="75" t="s">
        <v>64</v>
      </c>
      <c r="I111" s="75" t="s">
        <v>65</v>
      </c>
      <c r="J111" s="62" t="s">
        <v>477</v>
      </c>
      <c r="K111" s="75"/>
      <c r="L111" s="75"/>
    </row>
    <row r="112" spans="1:12" ht="96" customHeight="1" x14ac:dyDescent="0.25">
      <c r="A112" s="74" t="s">
        <v>450</v>
      </c>
      <c r="B112" s="74" t="s">
        <v>523</v>
      </c>
      <c r="C112" s="75" t="s">
        <v>532</v>
      </c>
      <c r="D112" s="75" t="s">
        <v>533</v>
      </c>
      <c r="E112" s="75" t="s">
        <v>454</v>
      </c>
      <c r="F112" s="75" t="s">
        <v>534</v>
      </c>
      <c r="G112" s="75" t="s">
        <v>535</v>
      </c>
      <c r="H112" s="75" t="s">
        <v>64</v>
      </c>
      <c r="I112" s="75" t="s">
        <v>45</v>
      </c>
      <c r="J112" s="62" t="s">
        <v>465</v>
      </c>
      <c r="K112" s="75" t="s">
        <v>466</v>
      </c>
      <c r="L112" s="75"/>
    </row>
    <row r="113" spans="1:12" ht="96" customHeight="1" x14ac:dyDescent="0.25">
      <c r="A113" s="74" t="s">
        <v>450</v>
      </c>
      <c r="B113" s="74" t="s">
        <v>523</v>
      </c>
      <c r="C113" s="75" t="s">
        <v>536</v>
      </c>
      <c r="D113" s="75" t="s">
        <v>537</v>
      </c>
      <c r="E113" s="75" t="s">
        <v>454</v>
      </c>
      <c r="F113" s="75" t="s">
        <v>538</v>
      </c>
      <c r="G113" s="75" t="s">
        <v>539</v>
      </c>
      <c r="H113" s="75" t="s">
        <v>64</v>
      </c>
      <c r="I113" s="75" t="s">
        <v>65</v>
      </c>
      <c r="J113" s="62" t="s">
        <v>477</v>
      </c>
      <c r="K113" s="75"/>
      <c r="L113" s="75"/>
    </row>
    <row r="114" spans="1:12" ht="96" customHeight="1" x14ac:dyDescent="0.25">
      <c r="A114" s="74" t="s">
        <v>450</v>
      </c>
      <c r="B114" s="74" t="s">
        <v>523</v>
      </c>
      <c r="C114" s="75" t="s">
        <v>540</v>
      </c>
      <c r="D114" s="75" t="s">
        <v>541</v>
      </c>
      <c r="E114" s="75" t="s">
        <v>454</v>
      </c>
      <c r="F114" s="75" t="s">
        <v>542</v>
      </c>
      <c r="G114" s="75" t="s">
        <v>543</v>
      </c>
      <c r="H114" s="75" t="s">
        <v>64</v>
      </c>
      <c r="I114" s="75" t="s">
        <v>65</v>
      </c>
      <c r="J114" s="62" t="s">
        <v>477</v>
      </c>
      <c r="K114" s="75"/>
      <c r="L114" s="75"/>
    </row>
    <row r="115" spans="1:12" ht="96" customHeight="1" x14ac:dyDescent="0.25">
      <c r="A115" s="74" t="s">
        <v>450</v>
      </c>
      <c r="B115" s="74" t="s">
        <v>523</v>
      </c>
      <c r="C115" s="75" t="s">
        <v>544</v>
      </c>
      <c r="D115" s="75" t="s">
        <v>545</v>
      </c>
      <c r="E115" s="75" t="s">
        <v>454</v>
      </c>
      <c r="F115" s="75" t="s">
        <v>546</v>
      </c>
      <c r="G115" s="75" t="s">
        <v>547</v>
      </c>
      <c r="H115" s="75" t="s">
        <v>64</v>
      </c>
      <c r="I115" s="75" t="s">
        <v>45</v>
      </c>
      <c r="J115" s="62" t="s">
        <v>465</v>
      </c>
      <c r="K115" s="75" t="s">
        <v>466</v>
      </c>
      <c r="L115" s="75"/>
    </row>
    <row r="116" spans="1:12" ht="96" customHeight="1" x14ac:dyDescent="0.25">
      <c r="A116" s="74" t="s">
        <v>450</v>
      </c>
      <c r="B116" s="74" t="s">
        <v>523</v>
      </c>
      <c r="C116" s="75" t="s">
        <v>548</v>
      </c>
      <c r="D116" s="75" t="s">
        <v>549</v>
      </c>
      <c r="E116" s="75" t="s">
        <v>454</v>
      </c>
      <c r="F116" s="75" t="s">
        <v>550</v>
      </c>
      <c r="G116" s="75" t="s">
        <v>551</v>
      </c>
      <c r="H116" s="75" t="s">
        <v>64</v>
      </c>
      <c r="I116" s="75" t="s">
        <v>45</v>
      </c>
      <c r="J116" s="62" t="s">
        <v>465</v>
      </c>
      <c r="K116" s="75" t="s">
        <v>466</v>
      </c>
      <c r="L116" s="75"/>
    </row>
    <row r="117" spans="1:12" ht="96" customHeight="1" x14ac:dyDescent="0.25">
      <c r="A117" s="74" t="s">
        <v>450</v>
      </c>
      <c r="B117" s="74" t="s">
        <v>523</v>
      </c>
      <c r="C117" s="75" t="s">
        <v>552</v>
      </c>
      <c r="D117" s="75" t="s">
        <v>553</v>
      </c>
      <c r="E117" s="75" t="s">
        <v>454</v>
      </c>
      <c r="F117" s="75" t="s">
        <v>554</v>
      </c>
      <c r="G117" s="75" t="s">
        <v>555</v>
      </c>
      <c r="H117" s="75" t="s">
        <v>64</v>
      </c>
      <c r="I117" s="75" t="s">
        <v>45</v>
      </c>
      <c r="J117" s="62" t="s">
        <v>465</v>
      </c>
      <c r="K117" s="75" t="s">
        <v>466</v>
      </c>
      <c r="L117" s="75" t="s">
        <v>467</v>
      </c>
    </row>
    <row r="118" spans="1:12" ht="96" customHeight="1" x14ac:dyDescent="0.25">
      <c r="A118" s="74" t="s">
        <v>450</v>
      </c>
      <c r="B118" s="74" t="s">
        <v>523</v>
      </c>
      <c r="C118" s="75" t="s">
        <v>556</v>
      </c>
      <c r="D118" s="75" t="s">
        <v>557</v>
      </c>
      <c r="E118" s="75" t="s">
        <v>454</v>
      </c>
      <c r="F118" s="75" t="s">
        <v>558</v>
      </c>
      <c r="G118" s="75" t="s">
        <v>559</v>
      </c>
      <c r="H118" s="75" t="s">
        <v>64</v>
      </c>
      <c r="I118" s="75" t="s">
        <v>45</v>
      </c>
      <c r="J118" s="62" t="s">
        <v>465</v>
      </c>
      <c r="K118" s="75" t="s">
        <v>466</v>
      </c>
      <c r="L118" s="75"/>
    </row>
    <row r="119" spans="1:12" ht="96" customHeight="1" x14ac:dyDescent="0.25">
      <c r="A119" s="74" t="s">
        <v>450</v>
      </c>
      <c r="B119" s="74" t="s">
        <v>523</v>
      </c>
      <c r="C119" s="75" t="s">
        <v>560</v>
      </c>
      <c r="D119" s="75" t="s">
        <v>561</v>
      </c>
      <c r="E119" s="75" t="s">
        <v>454</v>
      </c>
      <c r="F119" s="75" t="s">
        <v>562</v>
      </c>
      <c r="G119" s="75" t="s">
        <v>563</v>
      </c>
      <c r="H119" s="75" t="s">
        <v>64</v>
      </c>
      <c r="I119" s="75" t="s">
        <v>45</v>
      </c>
      <c r="J119" s="62" t="s">
        <v>465</v>
      </c>
      <c r="K119" s="75" t="s">
        <v>466</v>
      </c>
      <c r="L119" s="75"/>
    </row>
    <row r="120" spans="1:12" ht="96" customHeight="1" x14ac:dyDescent="0.25">
      <c r="A120" s="74" t="s">
        <v>450</v>
      </c>
      <c r="B120" s="74" t="s">
        <v>523</v>
      </c>
      <c r="C120" s="75" t="s">
        <v>564</v>
      </c>
      <c r="D120" s="75" t="s">
        <v>565</v>
      </c>
      <c r="E120" s="75" t="s">
        <v>454</v>
      </c>
      <c r="F120" s="75" t="s">
        <v>566</v>
      </c>
      <c r="G120" s="75" t="s">
        <v>567</v>
      </c>
      <c r="H120" s="75" t="s">
        <v>64</v>
      </c>
      <c r="I120" s="75" t="s">
        <v>45</v>
      </c>
      <c r="J120" s="62" t="s">
        <v>465</v>
      </c>
      <c r="K120" s="75" t="s">
        <v>466</v>
      </c>
      <c r="L120" s="75" t="s">
        <v>467</v>
      </c>
    </row>
    <row r="121" spans="1:12" ht="96" customHeight="1" x14ac:dyDescent="0.25">
      <c r="A121" s="74" t="s">
        <v>450</v>
      </c>
      <c r="B121" s="74" t="s">
        <v>523</v>
      </c>
      <c r="C121" s="75" t="s">
        <v>568</v>
      </c>
      <c r="D121" s="75" t="s">
        <v>569</v>
      </c>
      <c r="E121" s="75" t="s">
        <v>454</v>
      </c>
      <c r="F121" s="75" t="s">
        <v>570</v>
      </c>
      <c r="G121" s="75" t="s">
        <v>571</v>
      </c>
      <c r="H121" s="75" t="s">
        <v>44</v>
      </c>
      <c r="I121" s="75" t="s">
        <v>45</v>
      </c>
      <c r="J121" s="62" t="s">
        <v>465</v>
      </c>
      <c r="K121" s="75" t="s">
        <v>466</v>
      </c>
      <c r="L121" s="75"/>
    </row>
    <row r="122" spans="1:12" ht="96" customHeight="1" x14ac:dyDescent="0.25">
      <c r="A122" s="74" t="s">
        <v>450</v>
      </c>
      <c r="B122" s="74" t="s">
        <v>523</v>
      </c>
      <c r="C122" s="75" t="s">
        <v>572</v>
      </c>
      <c r="D122" s="75" t="s">
        <v>573</v>
      </c>
      <c r="E122" s="75" t="s">
        <v>454</v>
      </c>
      <c r="F122" s="75" t="s">
        <v>574</v>
      </c>
      <c r="G122" s="75" t="s">
        <v>575</v>
      </c>
      <c r="H122" s="75" t="s">
        <v>64</v>
      </c>
      <c r="I122" s="75" t="s">
        <v>45</v>
      </c>
      <c r="J122" s="62" t="s">
        <v>465</v>
      </c>
      <c r="K122" s="75" t="s">
        <v>466</v>
      </c>
      <c r="L122" s="75"/>
    </row>
    <row r="123" spans="1:12" ht="96" customHeight="1" x14ac:dyDescent="0.25">
      <c r="A123" s="74" t="s">
        <v>450</v>
      </c>
      <c r="B123" s="74" t="s">
        <v>523</v>
      </c>
      <c r="C123" s="75" t="s">
        <v>576</v>
      </c>
      <c r="D123" s="75" t="s">
        <v>577</v>
      </c>
      <c r="E123" s="75" t="s">
        <v>454</v>
      </c>
      <c r="F123" s="75" t="s">
        <v>578</v>
      </c>
      <c r="G123" s="75" t="s">
        <v>579</v>
      </c>
      <c r="H123" s="75" t="s">
        <v>44</v>
      </c>
      <c r="I123" s="75" t="s">
        <v>45</v>
      </c>
      <c r="J123" s="62" t="s">
        <v>465</v>
      </c>
      <c r="K123" s="75" t="s">
        <v>466</v>
      </c>
      <c r="L123" s="75"/>
    </row>
    <row r="124" spans="1:12" ht="96" customHeight="1" x14ac:dyDescent="0.25">
      <c r="A124" s="74" t="s">
        <v>450</v>
      </c>
      <c r="B124" s="74" t="s">
        <v>523</v>
      </c>
      <c r="C124" s="75" t="s">
        <v>580</v>
      </c>
      <c r="D124" s="75" t="s">
        <v>581</v>
      </c>
      <c r="E124" s="75" t="s">
        <v>454</v>
      </c>
      <c r="F124" s="75" t="s">
        <v>582</v>
      </c>
      <c r="G124" s="75" t="s">
        <v>583</v>
      </c>
      <c r="H124" s="75" t="s">
        <v>64</v>
      </c>
      <c r="I124" s="75" t="s">
        <v>45</v>
      </c>
      <c r="J124" s="62" t="s">
        <v>465</v>
      </c>
      <c r="K124" s="75" t="s">
        <v>466</v>
      </c>
      <c r="L124" s="75" t="s">
        <v>467</v>
      </c>
    </row>
    <row r="125" spans="1:12" ht="96" customHeight="1" x14ac:dyDescent="0.25">
      <c r="A125" s="74" t="s">
        <v>450</v>
      </c>
      <c r="B125" s="74" t="s">
        <v>523</v>
      </c>
      <c r="C125" s="75" t="s">
        <v>584</v>
      </c>
      <c r="D125" s="75" t="s">
        <v>585</v>
      </c>
      <c r="E125" s="75" t="s">
        <v>454</v>
      </c>
      <c r="F125" s="75" t="s">
        <v>586</v>
      </c>
      <c r="G125" s="75" t="s">
        <v>587</v>
      </c>
      <c r="H125" s="75" t="s">
        <v>44</v>
      </c>
      <c r="I125" s="75" t="s">
        <v>45</v>
      </c>
      <c r="J125" s="62" t="s">
        <v>465</v>
      </c>
      <c r="K125" s="75" t="s">
        <v>466</v>
      </c>
      <c r="L125" s="75"/>
    </row>
    <row r="126" spans="1:12" ht="96" customHeight="1" x14ac:dyDescent="0.25">
      <c r="A126" s="74" t="s">
        <v>450</v>
      </c>
      <c r="B126" s="74" t="s">
        <v>523</v>
      </c>
      <c r="C126" s="75" t="s">
        <v>588</v>
      </c>
      <c r="D126" s="75" t="s">
        <v>589</v>
      </c>
      <c r="E126" s="75" t="s">
        <v>454</v>
      </c>
      <c r="F126" s="75" t="s">
        <v>590</v>
      </c>
      <c r="G126" s="75" t="s">
        <v>591</v>
      </c>
      <c r="H126" s="75" t="s">
        <v>44</v>
      </c>
      <c r="I126" s="75" t="s">
        <v>45</v>
      </c>
      <c r="J126" s="62" t="s">
        <v>465</v>
      </c>
      <c r="K126" s="75" t="s">
        <v>466</v>
      </c>
      <c r="L126" s="75" t="s">
        <v>449</v>
      </c>
    </row>
    <row r="127" spans="1:12" ht="96" customHeight="1" x14ac:dyDescent="0.25">
      <c r="A127" s="74" t="s">
        <v>450</v>
      </c>
      <c r="B127" s="74" t="s">
        <v>592</v>
      </c>
      <c r="C127" s="75" t="s">
        <v>593</v>
      </c>
      <c r="D127" s="75" t="s">
        <v>594</v>
      </c>
      <c r="E127" s="75" t="s">
        <v>454</v>
      </c>
      <c r="F127" s="75" t="s">
        <v>595</v>
      </c>
      <c r="G127" s="75" t="s">
        <v>596</v>
      </c>
      <c r="H127" s="75" t="s">
        <v>64</v>
      </c>
      <c r="I127" s="75" t="s">
        <v>45</v>
      </c>
      <c r="J127" s="62" t="s">
        <v>465</v>
      </c>
      <c r="K127" s="75" t="s">
        <v>466</v>
      </c>
      <c r="L127" s="75" t="s">
        <v>467</v>
      </c>
    </row>
    <row r="128" spans="1:12" ht="96" customHeight="1" x14ac:dyDescent="0.25">
      <c r="A128" s="74" t="s">
        <v>450</v>
      </c>
      <c r="B128" s="74" t="s">
        <v>592</v>
      </c>
      <c r="C128" s="75" t="s">
        <v>597</v>
      </c>
      <c r="D128" s="75" t="s">
        <v>598</v>
      </c>
      <c r="E128" s="75" t="s">
        <v>454</v>
      </c>
      <c r="F128" s="75" t="s">
        <v>599</v>
      </c>
      <c r="G128" s="75" t="s">
        <v>600</v>
      </c>
      <c r="H128" s="75" t="s">
        <v>64</v>
      </c>
      <c r="I128" s="75" t="s">
        <v>45</v>
      </c>
      <c r="J128" s="62" t="s">
        <v>465</v>
      </c>
      <c r="K128" s="75" t="s">
        <v>466</v>
      </c>
      <c r="L128" s="75"/>
    </row>
    <row r="129" spans="1:12" ht="96" customHeight="1" x14ac:dyDescent="0.25">
      <c r="A129" s="74" t="s">
        <v>450</v>
      </c>
      <c r="B129" s="74" t="s">
        <v>592</v>
      </c>
      <c r="C129" s="75" t="s">
        <v>601</v>
      </c>
      <c r="D129" s="75" t="s">
        <v>602</v>
      </c>
      <c r="E129" s="75" t="s">
        <v>454</v>
      </c>
      <c r="F129" s="75" t="s">
        <v>603</v>
      </c>
      <c r="G129" s="75" t="s">
        <v>604</v>
      </c>
      <c r="H129" s="75" t="s">
        <v>64</v>
      </c>
      <c r="I129" s="75" t="s">
        <v>45</v>
      </c>
      <c r="J129" s="62" t="s">
        <v>465</v>
      </c>
      <c r="K129" s="75" t="s">
        <v>466</v>
      </c>
      <c r="L129" s="75"/>
    </row>
    <row r="130" spans="1:12" ht="96" customHeight="1" x14ac:dyDescent="0.25">
      <c r="A130" s="74" t="s">
        <v>450</v>
      </c>
      <c r="B130" s="74" t="s">
        <v>592</v>
      </c>
      <c r="C130" s="75" t="s">
        <v>605</v>
      </c>
      <c r="D130" s="75" t="s">
        <v>606</v>
      </c>
      <c r="E130" s="75" t="s">
        <v>454</v>
      </c>
      <c r="F130" s="75" t="s">
        <v>607</v>
      </c>
      <c r="G130" s="75" t="s">
        <v>608</v>
      </c>
      <c r="H130" s="75" t="s">
        <v>64</v>
      </c>
      <c r="I130" s="75" t="s">
        <v>45</v>
      </c>
      <c r="J130" s="62" t="s">
        <v>465</v>
      </c>
      <c r="K130" s="75" t="s">
        <v>466</v>
      </c>
      <c r="L130" s="75" t="s">
        <v>467</v>
      </c>
    </row>
    <row r="131" spans="1:12" ht="96" customHeight="1" x14ac:dyDescent="0.25">
      <c r="A131" s="74" t="s">
        <v>450</v>
      </c>
      <c r="B131" s="74" t="s">
        <v>592</v>
      </c>
      <c r="C131" s="75" t="s">
        <v>609</v>
      </c>
      <c r="D131" s="75" t="s">
        <v>610</v>
      </c>
      <c r="E131" s="75" t="s">
        <v>454</v>
      </c>
      <c r="F131" s="75" t="s">
        <v>611</v>
      </c>
      <c r="G131" s="75" t="s">
        <v>612</v>
      </c>
      <c r="H131" s="75" t="s">
        <v>64</v>
      </c>
      <c r="I131" s="75" t="s">
        <v>45</v>
      </c>
      <c r="J131" s="62" t="s">
        <v>465</v>
      </c>
      <c r="K131" s="75" t="s">
        <v>466</v>
      </c>
      <c r="L131" s="75"/>
    </row>
    <row r="132" spans="1:12" ht="96" customHeight="1" x14ac:dyDescent="0.25">
      <c r="A132" s="74" t="s">
        <v>450</v>
      </c>
      <c r="B132" s="74" t="s">
        <v>592</v>
      </c>
      <c r="C132" s="75" t="s">
        <v>613</v>
      </c>
      <c r="D132" s="75" t="s">
        <v>614</v>
      </c>
      <c r="E132" s="75" t="s">
        <v>454</v>
      </c>
      <c r="F132" s="75" t="s">
        <v>615</v>
      </c>
      <c r="G132" s="75" t="s">
        <v>616</v>
      </c>
      <c r="H132" s="75" t="s">
        <v>64</v>
      </c>
      <c r="I132" s="75" t="s">
        <v>45</v>
      </c>
      <c r="J132" s="62" t="s">
        <v>465</v>
      </c>
      <c r="K132" s="75" t="s">
        <v>466</v>
      </c>
      <c r="L132" s="75"/>
    </row>
    <row r="133" spans="1:12" ht="96" customHeight="1" x14ac:dyDescent="0.25">
      <c r="A133" s="74" t="s">
        <v>450</v>
      </c>
      <c r="B133" s="74" t="s">
        <v>592</v>
      </c>
      <c r="C133" s="75" t="s">
        <v>617</v>
      </c>
      <c r="D133" s="75" t="s">
        <v>618</v>
      </c>
      <c r="E133" s="75" t="s">
        <v>454</v>
      </c>
      <c r="F133" s="75" t="s">
        <v>619</v>
      </c>
      <c r="G133" s="75" t="s">
        <v>620</v>
      </c>
      <c r="H133" s="75" t="s">
        <v>64</v>
      </c>
      <c r="I133" s="75" t="s">
        <v>45</v>
      </c>
      <c r="J133" s="62" t="s">
        <v>465</v>
      </c>
      <c r="K133" s="75" t="s">
        <v>466</v>
      </c>
      <c r="L133" s="75" t="s">
        <v>467</v>
      </c>
    </row>
    <row r="134" spans="1:12" ht="96" customHeight="1" x14ac:dyDescent="0.25">
      <c r="A134" s="74" t="s">
        <v>450</v>
      </c>
      <c r="B134" s="74" t="s">
        <v>592</v>
      </c>
      <c r="C134" s="75" t="s">
        <v>621</v>
      </c>
      <c r="D134" s="75" t="s">
        <v>622</v>
      </c>
      <c r="E134" s="75" t="s">
        <v>454</v>
      </c>
      <c r="F134" s="75" t="s">
        <v>623</v>
      </c>
      <c r="G134" s="75" t="s">
        <v>624</v>
      </c>
      <c r="H134" s="75" t="s">
        <v>44</v>
      </c>
      <c r="I134" s="75" t="s">
        <v>45</v>
      </c>
      <c r="J134" s="62" t="s">
        <v>465</v>
      </c>
      <c r="K134" s="75" t="s">
        <v>466</v>
      </c>
      <c r="L134" s="75"/>
    </row>
    <row r="135" spans="1:12" ht="96" customHeight="1" x14ac:dyDescent="0.25">
      <c r="A135" s="74" t="s">
        <v>450</v>
      </c>
      <c r="B135" s="74" t="s">
        <v>592</v>
      </c>
      <c r="C135" s="75" t="s">
        <v>625</v>
      </c>
      <c r="D135" s="75" t="s">
        <v>626</v>
      </c>
      <c r="E135" s="75" t="s">
        <v>454</v>
      </c>
      <c r="F135" s="75" t="s">
        <v>627</v>
      </c>
      <c r="G135" s="75" t="s">
        <v>628</v>
      </c>
      <c r="H135" s="75" t="s">
        <v>64</v>
      </c>
      <c r="I135" s="75" t="s">
        <v>45</v>
      </c>
      <c r="J135" s="62" t="s">
        <v>465</v>
      </c>
      <c r="K135" s="75" t="s">
        <v>466</v>
      </c>
      <c r="L135" s="75"/>
    </row>
    <row r="136" spans="1:12" ht="96" customHeight="1" x14ac:dyDescent="0.25">
      <c r="A136" s="74" t="s">
        <v>450</v>
      </c>
      <c r="B136" s="74" t="s">
        <v>592</v>
      </c>
      <c r="C136" s="75" t="s">
        <v>629</v>
      </c>
      <c r="D136" s="75" t="s">
        <v>630</v>
      </c>
      <c r="E136" s="75" t="s">
        <v>454</v>
      </c>
      <c r="F136" s="75" t="s">
        <v>631</v>
      </c>
      <c r="G136" s="75" t="s">
        <v>632</v>
      </c>
      <c r="H136" s="75" t="s">
        <v>44</v>
      </c>
      <c r="I136" s="75" t="s">
        <v>45</v>
      </c>
      <c r="J136" s="62" t="s">
        <v>465</v>
      </c>
      <c r="K136" s="75" t="s">
        <v>466</v>
      </c>
      <c r="L136" s="75"/>
    </row>
    <row r="137" spans="1:12" ht="96" customHeight="1" x14ac:dyDescent="0.25">
      <c r="A137" s="74" t="s">
        <v>450</v>
      </c>
      <c r="B137" s="74" t="s">
        <v>592</v>
      </c>
      <c r="C137" s="75" t="s">
        <v>633</v>
      </c>
      <c r="D137" s="75" t="s">
        <v>634</v>
      </c>
      <c r="E137" s="75" t="s">
        <v>454</v>
      </c>
      <c r="F137" s="75" t="s">
        <v>635</v>
      </c>
      <c r="G137" s="75" t="s">
        <v>636</v>
      </c>
      <c r="H137" s="75" t="s">
        <v>64</v>
      </c>
      <c r="I137" s="75" t="s">
        <v>45</v>
      </c>
      <c r="J137" s="62" t="s">
        <v>465</v>
      </c>
      <c r="K137" s="75" t="s">
        <v>466</v>
      </c>
      <c r="L137" s="75"/>
    </row>
    <row r="138" spans="1:12" ht="96" customHeight="1" x14ac:dyDescent="0.25">
      <c r="A138" s="74" t="s">
        <v>450</v>
      </c>
      <c r="B138" s="74" t="s">
        <v>592</v>
      </c>
      <c r="C138" s="75" t="s">
        <v>637</v>
      </c>
      <c r="D138" s="75" t="s">
        <v>638</v>
      </c>
      <c r="E138" s="75" t="s">
        <v>454</v>
      </c>
      <c r="F138" s="75" t="s">
        <v>639</v>
      </c>
      <c r="G138" s="75" t="s">
        <v>640</v>
      </c>
      <c r="H138" s="75" t="s">
        <v>44</v>
      </c>
      <c r="I138" s="75" t="s">
        <v>45</v>
      </c>
      <c r="J138" s="62" t="s">
        <v>465</v>
      </c>
      <c r="K138" s="75" t="s">
        <v>466</v>
      </c>
      <c r="L138" s="75"/>
    </row>
    <row r="139" spans="1:12" ht="79.95" customHeight="1" x14ac:dyDescent="0.25">
      <c r="A139" s="74" t="s">
        <v>450</v>
      </c>
      <c r="B139" s="74" t="s">
        <v>641</v>
      </c>
      <c r="C139" s="75" t="s">
        <v>642</v>
      </c>
      <c r="D139" s="75" t="s">
        <v>643</v>
      </c>
      <c r="E139" s="75" t="s">
        <v>454</v>
      </c>
      <c r="F139" s="75" t="s">
        <v>463</v>
      </c>
      <c r="G139" s="75" t="s">
        <v>644</v>
      </c>
      <c r="H139" s="75" t="s">
        <v>64</v>
      </c>
      <c r="I139" s="75" t="s">
        <v>45</v>
      </c>
      <c r="J139" s="62" t="s">
        <v>465</v>
      </c>
      <c r="K139" s="75" t="s">
        <v>466</v>
      </c>
      <c r="L139" s="75"/>
    </row>
    <row r="140" spans="1:12" ht="79.95" customHeight="1" x14ac:dyDescent="0.25">
      <c r="A140" s="74" t="s">
        <v>450</v>
      </c>
      <c r="B140" s="74" t="s">
        <v>641</v>
      </c>
      <c r="C140" s="75" t="s">
        <v>645</v>
      </c>
      <c r="D140" s="75" t="s">
        <v>646</v>
      </c>
      <c r="E140" s="75" t="s">
        <v>454</v>
      </c>
      <c r="F140" s="75" t="s">
        <v>470</v>
      </c>
      <c r="G140" s="75" t="s">
        <v>647</v>
      </c>
      <c r="H140" s="75" t="s">
        <v>64</v>
      </c>
      <c r="I140" s="75" t="s">
        <v>45</v>
      </c>
      <c r="J140" s="62" t="s">
        <v>465</v>
      </c>
      <c r="K140" s="75" t="s">
        <v>466</v>
      </c>
      <c r="L140" s="75"/>
    </row>
    <row r="141" spans="1:12" ht="96" customHeight="1" x14ac:dyDescent="0.25">
      <c r="A141" s="74" t="s">
        <v>450</v>
      </c>
      <c r="B141" s="74" t="s">
        <v>641</v>
      </c>
      <c r="C141" s="75" t="s">
        <v>648</v>
      </c>
      <c r="D141" s="75" t="s">
        <v>649</v>
      </c>
      <c r="E141" s="75" t="s">
        <v>454</v>
      </c>
      <c r="F141" s="75" t="s">
        <v>650</v>
      </c>
      <c r="G141" s="75" t="s">
        <v>651</v>
      </c>
      <c r="H141" s="75" t="s">
        <v>44</v>
      </c>
      <c r="I141" s="75" t="s">
        <v>45</v>
      </c>
      <c r="J141" s="62" t="s">
        <v>465</v>
      </c>
      <c r="K141" s="75" t="s">
        <v>466</v>
      </c>
      <c r="L141" s="75" t="s">
        <v>467</v>
      </c>
    </row>
    <row r="142" spans="1:12" ht="96" customHeight="1" x14ac:dyDescent="0.25">
      <c r="A142" s="74" t="s">
        <v>450</v>
      </c>
      <c r="B142" s="74" t="s">
        <v>641</v>
      </c>
      <c r="C142" s="75" t="s">
        <v>652</v>
      </c>
      <c r="D142" s="75" t="s">
        <v>653</v>
      </c>
      <c r="E142" s="75" t="s">
        <v>454</v>
      </c>
      <c r="F142" s="75" t="s">
        <v>654</v>
      </c>
      <c r="G142" s="75" t="s">
        <v>655</v>
      </c>
      <c r="H142" s="75" t="s">
        <v>44</v>
      </c>
      <c r="I142" s="75" t="s">
        <v>45</v>
      </c>
      <c r="J142" s="62" t="s">
        <v>465</v>
      </c>
      <c r="K142" s="75" t="s">
        <v>466</v>
      </c>
      <c r="L142" s="75"/>
    </row>
    <row r="143" spans="1:12" ht="79.95" customHeight="1" x14ac:dyDescent="0.25">
      <c r="A143" s="74" t="s">
        <v>450</v>
      </c>
      <c r="B143" s="74" t="s">
        <v>641</v>
      </c>
      <c r="C143" s="75" t="s">
        <v>656</v>
      </c>
      <c r="D143" s="75" t="s">
        <v>657</v>
      </c>
      <c r="E143" s="75" t="s">
        <v>454</v>
      </c>
      <c r="F143" s="75" t="s">
        <v>455</v>
      </c>
      <c r="G143" s="75" t="s">
        <v>658</v>
      </c>
      <c r="H143" s="75" t="s">
        <v>44</v>
      </c>
      <c r="I143" s="75" t="s">
        <v>45</v>
      </c>
      <c r="J143" s="62" t="s">
        <v>74</v>
      </c>
      <c r="K143" s="75"/>
      <c r="L143" s="75"/>
    </row>
    <row r="144" spans="1:12" ht="79.95" customHeight="1" x14ac:dyDescent="0.25">
      <c r="A144" s="74" t="s">
        <v>450</v>
      </c>
      <c r="B144" s="74" t="s">
        <v>641</v>
      </c>
      <c r="C144" s="75" t="s">
        <v>659</v>
      </c>
      <c r="D144" s="75" t="s">
        <v>660</v>
      </c>
      <c r="E144" s="75" t="s">
        <v>454</v>
      </c>
      <c r="F144" s="75" t="s">
        <v>459</v>
      </c>
      <c r="G144" s="75" t="s">
        <v>661</v>
      </c>
      <c r="H144" s="75" t="s">
        <v>44</v>
      </c>
      <c r="I144" s="75" t="s">
        <v>45</v>
      </c>
      <c r="J144" s="62" t="s">
        <v>74</v>
      </c>
      <c r="K144" s="75"/>
      <c r="L144" s="75"/>
    </row>
    <row r="145" spans="1:12" ht="96" customHeight="1" x14ac:dyDescent="0.25">
      <c r="A145" s="74" t="s">
        <v>450</v>
      </c>
      <c r="B145" s="74" t="s">
        <v>662</v>
      </c>
      <c r="C145" s="75" t="s">
        <v>663</v>
      </c>
      <c r="D145" s="75" t="s">
        <v>664</v>
      </c>
      <c r="E145" s="75" t="s">
        <v>454</v>
      </c>
      <c r="F145" s="75" t="s">
        <v>665</v>
      </c>
      <c r="G145" s="75" t="s">
        <v>666</v>
      </c>
      <c r="H145" s="75" t="s">
        <v>44</v>
      </c>
      <c r="I145" s="75" t="s">
        <v>45</v>
      </c>
      <c r="J145" s="62" t="s">
        <v>465</v>
      </c>
      <c r="K145" s="75" t="s">
        <v>466</v>
      </c>
      <c r="L145" s="75"/>
    </row>
    <row r="146" spans="1:12" ht="96" customHeight="1" x14ac:dyDescent="0.25">
      <c r="A146" s="74" t="s">
        <v>450</v>
      </c>
      <c r="B146" s="74" t="s">
        <v>662</v>
      </c>
      <c r="C146" s="75" t="s">
        <v>667</v>
      </c>
      <c r="D146" s="75" t="s">
        <v>668</v>
      </c>
      <c r="E146" s="75" t="s">
        <v>454</v>
      </c>
      <c r="F146" s="75" t="s">
        <v>669</v>
      </c>
      <c r="G146" s="75" t="s">
        <v>670</v>
      </c>
      <c r="H146" s="75" t="s">
        <v>44</v>
      </c>
      <c r="I146" s="75" t="s">
        <v>45</v>
      </c>
      <c r="J146" s="62" t="s">
        <v>74</v>
      </c>
      <c r="K146" s="75"/>
      <c r="L146" s="75"/>
    </row>
    <row r="147" spans="1:12" ht="96" customHeight="1" x14ac:dyDescent="0.25">
      <c r="A147" s="74" t="s">
        <v>450</v>
      </c>
      <c r="B147" s="74" t="s">
        <v>662</v>
      </c>
      <c r="C147" s="75" t="s">
        <v>671</v>
      </c>
      <c r="D147" s="75" t="s">
        <v>672</v>
      </c>
      <c r="E147" s="75" t="s">
        <v>454</v>
      </c>
      <c r="F147" s="75" t="s">
        <v>673</v>
      </c>
      <c r="G147" s="75" t="s">
        <v>674</v>
      </c>
      <c r="H147" s="75" t="s">
        <v>44</v>
      </c>
      <c r="I147" s="75" t="s">
        <v>45</v>
      </c>
      <c r="J147" s="62" t="s">
        <v>465</v>
      </c>
      <c r="K147" s="75" t="s">
        <v>466</v>
      </c>
      <c r="L147" s="75"/>
    </row>
    <row r="148" spans="1:12" ht="96" customHeight="1" x14ac:dyDescent="0.25">
      <c r="A148" s="74" t="s">
        <v>450</v>
      </c>
      <c r="B148" s="74" t="s">
        <v>662</v>
      </c>
      <c r="C148" s="75" t="s">
        <v>675</v>
      </c>
      <c r="D148" s="75" t="s">
        <v>676</v>
      </c>
      <c r="E148" s="75" t="s">
        <v>454</v>
      </c>
      <c r="F148" s="75" t="s">
        <v>677</v>
      </c>
      <c r="G148" s="75" t="s">
        <v>678</v>
      </c>
      <c r="H148" s="75" t="s">
        <v>44</v>
      </c>
      <c r="I148" s="75" t="s">
        <v>45</v>
      </c>
      <c r="J148" s="62" t="s">
        <v>465</v>
      </c>
      <c r="K148" s="75" t="s">
        <v>466</v>
      </c>
      <c r="L148" s="75"/>
    </row>
    <row r="149" spans="1:12" ht="96" customHeight="1" x14ac:dyDescent="0.25">
      <c r="A149" s="74" t="s">
        <v>450</v>
      </c>
      <c r="B149" s="74" t="s">
        <v>662</v>
      </c>
      <c r="C149" s="75" t="s">
        <v>679</v>
      </c>
      <c r="D149" s="75" t="s">
        <v>680</v>
      </c>
      <c r="E149" s="75" t="s">
        <v>454</v>
      </c>
      <c r="F149" s="75" t="s">
        <v>681</v>
      </c>
      <c r="G149" s="75" t="s">
        <v>682</v>
      </c>
      <c r="H149" s="75" t="s">
        <v>44</v>
      </c>
      <c r="I149" s="75" t="s">
        <v>45</v>
      </c>
      <c r="J149" s="62" t="s">
        <v>465</v>
      </c>
      <c r="K149" s="75" t="s">
        <v>466</v>
      </c>
      <c r="L149" s="75"/>
    </row>
    <row r="150" spans="1:12" ht="96" customHeight="1" x14ac:dyDescent="0.25">
      <c r="A150" s="74" t="s">
        <v>450</v>
      </c>
      <c r="B150" s="74" t="s">
        <v>662</v>
      </c>
      <c r="C150" s="75" t="s">
        <v>683</v>
      </c>
      <c r="D150" s="75" t="s">
        <v>684</v>
      </c>
      <c r="E150" s="75" t="s">
        <v>454</v>
      </c>
      <c r="F150" s="75" t="s">
        <v>685</v>
      </c>
      <c r="G150" s="75" t="s">
        <v>686</v>
      </c>
      <c r="H150" s="75" t="s">
        <v>44</v>
      </c>
      <c r="I150" s="75" t="s">
        <v>45</v>
      </c>
      <c r="J150" s="62" t="s">
        <v>465</v>
      </c>
      <c r="K150" s="75" t="s">
        <v>466</v>
      </c>
      <c r="L150" s="75"/>
    </row>
    <row r="151" spans="1:12" ht="96" customHeight="1" x14ac:dyDescent="0.25">
      <c r="A151" s="74" t="s">
        <v>450</v>
      </c>
      <c r="B151" s="74" t="s">
        <v>662</v>
      </c>
      <c r="C151" s="75" t="s">
        <v>687</v>
      </c>
      <c r="D151" s="75" t="s">
        <v>688</v>
      </c>
      <c r="E151" s="75" t="s">
        <v>454</v>
      </c>
      <c r="F151" s="75" t="s">
        <v>689</v>
      </c>
      <c r="G151" s="75" t="s">
        <v>690</v>
      </c>
      <c r="H151" s="75" t="s">
        <v>44</v>
      </c>
      <c r="I151" s="75" t="s">
        <v>45</v>
      </c>
      <c r="J151" s="62" t="s">
        <v>465</v>
      </c>
      <c r="K151" s="75" t="s">
        <v>466</v>
      </c>
      <c r="L151" s="75"/>
    </row>
    <row r="152" spans="1:12" ht="96" customHeight="1" x14ac:dyDescent="0.25">
      <c r="A152" s="74" t="s">
        <v>450</v>
      </c>
      <c r="B152" s="74" t="s">
        <v>662</v>
      </c>
      <c r="C152" s="75" t="s">
        <v>691</v>
      </c>
      <c r="D152" s="75" t="s">
        <v>692</v>
      </c>
      <c r="E152" s="75" t="s">
        <v>454</v>
      </c>
      <c r="F152" s="75" t="s">
        <v>693</v>
      </c>
      <c r="G152" s="75" t="s">
        <v>694</v>
      </c>
      <c r="H152" s="75" t="s">
        <v>44</v>
      </c>
      <c r="I152" s="75" t="s">
        <v>45</v>
      </c>
      <c r="J152" s="62" t="s">
        <v>465</v>
      </c>
      <c r="K152" s="75" t="s">
        <v>466</v>
      </c>
      <c r="L152" s="75"/>
    </row>
    <row r="153" spans="1:12" ht="66" customHeight="1" x14ac:dyDescent="0.25">
      <c r="A153" s="73" t="s">
        <v>450</v>
      </c>
      <c r="B153" s="63" t="s">
        <v>695</v>
      </c>
      <c r="C153" s="37" t="s">
        <v>696</v>
      </c>
      <c r="D153" s="59" t="s">
        <v>697</v>
      </c>
      <c r="E153" s="36" t="s">
        <v>698</v>
      </c>
      <c r="F153" s="37" t="s">
        <v>699</v>
      </c>
      <c r="G153" s="58" t="s">
        <v>700</v>
      </c>
      <c r="H153" s="20" t="s">
        <v>44</v>
      </c>
      <c r="I153" s="62" t="s">
        <v>45</v>
      </c>
      <c r="J153" s="62"/>
      <c r="K153" s="62"/>
      <c r="L153" s="62" t="s">
        <v>701</v>
      </c>
    </row>
    <row r="154" spans="1:12" ht="66" customHeight="1" x14ac:dyDescent="0.25">
      <c r="A154" s="73" t="s">
        <v>450</v>
      </c>
      <c r="B154" s="63" t="s">
        <v>695</v>
      </c>
      <c r="C154" s="37" t="s">
        <v>702</v>
      </c>
      <c r="D154" s="59" t="s">
        <v>703</v>
      </c>
      <c r="E154" s="36" t="s">
        <v>704</v>
      </c>
      <c r="F154" s="37" t="s">
        <v>705</v>
      </c>
      <c r="G154" s="58" t="s">
        <v>706</v>
      </c>
      <c r="H154" s="20" t="s">
        <v>64</v>
      </c>
      <c r="I154" s="62" t="s">
        <v>45</v>
      </c>
      <c r="J154" s="62"/>
      <c r="K154" s="62"/>
      <c r="L154" s="62" t="s">
        <v>701</v>
      </c>
    </row>
    <row r="155" spans="1:12" ht="66" customHeight="1" x14ac:dyDescent="0.25">
      <c r="A155" s="73" t="s">
        <v>450</v>
      </c>
      <c r="B155" s="63" t="s">
        <v>695</v>
      </c>
      <c r="C155" s="37" t="s">
        <v>707</v>
      </c>
      <c r="D155" s="59" t="s">
        <v>708</v>
      </c>
      <c r="E155" s="36" t="s">
        <v>709</v>
      </c>
      <c r="F155" s="37" t="s">
        <v>710</v>
      </c>
      <c r="G155" s="58" t="s">
        <v>711</v>
      </c>
      <c r="H155" s="20" t="s">
        <v>44</v>
      </c>
      <c r="I155" s="62" t="s">
        <v>45</v>
      </c>
      <c r="J155" s="62"/>
      <c r="K155" s="62"/>
      <c r="L155" s="62" t="s">
        <v>701</v>
      </c>
    </row>
    <row r="156" spans="1:12" ht="66" customHeight="1" x14ac:dyDescent="0.25">
      <c r="A156" s="73" t="s">
        <v>450</v>
      </c>
      <c r="B156" s="64" t="s">
        <v>712</v>
      </c>
      <c r="C156" s="37" t="s">
        <v>713</v>
      </c>
      <c r="D156" s="37" t="s">
        <v>714</v>
      </c>
      <c r="E156" s="36" t="s">
        <v>715</v>
      </c>
      <c r="F156" s="37" t="s">
        <v>716</v>
      </c>
      <c r="G156" s="50" t="s">
        <v>717</v>
      </c>
      <c r="H156" s="20" t="s">
        <v>64</v>
      </c>
      <c r="I156" s="62" t="s">
        <v>45</v>
      </c>
      <c r="J156" s="62"/>
      <c r="K156" s="62"/>
      <c r="L156" s="62" t="s">
        <v>701</v>
      </c>
    </row>
    <row r="157" spans="1:12" ht="66" customHeight="1" x14ac:dyDescent="0.25">
      <c r="A157" s="73" t="s">
        <v>450</v>
      </c>
      <c r="B157" s="65" t="s">
        <v>712</v>
      </c>
      <c r="C157" s="37" t="s">
        <v>718</v>
      </c>
      <c r="D157" s="57" t="s">
        <v>719</v>
      </c>
      <c r="E157" s="36" t="s">
        <v>720</v>
      </c>
      <c r="F157" s="37" t="s">
        <v>721</v>
      </c>
      <c r="G157" s="58" t="s">
        <v>722</v>
      </c>
      <c r="H157" s="20" t="s">
        <v>44</v>
      </c>
      <c r="I157" s="62" t="s">
        <v>45</v>
      </c>
      <c r="J157" s="62"/>
      <c r="K157" s="62"/>
      <c r="L157" s="62" t="s">
        <v>701</v>
      </c>
    </row>
    <row r="158" spans="1:12" ht="66" customHeight="1" x14ac:dyDescent="0.25">
      <c r="A158" s="73" t="s">
        <v>450</v>
      </c>
      <c r="B158" s="65" t="s">
        <v>712</v>
      </c>
      <c r="C158" s="37" t="s">
        <v>723</v>
      </c>
      <c r="D158" s="59" t="s">
        <v>724</v>
      </c>
      <c r="E158" s="36" t="s">
        <v>715</v>
      </c>
      <c r="F158" s="37" t="s">
        <v>725</v>
      </c>
      <c r="G158" s="58" t="s">
        <v>726</v>
      </c>
      <c r="H158" s="20" t="s">
        <v>44</v>
      </c>
      <c r="I158" s="62" t="s">
        <v>45</v>
      </c>
      <c r="J158" s="62"/>
      <c r="K158" s="62"/>
      <c r="L158" s="62" t="s">
        <v>701</v>
      </c>
    </row>
    <row r="159" spans="1:12" ht="66" customHeight="1" x14ac:dyDescent="0.25">
      <c r="A159" s="73" t="s">
        <v>450</v>
      </c>
      <c r="B159" s="66" t="s">
        <v>727</v>
      </c>
      <c r="C159" s="37" t="s">
        <v>728</v>
      </c>
      <c r="D159" s="59" t="s">
        <v>729</v>
      </c>
      <c r="E159" s="36" t="s">
        <v>730</v>
      </c>
      <c r="F159" s="37" t="s">
        <v>731</v>
      </c>
      <c r="G159" s="58" t="s">
        <v>732</v>
      </c>
      <c r="H159" s="20" t="s">
        <v>64</v>
      </c>
      <c r="I159" s="62" t="s">
        <v>45</v>
      </c>
      <c r="J159" s="62"/>
      <c r="K159" s="62"/>
      <c r="L159" s="62" t="s">
        <v>701</v>
      </c>
    </row>
    <row r="160" spans="1:12" ht="66" customHeight="1" x14ac:dyDescent="0.25">
      <c r="A160" s="73" t="s">
        <v>450</v>
      </c>
      <c r="B160" s="66" t="s">
        <v>727</v>
      </c>
      <c r="C160" s="37" t="s">
        <v>733</v>
      </c>
      <c r="D160" s="59" t="s">
        <v>734</v>
      </c>
      <c r="E160" s="36" t="s">
        <v>735</v>
      </c>
      <c r="F160" s="37" t="s">
        <v>736</v>
      </c>
      <c r="G160" s="58" t="s">
        <v>737</v>
      </c>
      <c r="H160" s="20" t="s">
        <v>64</v>
      </c>
      <c r="I160" s="62" t="s">
        <v>45</v>
      </c>
      <c r="J160" s="62"/>
      <c r="K160" s="62"/>
      <c r="L160" s="62" t="s">
        <v>701</v>
      </c>
    </row>
    <row r="161" spans="1:12" ht="78.599999999999994" customHeight="1" x14ac:dyDescent="0.25">
      <c r="A161" s="110" t="s">
        <v>738</v>
      </c>
      <c r="B161" s="24" t="s">
        <v>738</v>
      </c>
      <c r="C161" s="37" t="s">
        <v>739</v>
      </c>
      <c r="D161" s="37" t="s">
        <v>740</v>
      </c>
      <c r="E161" s="37" t="s">
        <v>41</v>
      </c>
      <c r="F161" s="52" t="s">
        <v>741</v>
      </c>
      <c r="G161" s="50" t="s">
        <v>742</v>
      </c>
      <c r="H161" s="20" t="s">
        <v>50</v>
      </c>
      <c r="I161" s="62" t="s">
        <v>45</v>
      </c>
      <c r="J161" s="62" t="s">
        <v>74</v>
      </c>
      <c r="K161" s="62" t="s">
        <v>743</v>
      </c>
      <c r="L161" s="62"/>
    </row>
    <row r="162" spans="1:12" ht="78.599999999999994" customHeight="1" x14ac:dyDescent="0.25">
      <c r="A162" s="103"/>
      <c r="B162" s="24" t="s">
        <v>738</v>
      </c>
      <c r="C162" s="37" t="s">
        <v>744</v>
      </c>
      <c r="D162" s="37" t="s">
        <v>745</v>
      </c>
      <c r="E162" s="37" t="s">
        <v>41</v>
      </c>
      <c r="F162" s="37" t="s">
        <v>746</v>
      </c>
      <c r="G162" s="50" t="s">
        <v>747</v>
      </c>
      <c r="H162" s="20" t="s">
        <v>44</v>
      </c>
      <c r="I162" s="62" t="s">
        <v>45</v>
      </c>
      <c r="J162" s="62" t="s">
        <v>74</v>
      </c>
      <c r="K162" s="62" t="s">
        <v>748</v>
      </c>
      <c r="L162" s="62"/>
    </row>
    <row r="163" spans="1:12" ht="78.599999999999994" customHeight="1" x14ac:dyDescent="0.25">
      <c r="A163" s="103"/>
      <c r="B163" s="24" t="s">
        <v>738</v>
      </c>
      <c r="C163" s="37" t="s">
        <v>749</v>
      </c>
      <c r="D163" s="37" t="s">
        <v>750</v>
      </c>
      <c r="E163" s="37" t="s">
        <v>41</v>
      </c>
      <c r="F163" s="37" t="s">
        <v>751</v>
      </c>
      <c r="G163" s="50" t="s">
        <v>752</v>
      </c>
      <c r="H163" s="20" t="s">
        <v>89</v>
      </c>
      <c r="I163" s="62" t="s">
        <v>65</v>
      </c>
      <c r="J163" s="62"/>
      <c r="K163" s="62"/>
      <c r="L163" s="62" t="s">
        <v>753</v>
      </c>
    </row>
    <row r="164" spans="1:12" ht="78.599999999999994" customHeight="1" x14ac:dyDescent="0.25">
      <c r="A164" s="103"/>
      <c r="B164" s="24" t="s">
        <v>738</v>
      </c>
      <c r="C164" s="37" t="s">
        <v>754</v>
      </c>
      <c r="D164" s="37" t="s">
        <v>755</v>
      </c>
      <c r="E164" s="37" t="s">
        <v>41</v>
      </c>
      <c r="F164" s="52" t="s">
        <v>756</v>
      </c>
      <c r="G164" s="50" t="s">
        <v>742</v>
      </c>
      <c r="H164" s="20" t="s">
        <v>57</v>
      </c>
      <c r="I164" s="62" t="s">
        <v>45</v>
      </c>
      <c r="J164" s="62"/>
      <c r="K164" s="62"/>
      <c r="L164" s="62" t="s">
        <v>757</v>
      </c>
    </row>
    <row r="165" spans="1:12" ht="78.599999999999994" customHeight="1" x14ac:dyDescent="0.25">
      <c r="A165" s="103"/>
      <c r="B165" s="24" t="s">
        <v>738</v>
      </c>
      <c r="C165" s="37" t="s">
        <v>758</v>
      </c>
      <c r="D165" s="37" t="s">
        <v>759</v>
      </c>
      <c r="E165" s="37" t="s">
        <v>41</v>
      </c>
      <c r="F165" s="37" t="s">
        <v>760</v>
      </c>
      <c r="G165" s="50" t="s">
        <v>761</v>
      </c>
      <c r="H165" s="29" t="s">
        <v>64</v>
      </c>
      <c r="I165" s="62" t="s">
        <v>45</v>
      </c>
      <c r="J165" s="62" t="s">
        <v>74</v>
      </c>
      <c r="K165" s="62" t="s">
        <v>762</v>
      </c>
      <c r="L165" s="62"/>
    </row>
    <row r="166" spans="1:12" ht="66" customHeight="1" x14ac:dyDescent="0.25">
      <c r="A166" s="103"/>
      <c r="B166" s="28" t="s">
        <v>738</v>
      </c>
      <c r="C166" s="37" t="s">
        <v>763</v>
      </c>
      <c r="D166" s="49" t="s">
        <v>764</v>
      </c>
      <c r="E166" s="49" t="s">
        <v>41</v>
      </c>
      <c r="F166" s="49" t="s">
        <v>765</v>
      </c>
      <c r="G166" s="54" t="s">
        <v>766</v>
      </c>
      <c r="H166" s="29" t="s">
        <v>44</v>
      </c>
      <c r="I166" s="62" t="s">
        <v>45</v>
      </c>
      <c r="J166" s="62" t="s">
        <v>74</v>
      </c>
      <c r="K166" s="62" t="s">
        <v>767</v>
      </c>
      <c r="L166" s="62" t="s">
        <v>768</v>
      </c>
    </row>
    <row r="167" spans="1:12" s="12" customFormat="1" ht="79.2" customHeight="1" x14ac:dyDescent="0.25">
      <c r="A167" s="103"/>
      <c r="B167" s="28" t="s">
        <v>738</v>
      </c>
      <c r="C167" s="37" t="s">
        <v>769</v>
      </c>
      <c r="D167" s="49" t="s">
        <v>770</v>
      </c>
      <c r="E167" s="49" t="s">
        <v>41</v>
      </c>
      <c r="F167" s="49" t="s">
        <v>771</v>
      </c>
      <c r="G167" s="54" t="s">
        <v>772</v>
      </c>
      <c r="H167" s="29" t="s">
        <v>64</v>
      </c>
      <c r="I167" s="62" t="s">
        <v>45</v>
      </c>
      <c r="J167" s="62" t="s">
        <v>74</v>
      </c>
      <c r="K167" s="62" t="s">
        <v>767</v>
      </c>
      <c r="L167" s="62" t="s">
        <v>768</v>
      </c>
    </row>
    <row r="168" spans="1:12" s="12" customFormat="1" ht="184.8" customHeight="1" x14ac:dyDescent="0.25">
      <c r="A168" s="103"/>
      <c r="B168" s="24" t="s">
        <v>738</v>
      </c>
      <c r="C168" s="37" t="s">
        <v>773</v>
      </c>
      <c r="D168" s="37" t="s">
        <v>774</v>
      </c>
      <c r="E168" s="37" t="s">
        <v>41</v>
      </c>
      <c r="F168" s="37" t="s">
        <v>775</v>
      </c>
      <c r="G168" s="50" t="s">
        <v>776</v>
      </c>
      <c r="H168" s="20" t="s">
        <v>44</v>
      </c>
      <c r="I168" s="62" t="s">
        <v>45</v>
      </c>
      <c r="J168" s="77"/>
      <c r="K168" s="77"/>
      <c r="L168" s="62" t="s">
        <v>757</v>
      </c>
    </row>
    <row r="169" spans="1:12" ht="66" customHeight="1" x14ac:dyDescent="0.25">
      <c r="A169" s="103"/>
      <c r="B169" s="24" t="s">
        <v>738</v>
      </c>
      <c r="C169" s="37" t="s">
        <v>777</v>
      </c>
      <c r="D169" s="37" t="s">
        <v>778</v>
      </c>
      <c r="E169" s="37" t="s">
        <v>41</v>
      </c>
      <c r="F169" s="37" t="s">
        <v>779</v>
      </c>
      <c r="G169" s="50" t="s">
        <v>780</v>
      </c>
      <c r="H169" s="20" t="s">
        <v>44</v>
      </c>
      <c r="I169" s="62" t="s">
        <v>45</v>
      </c>
      <c r="J169" s="62"/>
      <c r="K169" s="62"/>
      <c r="L169" s="62" t="s">
        <v>757</v>
      </c>
    </row>
    <row r="170" spans="1:12" ht="39.6" customHeight="1" x14ac:dyDescent="0.25">
      <c r="A170" s="103"/>
      <c r="B170" s="24" t="s">
        <v>738</v>
      </c>
      <c r="C170" s="37" t="s">
        <v>781</v>
      </c>
      <c r="D170" s="37" t="s">
        <v>782</v>
      </c>
      <c r="E170" s="37" t="s">
        <v>41</v>
      </c>
      <c r="F170" s="37" t="s">
        <v>783</v>
      </c>
      <c r="G170" s="50" t="s">
        <v>776</v>
      </c>
      <c r="H170" s="20" t="s">
        <v>57</v>
      </c>
      <c r="I170" s="62" t="s">
        <v>45</v>
      </c>
      <c r="J170" s="62" t="s">
        <v>74</v>
      </c>
      <c r="K170" s="62" t="s">
        <v>784</v>
      </c>
      <c r="L170" s="62"/>
    </row>
    <row r="171" spans="1:12" ht="105.6" customHeight="1" x14ac:dyDescent="0.25">
      <c r="A171" s="103"/>
      <c r="B171" s="24" t="s">
        <v>738</v>
      </c>
      <c r="C171" s="37" t="s">
        <v>785</v>
      </c>
      <c r="D171" s="37" t="s">
        <v>786</v>
      </c>
      <c r="E171" s="37" t="s">
        <v>41</v>
      </c>
      <c r="F171" s="37" t="s">
        <v>787</v>
      </c>
      <c r="G171" s="50" t="s">
        <v>780</v>
      </c>
      <c r="H171" s="20" t="s">
        <v>57</v>
      </c>
      <c r="I171" s="62" t="s">
        <v>45</v>
      </c>
      <c r="J171" s="62" t="s">
        <v>74</v>
      </c>
      <c r="K171" s="62" t="s">
        <v>788</v>
      </c>
      <c r="L171" s="62"/>
    </row>
    <row r="172" spans="1:12" ht="147" customHeight="1" x14ac:dyDescent="0.25">
      <c r="A172" s="104"/>
      <c r="B172" s="24" t="s">
        <v>738</v>
      </c>
      <c r="C172" s="37" t="s">
        <v>789</v>
      </c>
      <c r="D172" s="37" t="s">
        <v>790</v>
      </c>
      <c r="E172" s="37" t="s">
        <v>41</v>
      </c>
      <c r="F172" s="37" t="s">
        <v>791</v>
      </c>
      <c r="G172" s="50" t="s">
        <v>792</v>
      </c>
      <c r="H172" s="20" t="s">
        <v>44</v>
      </c>
      <c r="I172" s="62" t="s">
        <v>65</v>
      </c>
      <c r="J172" s="62"/>
      <c r="K172" s="62"/>
      <c r="L172" s="62" t="s">
        <v>793</v>
      </c>
    </row>
    <row r="173" spans="1:12" ht="39.6" customHeight="1" x14ac:dyDescent="0.25">
      <c r="A173" s="107" t="s">
        <v>794</v>
      </c>
      <c r="B173" s="30" t="s">
        <v>795</v>
      </c>
      <c r="C173" s="37" t="s">
        <v>796</v>
      </c>
      <c r="D173" s="37" t="s">
        <v>797</v>
      </c>
      <c r="E173" s="37" t="s">
        <v>41</v>
      </c>
      <c r="F173" s="37" t="s">
        <v>798</v>
      </c>
      <c r="G173" s="50" t="s">
        <v>799</v>
      </c>
      <c r="H173" s="20" t="s">
        <v>50</v>
      </c>
      <c r="I173" s="62" t="s">
        <v>65</v>
      </c>
      <c r="J173" s="62"/>
      <c r="K173" s="62"/>
      <c r="L173" s="62" t="s">
        <v>800</v>
      </c>
    </row>
    <row r="174" spans="1:12" ht="39.6" customHeight="1" x14ac:dyDescent="0.25">
      <c r="A174" s="108"/>
      <c r="B174" s="30" t="s">
        <v>795</v>
      </c>
      <c r="C174" s="37" t="s">
        <v>801</v>
      </c>
      <c r="D174" s="37" t="s">
        <v>802</v>
      </c>
      <c r="E174" s="37" t="s">
        <v>41</v>
      </c>
      <c r="F174" s="37" t="s">
        <v>803</v>
      </c>
      <c r="G174" s="50" t="s">
        <v>804</v>
      </c>
      <c r="H174" s="20" t="s">
        <v>64</v>
      </c>
      <c r="I174" s="62" t="s">
        <v>65</v>
      </c>
      <c r="J174" s="62"/>
      <c r="K174" s="62"/>
      <c r="L174" s="62" t="s">
        <v>805</v>
      </c>
    </row>
    <row r="175" spans="1:12" ht="39.6" customHeight="1" x14ac:dyDescent="0.25">
      <c r="A175" s="108"/>
      <c r="B175" s="32" t="s">
        <v>806</v>
      </c>
      <c r="C175" s="37" t="s">
        <v>807</v>
      </c>
      <c r="D175" s="37" t="s">
        <v>808</v>
      </c>
      <c r="E175" s="37" t="s">
        <v>41</v>
      </c>
      <c r="F175" s="37" t="s">
        <v>809</v>
      </c>
      <c r="G175" s="50" t="s">
        <v>810</v>
      </c>
      <c r="H175" s="20" t="s">
        <v>64</v>
      </c>
      <c r="I175" s="62" t="s">
        <v>65</v>
      </c>
      <c r="J175" s="62"/>
      <c r="K175" s="62"/>
      <c r="L175" s="62" t="s">
        <v>811</v>
      </c>
    </row>
    <row r="176" spans="1:12" ht="69.599999999999994" customHeight="1" x14ac:dyDescent="0.25">
      <c r="A176" s="108"/>
      <c r="B176" s="32" t="s">
        <v>806</v>
      </c>
      <c r="C176" s="37" t="s">
        <v>812</v>
      </c>
      <c r="D176" s="37" t="s">
        <v>813</v>
      </c>
      <c r="E176" s="37" t="s">
        <v>41</v>
      </c>
      <c r="F176" s="37" t="s">
        <v>814</v>
      </c>
      <c r="G176" s="50" t="s">
        <v>815</v>
      </c>
      <c r="H176" s="20" t="s">
        <v>64</v>
      </c>
      <c r="I176" s="62" t="s">
        <v>65</v>
      </c>
      <c r="J176" s="62"/>
      <c r="K176" s="62"/>
      <c r="L176" s="62" t="s">
        <v>816</v>
      </c>
    </row>
    <row r="177" spans="1:12" ht="87.6" customHeight="1" x14ac:dyDescent="0.25">
      <c r="A177" s="109"/>
      <c r="B177" s="32" t="s">
        <v>806</v>
      </c>
      <c r="C177" s="37" t="s">
        <v>817</v>
      </c>
      <c r="D177" s="37" t="s">
        <v>818</v>
      </c>
      <c r="E177" s="37" t="s">
        <v>41</v>
      </c>
      <c r="F177" s="37" t="s">
        <v>819</v>
      </c>
      <c r="G177" s="50" t="s">
        <v>820</v>
      </c>
      <c r="H177" s="20" t="s">
        <v>64</v>
      </c>
      <c r="I177" s="62" t="s">
        <v>65</v>
      </c>
      <c r="J177" s="62"/>
      <c r="K177" s="62"/>
      <c r="L177" s="62" t="s">
        <v>821</v>
      </c>
    </row>
    <row r="178" spans="1:12" ht="41.4" customHeight="1" x14ac:dyDescent="0.25">
      <c r="A178" s="102" t="s">
        <v>822</v>
      </c>
      <c r="B178" s="23" t="s">
        <v>822</v>
      </c>
      <c r="C178" s="37" t="s">
        <v>823</v>
      </c>
      <c r="D178" s="37" t="s">
        <v>824</v>
      </c>
      <c r="E178" s="37" t="s">
        <v>825</v>
      </c>
      <c r="F178" s="37" t="s">
        <v>826</v>
      </c>
      <c r="G178" s="50" t="s">
        <v>827</v>
      </c>
      <c r="H178" s="20" t="s">
        <v>64</v>
      </c>
      <c r="I178" s="62" t="s">
        <v>65</v>
      </c>
      <c r="J178" s="62"/>
      <c r="K178" s="62"/>
      <c r="L178" s="62" t="s">
        <v>828</v>
      </c>
    </row>
    <row r="179" spans="1:12" ht="70.2" customHeight="1" x14ac:dyDescent="0.25">
      <c r="A179" s="103"/>
      <c r="B179" s="23" t="s">
        <v>822</v>
      </c>
      <c r="C179" s="37" t="s">
        <v>829</v>
      </c>
      <c r="D179" s="37" t="s">
        <v>830</v>
      </c>
      <c r="E179" s="37" t="s">
        <v>825</v>
      </c>
      <c r="F179" s="37" t="s">
        <v>831</v>
      </c>
      <c r="G179" s="50" t="s">
        <v>832</v>
      </c>
      <c r="H179" s="20" t="s">
        <v>64</v>
      </c>
      <c r="I179" s="62" t="s">
        <v>65</v>
      </c>
      <c r="J179" s="62"/>
      <c r="K179" s="62"/>
      <c r="L179" s="62" t="s">
        <v>833</v>
      </c>
    </row>
    <row r="180" spans="1:12" ht="81.599999999999994" customHeight="1" x14ac:dyDescent="0.25">
      <c r="A180" s="103"/>
      <c r="B180" s="23" t="s">
        <v>822</v>
      </c>
      <c r="C180" s="37" t="s">
        <v>834</v>
      </c>
      <c r="D180" s="37" t="s">
        <v>835</v>
      </c>
      <c r="E180" s="37" t="s">
        <v>825</v>
      </c>
      <c r="F180" s="37" t="s">
        <v>836</v>
      </c>
      <c r="G180" s="50" t="s">
        <v>837</v>
      </c>
      <c r="H180" s="20" t="s">
        <v>64</v>
      </c>
      <c r="I180" s="62" t="s">
        <v>65</v>
      </c>
      <c r="J180" s="62"/>
      <c r="K180" s="62"/>
      <c r="L180" s="62" t="s">
        <v>833</v>
      </c>
    </row>
    <row r="181" spans="1:12" ht="123.6" customHeight="1" x14ac:dyDescent="0.25">
      <c r="A181" s="103"/>
      <c r="B181" s="23" t="s">
        <v>822</v>
      </c>
      <c r="C181" s="37" t="s">
        <v>838</v>
      </c>
      <c r="D181" s="37" t="s">
        <v>839</v>
      </c>
      <c r="E181" s="37" t="s">
        <v>825</v>
      </c>
      <c r="F181" s="37" t="s">
        <v>840</v>
      </c>
      <c r="G181" s="50" t="s">
        <v>841</v>
      </c>
      <c r="H181" s="20" t="s">
        <v>64</v>
      </c>
      <c r="I181" s="62" t="s">
        <v>65</v>
      </c>
      <c r="J181" s="62"/>
      <c r="K181" s="62"/>
      <c r="L181" s="62" t="s">
        <v>833</v>
      </c>
    </row>
    <row r="182" spans="1:12" ht="123.6" customHeight="1" x14ac:dyDescent="0.25">
      <c r="A182" s="104"/>
      <c r="B182" s="23" t="s">
        <v>822</v>
      </c>
      <c r="C182" s="37" t="s">
        <v>842</v>
      </c>
      <c r="D182" s="37" t="s">
        <v>843</v>
      </c>
      <c r="E182" s="37" t="s">
        <v>825</v>
      </c>
      <c r="F182" s="37" t="s">
        <v>844</v>
      </c>
      <c r="G182" s="50" t="s">
        <v>845</v>
      </c>
      <c r="H182" s="20" t="s">
        <v>50</v>
      </c>
      <c r="I182" s="62" t="s">
        <v>65</v>
      </c>
      <c r="J182" s="62"/>
      <c r="K182" s="62"/>
      <c r="L182" s="62" t="s">
        <v>833</v>
      </c>
    </row>
    <row r="183" spans="1:12" ht="82.2" customHeight="1" x14ac:dyDescent="0.25">
      <c r="A183" s="105" t="s">
        <v>846</v>
      </c>
      <c r="B183" s="11" t="s">
        <v>846</v>
      </c>
      <c r="C183" s="37" t="s">
        <v>847</v>
      </c>
      <c r="D183" s="36" t="s">
        <v>848</v>
      </c>
      <c r="E183" s="36" t="s">
        <v>825</v>
      </c>
      <c r="F183" s="36" t="s">
        <v>849</v>
      </c>
      <c r="G183" s="41" t="s">
        <v>850</v>
      </c>
      <c r="H183" s="5" t="s">
        <v>64</v>
      </c>
      <c r="I183" s="62" t="s">
        <v>45</v>
      </c>
      <c r="J183" s="62" t="s">
        <v>851</v>
      </c>
      <c r="K183" s="62" t="s">
        <v>449</v>
      </c>
      <c r="L183" s="62"/>
    </row>
    <row r="184" spans="1:12" ht="123.6" customHeight="1" x14ac:dyDescent="0.25">
      <c r="A184" s="103"/>
      <c r="B184" s="11" t="s">
        <v>846</v>
      </c>
      <c r="C184" s="37" t="s">
        <v>852</v>
      </c>
      <c r="D184" s="36" t="s">
        <v>853</v>
      </c>
      <c r="E184" s="36" t="s">
        <v>825</v>
      </c>
      <c r="F184" s="36" t="s">
        <v>854</v>
      </c>
      <c r="G184" s="41" t="s">
        <v>850</v>
      </c>
      <c r="H184" s="5" t="s">
        <v>50</v>
      </c>
      <c r="I184" s="62" t="s">
        <v>45</v>
      </c>
      <c r="J184" s="62" t="s">
        <v>855</v>
      </c>
      <c r="K184" s="62" t="s">
        <v>449</v>
      </c>
      <c r="L184" s="62"/>
    </row>
    <row r="185" spans="1:12" ht="118.8" customHeight="1" x14ac:dyDescent="0.25">
      <c r="A185" s="103"/>
      <c r="B185" s="11" t="s">
        <v>846</v>
      </c>
      <c r="C185" s="37" t="s">
        <v>856</v>
      </c>
      <c r="D185" s="36" t="s">
        <v>857</v>
      </c>
      <c r="E185" s="36" t="s">
        <v>825</v>
      </c>
      <c r="F185" s="36" t="s">
        <v>858</v>
      </c>
      <c r="G185" s="41" t="s">
        <v>850</v>
      </c>
      <c r="H185" s="5" t="s">
        <v>64</v>
      </c>
      <c r="I185" s="62" t="s">
        <v>45</v>
      </c>
      <c r="J185" s="62" t="s">
        <v>859</v>
      </c>
      <c r="K185" s="62" t="s">
        <v>449</v>
      </c>
      <c r="L185" s="62"/>
    </row>
    <row r="186" spans="1:12" ht="118.8" customHeight="1" x14ac:dyDescent="0.25">
      <c r="A186" s="103"/>
      <c r="B186" s="11" t="s">
        <v>846</v>
      </c>
      <c r="C186" s="37" t="s">
        <v>860</v>
      </c>
      <c r="D186" s="36" t="s">
        <v>861</v>
      </c>
      <c r="E186" s="36" t="s">
        <v>825</v>
      </c>
      <c r="F186" s="36" t="s">
        <v>862</v>
      </c>
      <c r="G186" s="41" t="s">
        <v>850</v>
      </c>
      <c r="H186" s="5" t="s">
        <v>44</v>
      </c>
      <c r="I186" s="62" t="s">
        <v>45</v>
      </c>
      <c r="J186" s="62" t="s">
        <v>863</v>
      </c>
      <c r="K186" s="62" t="s">
        <v>449</v>
      </c>
      <c r="L186" s="62"/>
    </row>
    <row r="187" spans="1:12" ht="118.8" customHeight="1" x14ac:dyDescent="0.25">
      <c r="A187" s="103"/>
      <c r="B187" s="11" t="s">
        <v>846</v>
      </c>
      <c r="C187" s="37" t="s">
        <v>864</v>
      </c>
      <c r="D187" s="36" t="s">
        <v>865</v>
      </c>
      <c r="E187" s="36" t="s">
        <v>825</v>
      </c>
      <c r="F187" s="36" t="s">
        <v>866</v>
      </c>
      <c r="G187" s="41" t="s">
        <v>867</v>
      </c>
      <c r="H187" s="5" t="s">
        <v>44</v>
      </c>
      <c r="I187" s="62" t="s">
        <v>45</v>
      </c>
      <c r="J187" s="62" t="s">
        <v>868</v>
      </c>
      <c r="K187" s="62"/>
      <c r="L187" s="62" t="s">
        <v>869</v>
      </c>
    </row>
    <row r="188" spans="1:12" ht="118.8" customHeight="1" x14ac:dyDescent="0.25">
      <c r="A188" s="103"/>
      <c r="B188" s="11" t="s">
        <v>846</v>
      </c>
      <c r="C188" s="37" t="s">
        <v>870</v>
      </c>
      <c r="D188" s="36" t="s">
        <v>871</v>
      </c>
      <c r="E188" s="36" t="s">
        <v>825</v>
      </c>
      <c r="F188" s="36" t="s">
        <v>872</v>
      </c>
      <c r="G188" s="41" t="s">
        <v>850</v>
      </c>
      <c r="H188" s="5" t="s">
        <v>44</v>
      </c>
      <c r="I188" s="62" t="s">
        <v>45</v>
      </c>
      <c r="J188" s="62" t="s">
        <v>873</v>
      </c>
      <c r="K188" s="62" t="s">
        <v>449</v>
      </c>
      <c r="L188" s="62"/>
    </row>
    <row r="189" spans="1:12" s="12" customFormat="1" ht="79.2" customHeight="1" x14ac:dyDescent="0.25">
      <c r="A189" s="103"/>
      <c r="B189" s="11" t="s">
        <v>846</v>
      </c>
      <c r="C189" s="37" t="s">
        <v>874</v>
      </c>
      <c r="D189" s="36" t="s">
        <v>875</v>
      </c>
      <c r="E189" s="36" t="s">
        <v>825</v>
      </c>
      <c r="F189" s="36" t="s">
        <v>876</v>
      </c>
      <c r="G189" s="41" t="s">
        <v>877</v>
      </c>
      <c r="H189" s="5" t="s">
        <v>57</v>
      </c>
      <c r="I189" s="62" t="s">
        <v>45</v>
      </c>
      <c r="J189" s="62" t="s">
        <v>878</v>
      </c>
      <c r="K189" s="62" t="s">
        <v>449</v>
      </c>
      <c r="L189" s="77"/>
    </row>
    <row r="190" spans="1:12" ht="118.8" customHeight="1" x14ac:dyDescent="0.25">
      <c r="A190" s="103"/>
      <c r="B190" s="13" t="s">
        <v>846</v>
      </c>
      <c r="C190" s="37" t="s">
        <v>879</v>
      </c>
      <c r="D190" s="35" t="s">
        <v>880</v>
      </c>
      <c r="E190" s="36" t="s">
        <v>825</v>
      </c>
      <c r="F190" s="35" t="s">
        <v>881</v>
      </c>
      <c r="G190" s="41" t="s">
        <v>882</v>
      </c>
      <c r="H190" s="14" t="s">
        <v>57</v>
      </c>
      <c r="I190" s="62" t="s">
        <v>65</v>
      </c>
      <c r="J190" s="62"/>
      <c r="K190" s="62"/>
      <c r="L190" s="62" t="s">
        <v>883</v>
      </c>
    </row>
    <row r="191" spans="1:12" ht="118.8" customHeight="1" x14ac:dyDescent="0.25">
      <c r="A191" s="103"/>
      <c r="B191" s="11" t="s">
        <v>846</v>
      </c>
      <c r="C191" s="37" t="s">
        <v>884</v>
      </c>
      <c r="D191" s="36" t="s">
        <v>885</v>
      </c>
      <c r="E191" s="36" t="s">
        <v>825</v>
      </c>
      <c r="F191" s="36" t="s">
        <v>886</v>
      </c>
      <c r="G191" s="41" t="s">
        <v>887</v>
      </c>
      <c r="H191" s="5" t="s">
        <v>57</v>
      </c>
      <c r="I191" s="62" t="s">
        <v>45</v>
      </c>
      <c r="J191" s="62" t="s">
        <v>888</v>
      </c>
      <c r="K191" s="62" t="s">
        <v>449</v>
      </c>
      <c r="L191" s="62"/>
    </row>
    <row r="192" spans="1:12" ht="88.8" customHeight="1" x14ac:dyDescent="0.25">
      <c r="A192" s="103"/>
      <c r="B192" s="11" t="s">
        <v>846</v>
      </c>
      <c r="C192" s="37" t="s">
        <v>889</v>
      </c>
      <c r="D192" s="36" t="s">
        <v>890</v>
      </c>
      <c r="E192" s="36" t="s">
        <v>825</v>
      </c>
      <c r="F192" s="36" t="s">
        <v>891</v>
      </c>
      <c r="G192" s="41" t="s">
        <v>892</v>
      </c>
      <c r="H192" s="5" t="s">
        <v>57</v>
      </c>
      <c r="I192" s="62" t="s">
        <v>45</v>
      </c>
      <c r="J192" s="62" t="s">
        <v>893</v>
      </c>
      <c r="K192" s="62" t="s">
        <v>449</v>
      </c>
      <c r="L192" s="62"/>
    </row>
    <row r="193" spans="1:12" ht="52.8" customHeight="1" x14ac:dyDescent="0.25">
      <c r="A193" s="103"/>
      <c r="B193" s="11" t="s">
        <v>846</v>
      </c>
      <c r="C193" s="37" t="s">
        <v>894</v>
      </c>
      <c r="D193" s="36" t="s">
        <v>895</v>
      </c>
      <c r="E193" s="36" t="s">
        <v>825</v>
      </c>
      <c r="F193" s="36" t="s">
        <v>896</v>
      </c>
      <c r="G193" s="41" t="s">
        <v>897</v>
      </c>
      <c r="H193" s="5" t="s">
        <v>57</v>
      </c>
      <c r="I193" s="62" t="s">
        <v>45</v>
      </c>
      <c r="J193" s="62" t="s">
        <v>898</v>
      </c>
      <c r="K193" s="62" t="s">
        <v>449</v>
      </c>
      <c r="L193" s="62"/>
    </row>
    <row r="194" spans="1:12" ht="61.2" customHeight="1" x14ac:dyDescent="0.25">
      <c r="A194" s="103"/>
      <c r="B194" s="11" t="s">
        <v>846</v>
      </c>
      <c r="C194" s="37" t="s">
        <v>899</v>
      </c>
      <c r="D194" s="36" t="s">
        <v>900</v>
      </c>
      <c r="E194" s="36" t="s">
        <v>825</v>
      </c>
      <c r="F194" s="36" t="s">
        <v>901</v>
      </c>
      <c r="G194" s="41" t="s">
        <v>902</v>
      </c>
      <c r="H194" s="5" t="s">
        <v>57</v>
      </c>
      <c r="I194" s="62" t="s">
        <v>45</v>
      </c>
      <c r="J194" s="62" t="s">
        <v>903</v>
      </c>
      <c r="K194" s="62"/>
      <c r="L194" s="62" t="s">
        <v>904</v>
      </c>
    </row>
    <row r="195" spans="1:12" ht="79.2" customHeight="1" x14ac:dyDescent="0.25">
      <c r="A195" s="103"/>
      <c r="B195" s="11" t="s">
        <v>846</v>
      </c>
      <c r="C195" s="37" t="s">
        <v>905</v>
      </c>
      <c r="D195" s="55" t="s">
        <v>906</v>
      </c>
      <c r="E195" s="36" t="s">
        <v>825</v>
      </c>
      <c r="F195" s="36" t="s">
        <v>907</v>
      </c>
      <c r="G195" s="41" t="s">
        <v>908</v>
      </c>
      <c r="H195" s="5" t="s">
        <v>44</v>
      </c>
      <c r="I195" s="62" t="s">
        <v>65</v>
      </c>
      <c r="J195" s="62"/>
      <c r="K195" s="62"/>
      <c r="L195" s="62" t="s">
        <v>909</v>
      </c>
    </row>
    <row r="196" spans="1:12" ht="39.6" customHeight="1" x14ac:dyDescent="0.25">
      <c r="A196" s="103"/>
      <c r="B196" s="11" t="s">
        <v>846</v>
      </c>
      <c r="C196" s="37" t="s">
        <v>910</v>
      </c>
      <c r="D196" s="60" t="s">
        <v>911</v>
      </c>
      <c r="E196" s="36" t="s">
        <v>825</v>
      </c>
      <c r="F196" s="36" t="s">
        <v>912</v>
      </c>
      <c r="G196" s="41" t="s">
        <v>913</v>
      </c>
      <c r="H196" s="5" t="s">
        <v>44</v>
      </c>
      <c r="I196" s="62" t="s">
        <v>65</v>
      </c>
      <c r="J196" s="62"/>
      <c r="K196" s="62"/>
      <c r="L196" s="62" t="s">
        <v>909</v>
      </c>
    </row>
    <row r="197" spans="1:12" ht="94.8" customHeight="1" x14ac:dyDescent="0.25">
      <c r="A197" s="103"/>
      <c r="B197" s="11" t="s">
        <v>846</v>
      </c>
      <c r="C197" s="37" t="s">
        <v>914</v>
      </c>
      <c r="D197" s="55" t="s">
        <v>915</v>
      </c>
      <c r="E197" s="36" t="s">
        <v>825</v>
      </c>
      <c r="F197" s="36" t="s">
        <v>916</v>
      </c>
      <c r="G197" s="41" t="s">
        <v>917</v>
      </c>
      <c r="H197" s="5" t="s">
        <v>64</v>
      </c>
      <c r="I197" s="62" t="s">
        <v>45</v>
      </c>
      <c r="J197" s="62" t="s">
        <v>918</v>
      </c>
      <c r="K197" s="62"/>
      <c r="L197" s="62" t="s">
        <v>919</v>
      </c>
    </row>
    <row r="198" spans="1:12" ht="52.8" customHeight="1" x14ac:dyDescent="0.25">
      <c r="A198" s="103"/>
      <c r="B198" s="11" t="s">
        <v>846</v>
      </c>
      <c r="C198" s="37" t="s">
        <v>920</v>
      </c>
      <c r="D198" s="55" t="s">
        <v>921</v>
      </c>
      <c r="E198" s="36" t="s">
        <v>825</v>
      </c>
      <c r="F198" s="36" t="s">
        <v>922</v>
      </c>
      <c r="G198" s="41" t="s">
        <v>923</v>
      </c>
      <c r="H198" s="5" t="s">
        <v>64</v>
      </c>
      <c r="I198" s="62" t="s">
        <v>45</v>
      </c>
      <c r="J198" s="62" t="s">
        <v>924</v>
      </c>
      <c r="K198" s="62" t="s">
        <v>449</v>
      </c>
      <c r="L198" s="62"/>
    </row>
    <row r="199" spans="1:12" ht="66" customHeight="1" x14ac:dyDescent="0.25">
      <c r="A199" s="104"/>
      <c r="B199" s="11" t="s">
        <v>846</v>
      </c>
      <c r="C199" s="37" t="s">
        <v>925</v>
      </c>
      <c r="D199" s="55" t="s">
        <v>926</v>
      </c>
      <c r="E199" s="36" t="s">
        <v>825</v>
      </c>
      <c r="F199" s="36" t="s">
        <v>927</v>
      </c>
      <c r="G199" s="41" t="s">
        <v>928</v>
      </c>
      <c r="H199" s="5" t="s">
        <v>64</v>
      </c>
      <c r="I199" s="62" t="s">
        <v>45</v>
      </c>
      <c r="J199" s="62" t="s">
        <v>929</v>
      </c>
      <c r="K199" s="62" t="s">
        <v>449</v>
      </c>
      <c r="L199" s="62"/>
    </row>
    <row r="200" spans="1:12" ht="26.4" customHeight="1" x14ac:dyDescent="0.25">
      <c r="A200" s="105" t="s">
        <v>930</v>
      </c>
      <c r="B200" s="25" t="s">
        <v>930</v>
      </c>
      <c r="C200" s="37" t="s">
        <v>931</v>
      </c>
      <c r="D200" s="37" t="s">
        <v>932</v>
      </c>
      <c r="E200" s="36" t="s">
        <v>825</v>
      </c>
      <c r="F200" s="37" t="s">
        <v>933</v>
      </c>
      <c r="G200" s="50" t="s">
        <v>934</v>
      </c>
      <c r="H200" s="20" t="s">
        <v>64</v>
      </c>
      <c r="I200" s="62" t="s">
        <v>45</v>
      </c>
      <c r="J200" s="62" t="s">
        <v>935</v>
      </c>
      <c r="K200" s="62" t="s">
        <v>449</v>
      </c>
      <c r="L200" s="62" t="s">
        <v>936</v>
      </c>
    </row>
    <row r="201" spans="1:12" ht="52.8" customHeight="1" x14ac:dyDescent="0.25">
      <c r="A201" s="103"/>
      <c r="B201" s="25" t="s">
        <v>930</v>
      </c>
      <c r="C201" s="37" t="s">
        <v>937</v>
      </c>
      <c r="D201" s="37" t="s">
        <v>938</v>
      </c>
      <c r="E201" s="36" t="s">
        <v>825</v>
      </c>
      <c r="F201" s="37" t="s">
        <v>939</v>
      </c>
      <c r="G201" s="50" t="s">
        <v>940</v>
      </c>
      <c r="H201" s="20" t="s">
        <v>89</v>
      </c>
      <c r="I201" s="62" t="s">
        <v>45</v>
      </c>
      <c r="J201" s="62" t="s">
        <v>941</v>
      </c>
      <c r="K201" s="62" t="s">
        <v>449</v>
      </c>
      <c r="L201" s="62" t="s">
        <v>942</v>
      </c>
    </row>
    <row r="202" spans="1:12" ht="39.6" customHeight="1" x14ac:dyDescent="0.25">
      <c r="A202" s="104"/>
      <c r="B202" s="25" t="s">
        <v>930</v>
      </c>
      <c r="C202" s="37" t="s">
        <v>943</v>
      </c>
      <c r="D202" s="37" t="s">
        <v>944</v>
      </c>
      <c r="E202" s="36" t="s">
        <v>825</v>
      </c>
      <c r="F202" s="49" t="s">
        <v>945</v>
      </c>
      <c r="G202" s="50" t="s">
        <v>946</v>
      </c>
      <c r="H202" s="20" t="s">
        <v>50</v>
      </c>
      <c r="I202" s="62" t="s">
        <v>45</v>
      </c>
      <c r="J202" s="62" t="s">
        <v>947</v>
      </c>
      <c r="K202" s="62" t="s">
        <v>449</v>
      </c>
      <c r="L202" s="62" t="s">
        <v>948</v>
      </c>
    </row>
    <row r="203" spans="1:12" ht="52.8" customHeight="1" x14ac:dyDescent="0.25">
      <c r="A203" s="106" t="s">
        <v>949</v>
      </c>
      <c r="B203" s="26" t="s">
        <v>949</v>
      </c>
      <c r="C203" s="37" t="s">
        <v>950</v>
      </c>
      <c r="D203" s="52" t="s">
        <v>951</v>
      </c>
      <c r="E203" s="36" t="s">
        <v>41</v>
      </c>
      <c r="F203" s="52" t="s">
        <v>952</v>
      </c>
      <c r="G203" s="51" t="s">
        <v>953</v>
      </c>
      <c r="H203" s="20" t="s">
        <v>44</v>
      </c>
      <c r="I203" s="62" t="s">
        <v>45</v>
      </c>
      <c r="J203" s="62" t="s">
        <v>954</v>
      </c>
      <c r="K203" s="62"/>
      <c r="L203" s="62" t="s">
        <v>955</v>
      </c>
    </row>
    <row r="204" spans="1:12" ht="52.8" customHeight="1" x14ac:dyDescent="0.25">
      <c r="A204" s="103"/>
      <c r="B204" s="26" t="s">
        <v>949</v>
      </c>
      <c r="C204" s="37" t="s">
        <v>956</v>
      </c>
      <c r="D204" s="37" t="s">
        <v>957</v>
      </c>
      <c r="E204" s="36" t="s">
        <v>41</v>
      </c>
      <c r="F204" s="37" t="s">
        <v>958</v>
      </c>
      <c r="G204" s="50" t="s">
        <v>959</v>
      </c>
      <c r="H204" s="20" t="s">
        <v>57</v>
      </c>
      <c r="I204" s="62" t="s">
        <v>45</v>
      </c>
      <c r="J204" s="62" t="s">
        <v>960</v>
      </c>
      <c r="K204" s="62"/>
      <c r="L204" s="62" t="s">
        <v>961</v>
      </c>
    </row>
    <row r="205" spans="1:12" ht="409.6" customHeight="1" x14ac:dyDescent="0.25">
      <c r="A205" s="103"/>
      <c r="B205" s="26" t="s">
        <v>949</v>
      </c>
      <c r="C205" s="37" t="s">
        <v>962</v>
      </c>
      <c r="D205" s="37" t="s">
        <v>963</v>
      </c>
      <c r="E205" s="36" t="s">
        <v>41</v>
      </c>
      <c r="F205" s="56" t="s">
        <v>964</v>
      </c>
      <c r="G205" s="50" t="s">
        <v>965</v>
      </c>
      <c r="H205" s="20" t="s">
        <v>57</v>
      </c>
      <c r="I205" s="62" t="s">
        <v>45</v>
      </c>
      <c r="J205" s="62"/>
      <c r="K205" s="62"/>
      <c r="L205" s="62" t="s">
        <v>966</v>
      </c>
    </row>
    <row r="206" spans="1:12" ht="52.8" customHeight="1" x14ac:dyDescent="0.25">
      <c r="A206" s="103"/>
      <c r="B206" s="26" t="s">
        <v>949</v>
      </c>
      <c r="C206" s="37" t="s">
        <v>967</v>
      </c>
      <c r="D206" s="52" t="s">
        <v>968</v>
      </c>
      <c r="E206" s="36" t="s">
        <v>41</v>
      </c>
      <c r="F206" s="52" t="s">
        <v>969</v>
      </c>
      <c r="G206" s="51" t="s">
        <v>970</v>
      </c>
      <c r="H206" s="20" t="s">
        <v>64</v>
      </c>
      <c r="I206" s="62" t="s">
        <v>45</v>
      </c>
      <c r="J206" s="62" t="s">
        <v>971</v>
      </c>
      <c r="K206" s="62" t="s">
        <v>449</v>
      </c>
      <c r="L206" s="62"/>
    </row>
    <row r="207" spans="1:12" ht="39.6" customHeight="1" x14ac:dyDescent="0.25">
      <c r="A207" s="103"/>
      <c r="B207" s="26" t="s">
        <v>949</v>
      </c>
      <c r="C207" s="37" t="s">
        <v>972</v>
      </c>
      <c r="D207" s="37" t="s">
        <v>973</v>
      </c>
      <c r="E207" s="36" t="s">
        <v>41</v>
      </c>
      <c r="F207" s="37" t="s">
        <v>974</v>
      </c>
      <c r="G207" s="50" t="s">
        <v>975</v>
      </c>
      <c r="H207" s="20" t="s">
        <v>50</v>
      </c>
      <c r="I207" s="62" t="s">
        <v>45</v>
      </c>
      <c r="J207" s="62" t="s">
        <v>976</v>
      </c>
      <c r="K207" s="62" t="s">
        <v>449</v>
      </c>
      <c r="L207" s="62"/>
    </row>
    <row r="208" spans="1:12" ht="52.8" customHeight="1" x14ac:dyDescent="0.25">
      <c r="A208" s="103"/>
      <c r="B208" s="26" t="s">
        <v>949</v>
      </c>
      <c r="C208" s="37" t="s">
        <v>977</v>
      </c>
      <c r="D208" s="37" t="s">
        <v>978</v>
      </c>
      <c r="E208" s="36" t="s">
        <v>41</v>
      </c>
      <c r="F208" s="37" t="s">
        <v>979</v>
      </c>
      <c r="G208" s="50" t="s">
        <v>980</v>
      </c>
      <c r="H208" s="20" t="s">
        <v>64</v>
      </c>
      <c r="I208" s="62" t="s">
        <v>45</v>
      </c>
      <c r="J208" s="62" t="s">
        <v>981</v>
      </c>
      <c r="K208" s="62" t="s">
        <v>449</v>
      </c>
      <c r="L208" s="62"/>
    </row>
    <row r="209" spans="1:12" ht="66" customHeight="1" x14ac:dyDescent="0.25">
      <c r="A209" s="103"/>
      <c r="B209" s="26" t="s">
        <v>949</v>
      </c>
      <c r="C209" s="37" t="s">
        <v>982</v>
      </c>
      <c r="D209" s="37" t="s">
        <v>983</v>
      </c>
      <c r="E209" s="36" t="s">
        <v>41</v>
      </c>
      <c r="F209" s="37" t="s">
        <v>984</v>
      </c>
      <c r="G209" s="50" t="s">
        <v>985</v>
      </c>
      <c r="H209" s="20" t="s">
        <v>64</v>
      </c>
      <c r="I209" s="62" t="s">
        <v>45</v>
      </c>
      <c r="J209" s="62" t="s">
        <v>986</v>
      </c>
      <c r="K209" s="62" t="s">
        <v>449</v>
      </c>
      <c r="L209" s="62"/>
    </row>
    <row r="210" spans="1:12" ht="105.6" customHeight="1" x14ac:dyDescent="0.25">
      <c r="A210" s="103"/>
      <c r="B210" s="26" t="s">
        <v>949</v>
      </c>
      <c r="C210" s="37" t="s">
        <v>987</v>
      </c>
      <c r="D210" s="37" t="s">
        <v>988</v>
      </c>
      <c r="E210" s="36" t="s">
        <v>41</v>
      </c>
      <c r="F210" s="37" t="s">
        <v>989</v>
      </c>
      <c r="G210" s="50" t="s">
        <v>990</v>
      </c>
      <c r="H210" s="20" t="s">
        <v>44</v>
      </c>
      <c r="I210" s="62" t="s">
        <v>45</v>
      </c>
      <c r="J210" s="62"/>
      <c r="K210" s="62"/>
      <c r="L210" s="62" t="s">
        <v>966</v>
      </c>
    </row>
    <row r="211" spans="1:12" ht="105.6" customHeight="1" x14ac:dyDescent="0.25">
      <c r="A211" s="103"/>
      <c r="B211" s="26" t="s">
        <v>949</v>
      </c>
      <c r="C211" s="37" t="s">
        <v>991</v>
      </c>
      <c r="D211" s="37" t="s">
        <v>992</v>
      </c>
      <c r="E211" s="36" t="s">
        <v>41</v>
      </c>
      <c r="F211" s="37" t="s">
        <v>993</v>
      </c>
      <c r="G211" s="50" t="s">
        <v>994</v>
      </c>
      <c r="H211" s="20" t="s">
        <v>64</v>
      </c>
      <c r="I211" s="62" t="s">
        <v>45</v>
      </c>
      <c r="J211" s="62"/>
      <c r="K211" s="62"/>
      <c r="L211" s="62" t="s">
        <v>966</v>
      </c>
    </row>
    <row r="212" spans="1:12" ht="105.6" customHeight="1" x14ac:dyDescent="0.25">
      <c r="A212" s="103"/>
      <c r="B212" s="26" t="s">
        <v>949</v>
      </c>
      <c r="C212" s="37" t="s">
        <v>995</v>
      </c>
      <c r="D212" s="37" t="s">
        <v>996</v>
      </c>
      <c r="E212" s="36" t="s">
        <v>41</v>
      </c>
      <c r="F212" s="37" t="s">
        <v>997</v>
      </c>
      <c r="G212" s="50" t="s">
        <v>998</v>
      </c>
      <c r="H212" s="20" t="s">
        <v>64</v>
      </c>
      <c r="I212" s="62" t="s">
        <v>45</v>
      </c>
      <c r="J212" s="62"/>
      <c r="K212" s="62"/>
      <c r="L212" s="62" t="s">
        <v>966</v>
      </c>
    </row>
    <row r="213" spans="1:12" ht="52.8" customHeight="1" x14ac:dyDescent="0.25">
      <c r="A213" s="103"/>
      <c r="B213" s="26" t="s">
        <v>949</v>
      </c>
      <c r="C213" s="37" t="s">
        <v>999</v>
      </c>
      <c r="D213" s="49" t="s">
        <v>1000</v>
      </c>
      <c r="E213" s="36" t="s">
        <v>41</v>
      </c>
      <c r="F213" s="37" t="s">
        <v>1001</v>
      </c>
      <c r="G213" s="50" t="s">
        <v>1002</v>
      </c>
      <c r="H213" s="20" t="s">
        <v>89</v>
      </c>
      <c r="I213" s="62" t="s">
        <v>65</v>
      </c>
      <c r="J213" s="62"/>
      <c r="K213" s="62"/>
      <c r="L213" s="62" t="s">
        <v>1003</v>
      </c>
    </row>
    <row r="214" spans="1:12" ht="52.8" customHeight="1" x14ac:dyDescent="0.25">
      <c r="A214" s="103"/>
      <c r="B214" s="26" t="s">
        <v>949</v>
      </c>
      <c r="C214" s="37" t="s">
        <v>1004</v>
      </c>
      <c r="D214" s="37" t="s">
        <v>1005</v>
      </c>
      <c r="E214" s="36" t="s">
        <v>41</v>
      </c>
      <c r="F214" s="37" t="s">
        <v>1006</v>
      </c>
      <c r="G214" s="50" t="s">
        <v>998</v>
      </c>
      <c r="H214" s="20" t="s">
        <v>64</v>
      </c>
      <c r="I214" s="62" t="s">
        <v>45</v>
      </c>
      <c r="J214" s="62"/>
      <c r="K214" s="62"/>
      <c r="L214" s="62" t="s">
        <v>966</v>
      </c>
    </row>
    <row r="215" spans="1:12" ht="39.6" customHeight="1" x14ac:dyDescent="0.25">
      <c r="A215" s="103"/>
      <c r="B215" s="26" t="s">
        <v>949</v>
      </c>
      <c r="C215" s="37" t="s">
        <v>1007</v>
      </c>
      <c r="D215" s="37" t="s">
        <v>1008</v>
      </c>
      <c r="E215" s="36" t="s">
        <v>41</v>
      </c>
      <c r="F215" s="37" t="s">
        <v>1009</v>
      </c>
      <c r="G215" s="50" t="s">
        <v>1002</v>
      </c>
      <c r="H215" s="27" t="s">
        <v>89</v>
      </c>
      <c r="I215" s="62" t="s">
        <v>65</v>
      </c>
      <c r="J215" s="62"/>
      <c r="K215" s="62"/>
      <c r="L215" s="62" t="s">
        <v>1003</v>
      </c>
    </row>
    <row r="216" spans="1:12" ht="39.6" customHeight="1" x14ac:dyDescent="0.25">
      <c r="A216" s="103"/>
      <c r="B216" s="26" t="s">
        <v>949</v>
      </c>
      <c r="C216" s="37" t="s">
        <v>1010</v>
      </c>
      <c r="D216" s="37" t="s">
        <v>1011</v>
      </c>
      <c r="E216" s="36" t="s">
        <v>41</v>
      </c>
      <c r="F216" s="37" t="s">
        <v>1012</v>
      </c>
      <c r="G216" s="50" t="s">
        <v>1013</v>
      </c>
      <c r="H216" s="20" t="s">
        <v>44</v>
      </c>
      <c r="I216" s="62" t="s">
        <v>65</v>
      </c>
      <c r="J216" s="62"/>
      <c r="K216" s="62"/>
      <c r="L216" s="62" t="s">
        <v>1014</v>
      </c>
    </row>
    <row r="217" spans="1:12" ht="39.6" customHeight="1" x14ac:dyDescent="0.25">
      <c r="A217" s="104"/>
      <c r="B217" s="26" t="s">
        <v>949</v>
      </c>
      <c r="C217" s="37" t="s">
        <v>1015</v>
      </c>
      <c r="D217" s="37" t="s">
        <v>1016</v>
      </c>
      <c r="E217" s="36" t="s">
        <v>41</v>
      </c>
      <c r="F217" s="37" t="s">
        <v>1017</v>
      </c>
      <c r="G217" s="50" t="s">
        <v>1018</v>
      </c>
      <c r="H217" s="20" t="s">
        <v>44</v>
      </c>
      <c r="I217" s="62" t="s">
        <v>45</v>
      </c>
      <c r="J217" s="62" t="s">
        <v>1019</v>
      </c>
      <c r="K217" s="62"/>
      <c r="L217" s="62" t="s">
        <v>1020</v>
      </c>
    </row>
    <row r="218" spans="1:12" ht="39.6" customHeight="1" x14ac:dyDescent="0.25">
      <c r="A218" s="102" t="s">
        <v>1021</v>
      </c>
      <c r="B218" s="39" t="s">
        <v>1022</v>
      </c>
      <c r="C218" s="37" t="s">
        <v>1023</v>
      </c>
      <c r="D218" s="57" t="s">
        <v>1024</v>
      </c>
      <c r="E218" s="36" t="s">
        <v>41</v>
      </c>
      <c r="F218" s="37" t="s">
        <v>1025</v>
      </c>
      <c r="G218" s="58" t="s">
        <v>1026</v>
      </c>
      <c r="H218" s="20" t="s">
        <v>64</v>
      </c>
      <c r="I218" s="62" t="s">
        <v>45</v>
      </c>
      <c r="J218" s="62" t="s">
        <v>1027</v>
      </c>
      <c r="K218" s="62" t="s">
        <v>449</v>
      </c>
      <c r="L218" s="62"/>
    </row>
    <row r="219" spans="1:12" ht="39.6" customHeight="1" x14ac:dyDescent="0.25">
      <c r="A219" s="103"/>
      <c r="B219" s="39" t="s">
        <v>1022</v>
      </c>
      <c r="C219" s="37" t="s">
        <v>1028</v>
      </c>
      <c r="D219" s="59" t="s">
        <v>1029</v>
      </c>
      <c r="E219" s="36" t="s">
        <v>41</v>
      </c>
      <c r="F219" s="37" t="s">
        <v>1030</v>
      </c>
      <c r="G219" s="58" t="s">
        <v>1031</v>
      </c>
      <c r="H219" s="20" t="s">
        <v>64</v>
      </c>
      <c r="I219" s="62" t="s">
        <v>45</v>
      </c>
      <c r="J219" s="62" t="s">
        <v>1032</v>
      </c>
      <c r="K219" s="62" t="s">
        <v>449</v>
      </c>
      <c r="L219" s="62"/>
    </row>
    <row r="220" spans="1:12" ht="105.6" customHeight="1" x14ac:dyDescent="0.25">
      <c r="A220" s="103"/>
      <c r="B220" s="39" t="s">
        <v>1022</v>
      </c>
      <c r="C220" s="37" t="s">
        <v>1033</v>
      </c>
      <c r="D220" s="59" t="s">
        <v>1034</v>
      </c>
      <c r="E220" s="36" t="s">
        <v>41</v>
      </c>
      <c r="F220" s="37" t="s">
        <v>1035</v>
      </c>
      <c r="G220" s="58" t="s">
        <v>1036</v>
      </c>
      <c r="H220" s="20" t="s">
        <v>64</v>
      </c>
      <c r="I220" s="62" t="s">
        <v>45</v>
      </c>
      <c r="J220" s="62" t="s">
        <v>1037</v>
      </c>
      <c r="K220" s="62"/>
      <c r="L220" s="62" t="s">
        <v>1038</v>
      </c>
    </row>
    <row r="221" spans="1:12" ht="79.2" customHeight="1" x14ac:dyDescent="0.25">
      <c r="A221" s="103"/>
      <c r="B221" s="39" t="s">
        <v>1022</v>
      </c>
      <c r="C221" s="37" t="s">
        <v>1039</v>
      </c>
      <c r="D221" s="59" t="s">
        <v>1040</v>
      </c>
      <c r="E221" s="36" t="s">
        <v>41</v>
      </c>
      <c r="F221" s="37" t="s">
        <v>1041</v>
      </c>
      <c r="G221" s="58" t="s">
        <v>1042</v>
      </c>
      <c r="H221" s="20" t="s">
        <v>64</v>
      </c>
      <c r="I221" s="62" t="s">
        <v>45</v>
      </c>
      <c r="J221" s="62" t="s">
        <v>1043</v>
      </c>
      <c r="K221" s="62"/>
      <c r="L221" s="62" t="s">
        <v>1044</v>
      </c>
    </row>
    <row r="222" spans="1:12" ht="66" customHeight="1" x14ac:dyDescent="0.25">
      <c r="A222" s="104"/>
      <c r="B222" s="23" t="s">
        <v>1045</v>
      </c>
      <c r="C222" s="37" t="s">
        <v>1046</v>
      </c>
      <c r="D222" s="37" t="s">
        <v>1047</v>
      </c>
      <c r="E222" s="36" t="s">
        <v>41</v>
      </c>
      <c r="F222" s="37" t="s">
        <v>1048</v>
      </c>
      <c r="G222" s="50" t="s">
        <v>1049</v>
      </c>
      <c r="H222" s="20" t="s">
        <v>50</v>
      </c>
      <c r="I222" s="62" t="s">
        <v>45</v>
      </c>
      <c r="J222" s="62" t="s">
        <v>1050</v>
      </c>
      <c r="K222" s="62"/>
      <c r="L222" s="62" t="s">
        <v>1051</v>
      </c>
    </row>
    <row r="223" spans="1:12" ht="79.2" customHeight="1" x14ac:dyDescent="0.25">
      <c r="A223" s="102" t="s">
        <v>1052</v>
      </c>
      <c r="B223" s="31" t="s">
        <v>1053</v>
      </c>
      <c r="C223" s="37"/>
      <c r="D223" s="57"/>
      <c r="E223" s="37"/>
      <c r="F223" s="37"/>
      <c r="G223" s="58"/>
      <c r="H223" s="62"/>
    </row>
    <row r="224" spans="1:12" ht="66" customHeight="1" x14ac:dyDescent="0.25">
      <c r="A224" s="103"/>
      <c r="B224" s="31" t="s">
        <v>1054</v>
      </c>
      <c r="C224" s="37"/>
      <c r="D224" s="59"/>
      <c r="E224" s="37"/>
      <c r="F224" s="37"/>
      <c r="G224" s="58"/>
      <c r="H224" s="62"/>
    </row>
    <row r="225" spans="1:8" ht="66" customHeight="1" x14ac:dyDescent="0.25">
      <c r="A225" s="104"/>
      <c r="B225" s="31" t="s">
        <v>1055</v>
      </c>
      <c r="C225" s="37"/>
      <c r="D225" s="59"/>
      <c r="E225" s="37"/>
      <c r="F225" s="37"/>
      <c r="G225" s="58"/>
      <c r="H225" s="62"/>
    </row>
  </sheetData>
  <autoFilter ref="A1:L225" xr:uid="{00000000-0009-0000-0000-000001000000}"/>
  <mergeCells count="8">
    <mergeCell ref="A161:A172"/>
    <mergeCell ref="A218:A222"/>
    <mergeCell ref="A223:A225"/>
    <mergeCell ref="A200:A202"/>
    <mergeCell ref="A203:A217"/>
    <mergeCell ref="A183:A199"/>
    <mergeCell ref="A178:A182"/>
    <mergeCell ref="A173:A17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进展统计</vt:lpstr>
      <vt:lpstr>AcuRev-100测试用例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Jingru Liu</dc:creator>
  <cp:lastModifiedBy>Zihan Gao</cp:lastModifiedBy>
  <dcterms:created xsi:type="dcterms:W3CDTF">2015-06-05T18:17:20Z</dcterms:created>
  <dcterms:modified xsi:type="dcterms:W3CDTF">2026-07-28T05:07:48Z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0x010100FC6EF75B038EAF45A672EB5EDDC6A306</vt:lpwstr>
  </property>
  <property fmtid="{D5CDD505-2E9C-101B-9397-08002B2CF9AE}" pid="3" name="MediaServiceImageTags">
    <vt:lpwstr/>
  </property>
</Properties>
</file>