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4"/>
  <workbookPr/>
  <mc:AlternateContent xmlns:mc="http://schemas.openxmlformats.org/markup-compatibility/2006">
    <mc:Choice Requires="x15">
      <x15ac:absPath xmlns:x15ac="http://schemas.microsoft.com/office/spreadsheetml/2010/11/ac" url="https://accuenergycom.sharepoint.com/sites/CN-Project-ResidentialACMeter/Shared Documents/常规/13 项目各领域交付件/23 SWE/02 设计开发/01 Address Table/"/>
    </mc:Choice>
  </mc:AlternateContent>
  <xr:revisionPtr revIDLastSave="1180" documentId="13_ncr:1_{CA0C9226-9D0C-4A0C-BFE6-E138D773265E}" xr6:coauthVersionLast="47" xr6:coauthVersionMax="47" xr10:uidLastSave="{CBD6027E-D40D-5B1B-B231-21C4B1884613}"/>
  <bookViews>
    <workbookView xWindow="-120" yWindow="-120" windowWidth="29040" windowHeight="15720" firstSheet="4" activeTab="4" xr2:uid="{00000000-000D-0000-FFFF-FFFF00000000}"/>
  </bookViews>
  <sheets>
    <sheet name="Version history" sheetId="7" r:id="rId1"/>
    <sheet name="Overview" sheetId="8" r:id="rId2"/>
    <sheet name="Information" sheetId="6" r:id="rId3"/>
    <sheet name="Basic Setting" sheetId="4" r:id="rId4"/>
    <sheet name="Wiring Check" sheetId="5" r:id="rId5"/>
    <sheet name="Real Time" sheetId="1" r:id="rId6"/>
    <sheet name="Energy" sheetId="2" r:id="rId7"/>
    <sheet name="Calibration" sheetId="3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5" l="1"/>
  <c r="D41" i="4" l="1"/>
  <c r="B41" i="4" s="1"/>
  <c r="E41" i="4"/>
  <c r="C41" i="4" s="1"/>
  <c r="D24" i="6"/>
  <c r="B24" i="6" s="1"/>
  <c r="E24" i="6"/>
  <c r="C24" i="6" s="1"/>
  <c r="D25" i="6"/>
  <c r="B25" i="6" s="1"/>
  <c r="E25" i="6"/>
  <c r="C25" i="6" s="1"/>
  <c r="E38" i="4"/>
  <c r="C38" i="4"/>
  <c r="D39" i="4"/>
  <c r="B39" i="4" s="1"/>
  <c r="E39" i="4"/>
  <c r="C39" i="4" s="1"/>
  <c r="D40" i="4"/>
  <c r="B40" i="4" s="1"/>
  <c r="E40" i="4"/>
  <c r="C40" i="4" s="1"/>
  <c r="D5" i="3"/>
  <c r="E5" i="3" s="1"/>
  <c r="C5" i="3"/>
  <c r="B5" i="3"/>
  <c r="B2" i="5"/>
  <c r="E2" i="5"/>
  <c r="C2" i="5" s="1"/>
  <c r="D3" i="5"/>
  <c r="B3" i="5" s="1"/>
  <c r="B9" i="3"/>
  <c r="E9" i="3"/>
  <c r="C9" i="3" s="1"/>
  <c r="D10" i="3"/>
  <c r="B10" i="3" s="1"/>
  <c r="E10" i="3"/>
  <c r="B3" i="3"/>
  <c r="E3" i="3"/>
  <c r="C3" i="3" s="1"/>
  <c r="D4" i="3"/>
  <c r="B4" i="3" s="1"/>
  <c r="E4" i="3"/>
  <c r="B83" i="4"/>
  <c r="E83" i="4"/>
  <c r="C83" i="4" s="1"/>
  <c r="B44" i="4"/>
  <c r="E44" i="4"/>
  <c r="C44" i="4" s="1"/>
  <c r="D45" i="4"/>
  <c r="B45" i="4" s="1"/>
  <c r="E45" i="4"/>
  <c r="C45" i="4" s="1"/>
  <c r="D46" i="4"/>
  <c r="B46" i="4" s="1"/>
  <c r="E46" i="4"/>
  <c r="C46" i="4" s="1"/>
  <c r="D47" i="4"/>
  <c r="B47" i="4" s="1"/>
  <c r="B3" i="4"/>
  <c r="E3" i="4"/>
  <c r="C3" i="4" s="1"/>
  <c r="D4" i="4"/>
  <c r="B4" i="4" s="1"/>
  <c r="E4" i="4"/>
  <c r="C4" i="4" s="1"/>
  <c r="D5" i="4"/>
  <c r="B5" i="4" s="1"/>
  <c r="B14" i="6"/>
  <c r="E14" i="6"/>
  <c r="C14" i="6" s="1"/>
  <c r="D15" i="6"/>
  <c r="B15" i="6" s="1"/>
  <c r="E15" i="6"/>
  <c r="C15" i="6" s="1"/>
  <c r="D16" i="6"/>
  <c r="B16" i="6" s="1"/>
  <c r="E16" i="6"/>
  <c r="C16" i="6" s="1"/>
  <c r="D17" i="6"/>
  <c r="B17" i="6" s="1"/>
  <c r="E17" i="6"/>
  <c r="C17" i="6" s="1"/>
  <c r="D18" i="6"/>
  <c r="B18" i="6" s="1"/>
  <c r="E18" i="6"/>
  <c r="C18" i="6" s="1"/>
  <c r="D19" i="6"/>
  <c r="B19" i="6" s="1"/>
  <c r="E19" i="6"/>
  <c r="C19" i="6" s="1"/>
  <c r="D20" i="6"/>
  <c r="B20" i="6" s="1"/>
  <c r="E20" i="6"/>
  <c r="C20" i="6" s="1"/>
  <c r="D21" i="6"/>
  <c r="B21" i="6" s="1"/>
  <c r="E21" i="6"/>
  <c r="C21" i="6" s="1"/>
  <c r="D22" i="6"/>
  <c r="B22" i="6" s="1"/>
  <c r="E22" i="6"/>
  <c r="C22" i="6" s="1"/>
  <c r="D23" i="6"/>
  <c r="B23" i="6" s="1"/>
  <c r="E23" i="6"/>
  <c r="C23" i="6" s="1"/>
  <c r="B9" i="6"/>
  <c r="E9" i="6"/>
  <c r="C9" i="6" s="1"/>
  <c r="D10" i="6"/>
  <c r="B10" i="6" s="1"/>
  <c r="E10" i="6"/>
  <c r="C10" i="6" s="1"/>
  <c r="D11" i="6"/>
  <c r="B11" i="6" s="1"/>
  <c r="E11" i="6"/>
  <c r="C11" i="6" s="1"/>
  <c r="D12" i="6"/>
  <c r="B12" i="6" s="1"/>
  <c r="E12" i="6"/>
  <c r="C12" i="6" s="1"/>
  <c r="B4" i="6"/>
  <c r="E4" i="6"/>
  <c r="C4" i="6" s="1"/>
  <c r="D5" i="6"/>
  <c r="B5" i="6" s="1"/>
  <c r="E5" i="6"/>
  <c r="C5" i="6" s="1"/>
  <c r="D6" i="6"/>
  <c r="B6" i="6" s="1"/>
  <c r="E6" i="6"/>
  <c r="C6" i="6" s="1"/>
  <c r="B7" i="6"/>
  <c r="E7" i="6"/>
  <c r="C7" i="6" s="1"/>
  <c r="B3" i="2"/>
  <c r="B3" i="1"/>
  <c r="E3" i="1"/>
  <c r="C3" i="1" s="1"/>
  <c r="D4" i="1"/>
  <c r="B4" i="1" s="1"/>
  <c r="E4" i="1"/>
  <c r="C4" i="1" s="1"/>
  <c r="D5" i="1"/>
  <c r="E5" i="1"/>
  <c r="D6" i="1"/>
  <c r="E6" i="1" s="1"/>
  <c r="B6" i="1"/>
  <c r="C5" i="1"/>
  <c r="B5" i="1"/>
  <c r="E3" i="2"/>
  <c r="D4" i="2" s="1"/>
  <c r="C3" i="2"/>
  <c r="C4" i="3" l="1"/>
  <c r="D84" i="4"/>
  <c r="D48" i="4"/>
  <c r="E47" i="4"/>
  <c r="C47" i="4" s="1"/>
  <c r="D6" i="4"/>
  <c r="E5" i="4"/>
  <c r="C5" i="4" s="1"/>
  <c r="C3" i="5"/>
  <c r="D4" i="5"/>
  <c r="E4" i="5" s="1"/>
  <c r="D11" i="3"/>
  <c r="C10" i="3"/>
  <c r="C6" i="1"/>
  <c r="D7" i="1"/>
  <c r="E7" i="1" s="1"/>
  <c r="C7" i="1"/>
  <c r="B4" i="2"/>
  <c r="E4" i="2"/>
  <c r="B6" i="4" l="1"/>
  <c r="E6" i="4"/>
  <c r="C6" i="4" s="1"/>
  <c r="D7" i="4"/>
  <c r="B48" i="4"/>
  <c r="E48" i="4"/>
  <c r="C48" i="4" s="1"/>
  <c r="D49" i="4"/>
  <c r="B84" i="4"/>
  <c r="E84" i="4"/>
  <c r="B4" i="5"/>
  <c r="B11" i="3"/>
  <c r="E11" i="3"/>
  <c r="D8" i="1"/>
  <c r="E8" i="1" s="1"/>
  <c r="B7" i="1"/>
  <c r="D5" i="2"/>
  <c r="C4" i="2"/>
  <c r="C84" i="4" l="1"/>
  <c r="D85" i="4"/>
  <c r="B49" i="4"/>
  <c r="E49" i="4"/>
  <c r="C49" i="4" s="1"/>
  <c r="D50" i="4"/>
  <c r="B7" i="4"/>
  <c r="E7" i="4"/>
  <c r="C7" i="4" s="1"/>
  <c r="D8" i="4"/>
  <c r="C4" i="5"/>
  <c r="D5" i="5"/>
  <c r="E5" i="5" s="1"/>
  <c r="C11" i="3"/>
  <c r="D12" i="3"/>
  <c r="D9" i="1"/>
  <c r="E9" i="1" s="1"/>
  <c r="C8" i="1"/>
  <c r="B8" i="1"/>
  <c r="E5" i="2"/>
  <c r="B5" i="2"/>
  <c r="B85" i="4" l="1"/>
  <c r="E85" i="4"/>
  <c r="B8" i="4"/>
  <c r="D9" i="4"/>
  <c r="E8" i="4"/>
  <c r="C8" i="4" s="1"/>
  <c r="B50" i="4"/>
  <c r="E50" i="4"/>
  <c r="C50" i="4" s="1"/>
  <c r="D51" i="4"/>
  <c r="B5" i="5"/>
  <c r="B12" i="3"/>
  <c r="E12" i="3"/>
  <c r="D10" i="1"/>
  <c r="E10" i="1" s="1"/>
  <c r="C9" i="1"/>
  <c r="B9" i="1"/>
  <c r="D6" i="2"/>
  <c r="C5" i="2"/>
  <c r="B9" i="4" l="1"/>
  <c r="E9" i="4"/>
  <c r="C9" i="4" s="1"/>
  <c r="D10" i="4"/>
  <c r="B51" i="4"/>
  <c r="E51" i="4"/>
  <c r="C51" i="4" s="1"/>
  <c r="D52" i="4"/>
  <c r="C85" i="4"/>
  <c r="D86" i="4"/>
  <c r="C5" i="5"/>
  <c r="D6" i="5"/>
  <c r="E6" i="5" s="1"/>
  <c r="C12" i="3"/>
  <c r="D13" i="3"/>
  <c r="D11" i="1"/>
  <c r="E11" i="1" s="1"/>
  <c r="C10" i="1"/>
  <c r="B10" i="1"/>
  <c r="E6" i="2"/>
  <c r="B6" i="2"/>
  <c r="B10" i="4" l="1"/>
  <c r="E10" i="4"/>
  <c r="C10" i="4" s="1"/>
  <c r="D11" i="4"/>
  <c r="B86" i="4"/>
  <c r="E86" i="4"/>
  <c r="B52" i="4"/>
  <c r="D53" i="4"/>
  <c r="E52" i="4"/>
  <c r="C52" i="4" s="1"/>
  <c r="B6" i="5"/>
  <c r="B13" i="3"/>
  <c r="E13" i="3"/>
  <c r="D12" i="1"/>
  <c r="E12" i="1" s="1"/>
  <c r="C11" i="1"/>
  <c r="B11" i="1"/>
  <c r="D7" i="2"/>
  <c r="C6" i="2"/>
  <c r="B53" i="4" l="1"/>
  <c r="E53" i="4"/>
  <c r="C53" i="4" s="1"/>
  <c r="D54" i="4"/>
  <c r="C86" i="4"/>
  <c r="D87" i="4"/>
  <c r="B11" i="4"/>
  <c r="D12" i="4"/>
  <c r="E11" i="4"/>
  <c r="C11" i="4" s="1"/>
  <c r="C6" i="5"/>
  <c r="D7" i="5"/>
  <c r="E7" i="5" s="1"/>
  <c r="C13" i="3"/>
  <c r="D14" i="3"/>
  <c r="D13" i="1"/>
  <c r="E13" i="1" s="1"/>
  <c r="C12" i="1"/>
  <c r="B12" i="1"/>
  <c r="E7" i="2"/>
  <c r="B7" i="2"/>
  <c r="B12" i="4" l="1"/>
  <c r="E12" i="4"/>
  <c r="C12" i="4" s="1"/>
  <c r="D13" i="4"/>
  <c r="B54" i="4"/>
  <c r="E54" i="4"/>
  <c r="C54" i="4" s="1"/>
  <c r="D55" i="4"/>
  <c r="B87" i="4"/>
  <c r="E87" i="4"/>
  <c r="B7" i="5"/>
  <c r="B14" i="3"/>
  <c r="E14" i="3"/>
  <c r="C13" i="1"/>
  <c r="B13" i="1"/>
  <c r="D14" i="1"/>
  <c r="E14" i="1" s="1"/>
  <c r="D8" i="2"/>
  <c r="C7" i="2"/>
  <c r="B13" i="4" l="1"/>
  <c r="E13" i="4"/>
  <c r="C13" i="4" s="1"/>
  <c r="D14" i="4"/>
  <c r="C87" i="4"/>
  <c r="D88" i="4"/>
  <c r="B55" i="4"/>
  <c r="E55" i="4"/>
  <c r="C55" i="4" s="1"/>
  <c r="D56" i="4"/>
  <c r="C7" i="5"/>
  <c r="D8" i="5"/>
  <c r="E8" i="5" s="1"/>
  <c r="C14" i="3"/>
  <c r="D15" i="3"/>
  <c r="C14" i="1"/>
  <c r="B14" i="1"/>
  <c r="D15" i="1"/>
  <c r="E15" i="1" s="1"/>
  <c r="E8" i="2"/>
  <c r="B8" i="2"/>
  <c r="B56" i="4" l="1"/>
  <c r="E56" i="4"/>
  <c r="C56" i="4" s="1"/>
  <c r="D57" i="4"/>
  <c r="B88" i="4"/>
  <c r="E88" i="4"/>
  <c r="B14" i="4"/>
  <c r="E14" i="4"/>
  <c r="C14" i="4" s="1"/>
  <c r="D15" i="4"/>
  <c r="B8" i="5"/>
  <c r="B15" i="3"/>
  <c r="E15" i="3"/>
  <c r="B15" i="1"/>
  <c r="D16" i="1"/>
  <c r="E16" i="1" s="1"/>
  <c r="C15" i="1"/>
  <c r="D9" i="2"/>
  <c r="C8" i="2"/>
  <c r="C88" i="4" l="1"/>
  <c r="D89" i="4"/>
  <c r="B15" i="4"/>
  <c r="E15" i="4"/>
  <c r="C15" i="4" s="1"/>
  <c r="D16" i="4"/>
  <c r="B57" i="4"/>
  <c r="E57" i="4"/>
  <c r="C57" i="4" s="1"/>
  <c r="D58" i="4"/>
  <c r="C8" i="5"/>
  <c r="D9" i="5"/>
  <c r="E9" i="5" s="1"/>
  <c r="C15" i="3"/>
  <c r="D16" i="3"/>
  <c r="D17" i="1"/>
  <c r="C16" i="1"/>
  <c r="B16" i="1"/>
  <c r="E9" i="2"/>
  <c r="B9" i="2"/>
  <c r="B16" i="4" l="1"/>
  <c r="E16" i="4"/>
  <c r="C16" i="4" s="1"/>
  <c r="D17" i="4"/>
  <c r="B89" i="4"/>
  <c r="E89" i="4"/>
  <c r="B58" i="4"/>
  <c r="E58" i="4"/>
  <c r="C58" i="4" s="1"/>
  <c r="D59" i="4"/>
  <c r="B9" i="5"/>
  <c r="B16" i="3"/>
  <c r="E16" i="3"/>
  <c r="D18" i="1"/>
  <c r="E18" i="1" s="1"/>
  <c r="E17" i="1"/>
  <c r="C17" i="1"/>
  <c r="B17" i="1"/>
  <c r="D19" i="1"/>
  <c r="E19" i="1" s="1"/>
  <c r="C18" i="1"/>
  <c r="B18" i="1"/>
  <c r="D10" i="2"/>
  <c r="C9" i="2"/>
  <c r="B59" i="4" l="1"/>
  <c r="E59" i="4"/>
  <c r="C59" i="4" s="1"/>
  <c r="D60" i="4"/>
  <c r="C89" i="4"/>
  <c r="D90" i="4"/>
  <c r="B17" i="4"/>
  <c r="E17" i="4"/>
  <c r="C17" i="4" s="1"/>
  <c r="D18" i="4"/>
  <c r="C9" i="5"/>
  <c r="D10" i="5"/>
  <c r="E10" i="5" s="1"/>
  <c r="C16" i="3"/>
  <c r="D17" i="3"/>
  <c r="C19" i="1"/>
  <c r="B19" i="1"/>
  <c r="D20" i="1"/>
  <c r="E20" i="1" s="1"/>
  <c r="E10" i="2"/>
  <c r="B10" i="2"/>
  <c r="B18" i="4" l="1"/>
  <c r="D19" i="4"/>
  <c r="E18" i="4"/>
  <c r="C18" i="4" s="1"/>
  <c r="B90" i="4"/>
  <c r="E90" i="4"/>
  <c r="B60" i="4"/>
  <c r="D61" i="4"/>
  <c r="E60" i="4"/>
  <c r="C60" i="4" s="1"/>
  <c r="B10" i="5"/>
  <c r="B17" i="3"/>
  <c r="E17" i="3"/>
  <c r="D21" i="1"/>
  <c r="E21" i="1" s="1"/>
  <c r="C20" i="1"/>
  <c r="B20" i="1"/>
  <c r="C10" i="2"/>
  <c r="D11" i="2"/>
  <c r="C90" i="4" l="1"/>
  <c r="D91" i="4"/>
  <c r="B61" i="4"/>
  <c r="E61" i="4"/>
  <c r="C61" i="4" s="1"/>
  <c r="D62" i="4"/>
  <c r="B19" i="4"/>
  <c r="E19" i="4"/>
  <c r="C19" i="4" s="1"/>
  <c r="D20" i="4"/>
  <c r="C10" i="5"/>
  <c r="D11" i="5"/>
  <c r="E11" i="5" s="1"/>
  <c r="C17" i="3"/>
  <c r="D18" i="3"/>
  <c r="D22" i="1"/>
  <c r="E22" i="1" s="1"/>
  <c r="C21" i="1"/>
  <c r="B21" i="1"/>
  <c r="B11" i="2"/>
  <c r="E11" i="2"/>
  <c r="B20" i="4" l="1"/>
  <c r="E20" i="4"/>
  <c r="C20" i="4" s="1"/>
  <c r="D21" i="4"/>
  <c r="B62" i="4"/>
  <c r="E62" i="4"/>
  <c r="C62" i="4" s="1"/>
  <c r="D63" i="4"/>
  <c r="B91" i="4"/>
  <c r="E91" i="4"/>
  <c r="B11" i="5"/>
  <c r="B18" i="3"/>
  <c r="E18" i="3"/>
  <c r="D23" i="1"/>
  <c r="E23" i="1" s="1"/>
  <c r="C22" i="1"/>
  <c r="B22" i="1"/>
  <c r="D12" i="2"/>
  <c r="C11" i="2"/>
  <c r="C91" i="4" l="1"/>
  <c r="D92" i="4"/>
  <c r="B63" i="4"/>
  <c r="E63" i="4"/>
  <c r="C63" i="4" s="1"/>
  <c r="D64" i="4"/>
  <c r="B21" i="4"/>
  <c r="E21" i="4"/>
  <c r="C21" i="4" s="1"/>
  <c r="D22" i="4"/>
  <c r="C11" i="5"/>
  <c r="D12" i="5"/>
  <c r="E12" i="5" s="1"/>
  <c r="D13" i="5" s="1"/>
  <c r="C18" i="3"/>
  <c r="D19" i="3"/>
  <c r="D24" i="1"/>
  <c r="E24" i="1" s="1"/>
  <c r="C23" i="1"/>
  <c r="B23" i="1"/>
  <c r="B12" i="2"/>
  <c r="E12" i="2"/>
  <c r="E13" i="5" l="1"/>
  <c r="B13" i="5"/>
  <c r="B22" i="4"/>
  <c r="E22" i="4"/>
  <c r="C22" i="4" s="1"/>
  <c r="D23" i="4"/>
  <c r="B64" i="4"/>
  <c r="E64" i="4"/>
  <c r="C64" i="4" s="1"/>
  <c r="D65" i="4"/>
  <c r="B92" i="4"/>
  <c r="E92" i="4"/>
  <c r="B12" i="5"/>
  <c r="C12" i="5"/>
  <c r="B19" i="3"/>
  <c r="E19" i="3"/>
  <c r="D25" i="1"/>
  <c r="E25" i="1" s="1"/>
  <c r="C24" i="1"/>
  <c r="B24" i="1"/>
  <c r="D13" i="2"/>
  <c r="C12" i="2"/>
  <c r="C13" i="5" l="1"/>
  <c r="D14" i="5"/>
  <c r="C92" i="4"/>
  <c r="D93" i="4"/>
  <c r="B23" i="4"/>
  <c r="E23" i="4"/>
  <c r="C23" i="4" s="1"/>
  <c r="D24" i="4"/>
  <c r="B65" i="4"/>
  <c r="E65" i="4"/>
  <c r="C65" i="4" s="1"/>
  <c r="D66" i="4"/>
  <c r="C19" i="3"/>
  <c r="D20" i="3"/>
  <c r="D26" i="1"/>
  <c r="E26" i="1" s="1"/>
  <c r="C25" i="1"/>
  <c r="B25" i="1"/>
  <c r="E13" i="2"/>
  <c r="B13" i="2"/>
  <c r="E14" i="5" l="1"/>
  <c r="B14" i="5"/>
  <c r="B66" i="4"/>
  <c r="D67" i="4"/>
  <c r="E66" i="4"/>
  <c r="C66" i="4" s="1"/>
  <c r="B93" i="4"/>
  <c r="E93" i="4"/>
  <c r="B24" i="4"/>
  <c r="E24" i="4"/>
  <c r="C24" i="4" s="1"/>
  <c r="D25" i="4"/>
  <c r="B20" i="3"/>
  <c r="E20" i="3"/>
  <c r="C26" i="1"/>
  <c r="B26" i="1"/>
  <c r="D27" i="1"/>
  <c r="E27" i="1" s="1"/>
  <c r="C13" i="2"/>
  <c r="D14" i="2"/>
  <c r="C14" i="5" l="1"/>
  <c r="D15" i="5"/>
  <c r="B25" i="4"/>
  <c r="D26" i="4"/>
  <c r="E25" i="4"/>
  <c r="C25" i="4" s="1"/>
  <c r="C93" i="4"/>
  <c r="D94" i="4"/>
  <c r="B67" i="4"/>
  <c r="E67" i="4"/>
  <c r="C67" i="4" s="1"/>
  <c r="D68" i="4"/>
  <c r="C20" i="3"/>
  <c r="D21" i="3"/>
  <c r="C27" i="1"/>
  <c r="B27" i="1"/>
  <c r="D28" i="1"/>
  <c r="E28" i="1" s="1"/>
  <c r="E14" i="2"/>
  <c r="B14" i="2"/>
  <c r="E15" i="5" l="1"/>
  <c r="B15" i="5"/>
  <c r="B94" i="4"/>
  <c r="E94" i="4"/>
  <c r="B68" i="4"/>
  <c r="E68" i="4"/>
  <c r="C68" i="4" s="1"/>
  <c r="D69" i="4"/>
  <c r="B26" i="4"/>
  <c r="E26" i="4"/>
  <c r="C26" i="4" s="1"/>
  <c r="D27" i="4"/>
  <c r="B21" i="3"/>
  <c r="E21" i="3"/>
  <c r="B28" i="1"/>
  <c r="D29" i="1"/>
  <c r="E29" i="1" s="1"/>
  <c r="C28" i="1"/>
  <c r="D15" i="2"/>
  <c r="C14" i="2"/>
  <c r="D16" i="5" l="1"/>
  <c r="C15" i="5"/>
  <c r="B27" i="4"/>
  <c r="E27" i="4"/>
  <c r="C27" i="4" s="1"/>
  <c r="D28" i="4"/>
  <c r="C94" i="4"/>
  <c r="D95" i="4"/>
  <c r="B69" i="4"/>
  <c r="E69" i="4"/>
  <c r="C69" i="4" s="1"/>
  <c r="D70" i="4"/>
  <c r="C21" i="3"/>
  <c r="D22" i="3"/>
  <c r="D30" i="1"/>
  <c r="E30" i="1" s="1"/>
  <c r="C29" i="1"/>
  <c r="B29" i="1"/>
  <c r="E15" i="2"/>
  <c r="B15" i="2"/>
  <c r="E16" i="5" l="1"/>
  <c r="B16" i="5"/>
  <c r="B70" i="4"/>
  <c r="E70" i="4"/>
  <c r="C70" i="4" s="1"/>
  <c r="D71" i="4"/>
  <c r="B95" i="4"/>
  <c r="E95" i="4"/>
  <c r="B28" i="4"/>
  <c r="E28" i="4"/>
  <c r="C28" i="4" s="1"/>
  <c r="D29" i="4"/>
  <c r="B22" i="3"/>
  <c r="E22" i="3"/>
  <c r="D31" i="1"/>
  <c r="E31" i="1" s="1"/>
  <c r="C30" i="1"/>
  <c r="B30" i="1"/>
  <c r="D16" i="2"/>
  <c r="C15" i="2"/>
  <c r="C16" i="5" l="1"/>
  <c r="D17" i="5"/>
  <c r="C95" i="4"/>
  <c r="D96" i="4"/>
  <c r="B29" i="4"/>
  <c r="E29" i="4"/>
  <c r="C29" i="4" s="1"/>
  <c r="D30" i="4"/>
  <c r="B71" i="4"/>
  <c r="D72" i="4"/>
  <c r="E71" i="4"/>
  <c r="C71" i="4" s="1"/>
  <c r="C22" i="3"/>
  <c r="D23" i="3"/>
  <c r="D32" i="1"/>
  <c r="E32" i="1" s="1"/>
  <c r="C31" i="1"/>
  <c r="B31" i="1"/>
  <c r="E16" i="2"/>
  <c r="B16" i="2"/>
  <c r="E17" i="5" l="1"/>
  <c r="B17" i="5"/>
  <c r="B72" i="4"/>
  <c r="E72" i="4"/>
  <c r="C72" i="4" s="1"/>
  <c r="D73" i="4"/>
  <c r="B30" i="4"/>
  <c r="E30" i="4"/>
  <c r="C30" i="4" s="1"/>
  <c r="D31" i="4"/>
  <c r="B96" i="4"/>
  <c r="E96" i="4"/>
  <c r="B23" i="3"/>
  <c r="E23" i="3"/>
  <c r="D33" i="1"/>
  <c r="E33" i="1" s="1"/>
  <c r="C32" i="1"/>
  <c r="B32" i="1"/>
  <c r="D17" i="2"/>
  <c r="C16" i="2"/>
  <c r="C17" i="5" l="1"/>
  <c r="D18" i="5"/>
  <c r="C96" i="4"/>
  <c r="D97" i="4"/>
  <c r="B31" i="4"/>
  <c r="D32" i="4"/>
  <c r="E31" i="4"/>
  <c r="C31" i="4" s="1"/>
  <c r="B73" i="4"/>
  <c r="E73" i="4"/>
  <c r="C73" i="4" s="1"/>
  <c r="D74" i="4"/>
  <c r="C23" i="3"/>
  <c r="D24" i="3"/>
  <c r="D34" i="1"/>
  <c r="E34" i="1" s="1"/>
  <c r="C33" i="1"/>
  <c r="B33" i="1"/>
  <c r="E17" i="2"/>
  <c r="B17" i="2"/>
  <c r="E18" i="5" l="1"/>
  <c r="C18" i="5" s="1"/>
  <c r="B18" i="5"/>
  <c r="B74" i="4"/>
  <c r="D75" i="4"/>
  <c r="E74" i="4"/>
  <c r="C74" i="4" s="1"/>
  <c r="B97" i="4"/>
  <c r="E97" i="4"/>
  <c r="B32" i="4"/>
  <c r="D33" i="4"/>
  <c r="E32" i="4"/>
  <c r="C32" i="4" s="1"/>
  <c r="B24" i="3"/>
  <c r="E24" i="3"/>
  <c r="B34" i="1"/>
  <c r="D35" i="1"/>
  <c r="E35" i="1" s="1"/>
  <c r="C34" i="1"/>
  <c r="C17" i="2"/>
  <c r="D18" i="2"/>
  <c r="B75" i="4" l="1"/>
  <c r="E75" i="4"/>
  <c r="C75" i="4" s="1"/>
  <c r="D76" i="4"/>
  <c r="B33" i="4"/>
  <c r="E33" i="4"/>
  <c r="C33" i="4" s="1"/>
  <c r="D34" i="4"/>
  <c r="C97" i="4"/>
  <c r="D98" i="4"/>
  <c r="C24" i="3"/>
  <c r="D25" i="3"/>
  <c r="B35" i="1"/>
  <c r="C35" i="1"/>
  <c r="D36" i="1"/>
  <c r="E36" i="1" s="1"/>
  <c r="B18" i="2"/>
  <c r="E18" i="2"/>
  <c r="B98" i="4" l="1"/>
  <c r="E98" i="4"/>
  <c r="B34" i="4"/>
  <c r="E34" i="4"/>
  <c r="C34" i="4" s="1"/>
  <c r="D35" i="4"/>
  <c r="B76" i="4"/>
  <c r="E76" i="4"/>
  <c r="C76" i="4" s="1"/>
  <c r="D77" i="4"/>
  <c r="B25" i="3"/>
  <c r="E25" i="3"/>
  <c r="B36" i="1"/>
  <c r="C36" i="1"/>
  <c r="D37" i="1"/>
  <c r="E37" i="1" s="1"/>
  <c r="D19" i="2"/>
  <c r="C18" i="2"/>
  <c r="B35" i="4" l="1"/>
  <c r="E35" i="4"/>
  <c r="C35" i="4" s="1"/>
  <c r="D36" i="4"/>
  <c r="B77" i="4"/>
  <c r="E77" i="4"/>
  <c r="C77" i="4" s="1"/>
  <c r="D78" i="4"/>
  <c r="C98" i="4"/>
  <c r="D99" i="4"/>
  <c r="C25" i="3"/>
  <c r="D26" i="3"/>
  <c r="B37" i="1"/>
  <c r="C37" i="1"/>
  <c r="D38" i="1"/>
  <c r="E38" i="1" s="1"/>
  <c r="E19" i="2"/>
  <c r="B19" i="2"/>
  <c r="B36" i="4" l="1"/>
  <c r="E36" i="4"/>
  <c r="C36" i="4" s="1"/>
  <c r="D37" i="4"/>
  <c r="B99" i="4"/>
  <c r="E99" i="4"/>
  <c r="B78" i="4"/>
  <c r="E78" i="4"/>
  <c r="C78" i="4" s="1"/>
  <c r="D79" i="4"/>
  <c r="B26" i="3"/>
  <c r="E26" i="3"/>
  <c r="C38" i="1"/>
  <c r="B38" i="1"/>
  <c r="D39" i="1"/>
  <c r="D20" i="2"/>
  <c r="C19" i="2"/>
  <c r="E79" i="4" l="1"/>
  <c r="C79" i="4" s="1"/>
  <c r="D80" i="4"/>
  <c r="B79" i="4"/>
  <c r="C99" i="4"/>
  <c r="D100" i="4"/>
  <c r="B37" i="4"/>
  <c r="E37" i="4"/>
  <c r="C37" i="4" s="1"/>
  <c r="D38" i="4"/>
  <c r="C26" i="3"/>
  <c r="D27" i="3"/>
  <c r="E39" i="1"/>
  <c r="D40" i="1"/>
  <c r="C39" i="1"/>
  <c r="B39" i="1"/>
  <c r="E20" i="2"/>
  <c r="B20" i="2"/>
  <c r="B80" i="4" l="1"/>
  <c r="E80" i="4"/>
  <c r="C80" i="4" s="1"/>
  <c r="B38" i="4"/>
  <c r="B100" i="4"/>
  <c r="E100" i="4"/>
  <c r="B27" i="3"/>
  <c r="E27" i="3"/>
  <c r="B40" i="1"/>
  <c r="E40" i="1"/>
  <c r="C40" i="1" s="1"/>
  <c r="D41" i="1"/>
  <c r="D21" i="2"/>
  <c r="C20" i="2"/>
  <c r="C100" i="4" l="1"/>
  <c r="D101" i="4"/>
  <c r="C27" i="3"/>
  <c r="D28" i="3"/>
  <c r="B41" i="1"/>
  <c r="E41" i="1"/>
  <c r="C41" i="1" s="1"/>
  <c r="D42" i="1"/>
  <c r="E21" i="2"/>
  <c r="B21" i="2"/>
  <c r="B101" i="4" l="1"/>
  <c r="E101" i="4"/>
  <c r="B28" i="3"/>
  <c r="E28" i="3"/>
  <c r="B42" i="1"/>
  <c r="E42" i="1"/>
  <c r="C42" i="1" s="1"/>
  <c r="D43" i="1"/>
  <c r="D22" i="2"/>
  <c r="C21" i="2"/>
  <c r="C101" i="4" l="1"/>
  <c r="D102" i="4"/>
  <c r="C28" i="3"/>
  <c r="D29" i="3"/>
  <c r="B43" i="1"/>
  <c r="E43" i="1"/>
  <c r="C43" i="1" s="1"/>
  <c r="E22" i="2"/>
  <c r="B22" i="2"/>
  <c r="B102" i="4" l="1"/>
  <c r="E102" i="4"/>
  <c r="B29" i="3"/>
  <c r="E29" i="3"/>
  <c r="D23" i="2"/>
  <c r="C22" i="2"/>
  <c r="C102" i="4" l="1"/>
  <c r="D103" i="4"/>
  <c r="C29" i="3"/>
  <c r="D30" i="3"/>
  <c r="E23" i="2"/>
  <c r="B23" i="2"/>
  <c r="B103" i="4" l="1"/>
  <c r="E103" i="4"/>
  <c r="B30" i="3"/>
  <c r="E30" i="3"/>
  <c r="D24" i="2"/>
  <c r="C23" i="2"/>
  <c r="C103" i="4" l="1"/>
  <c r="D104" i="4"/>
  <c r="C30" i="3"/>
  <c r="D31" i="3"/>
  <c r="E24" i="2"/>
  <c r="B24" i="2"/>
  <c r="B104" i="4" l="1"/>
  <c r="E104" i="4"/>
  <c r="B31" i="3"/>
  <c r="E31" i="3"/>
  <c r="C24" i="2"/>
  <c r="D25" i="2"/>
  <c r="C104" i="4" l="1"/>
  <c r="D105" i="4"/>
  <c r="C31" i="3"/>
  <c r="D32" i="3"/>
  <c r="B25" i="2"/>
  <c r="E25" i="2"/>
  <c r="B105" i="4" l="1"/>
  <c r="E105" i="4"/>
  <c r="B32" i="3"/>
  <c r="E32" i="3"/>
  <c r="D26" i="2"/>
  <c r="C25" i="2"/>
  <c r="C105" i="4" l="1"/>
  <c r="D106" i="4"/>
  <c r="C32" i="3"/>
  <c r="D33" i="3"/>
  <c r="E26" i="2"/>
  <c r="B26" i="2"/>
  <c r="B106" i="4" l="1"/>
  <c r="E106" i="4"/>
  <c r="B33" i="3"/>
  <c r="E33" i="3"/>
  <c r="D27" i="2"/>
  <c r="C26" i="2"/>
  <c r="D107" i="4" l="1"/>
  <c r="C106" i="4"/>
  <c r="C33" i="3"/>
  <c r="D34" i="3"/>
  <c r="E27" i="2"/>
  <c r="B27" i="2"/>
  <c r="B107" i="4" l="1"/>
  <c r="E107" i="4"/>
  <c r="C107" i="4" s="1"/>
  <c r="B34" i="3"/>
  <c r="E34" i="3"/>
  <c r="D28" i="2"/>
  <c r="C27" i="2"/>
  <c r="C34" i="3" l="1"/>
  <c r="D35" i="3"/>
  <c r="E28" i="2"/>
  <c r="B28" i="2"/>
  <c r="B35" i="3" l="1"/>
  <c r="E35" i="3"/>
  <c r="D29" i="2"/>
  <c r="C28" i="2"/>
  <c r="C35" i="3" l="1"/>
  <c r="D36" i="3"/>
  <c r="E29" i="2"/>
  <c r="B29" i="2"/>
  <c r="B36" i="3" l="1"/>
  <c r="E36" i="3"/>
  <c r="D30" i="2"/>
  <c r="C29" i="2"/>
  <c r="C36" i="3" l="1"/>
  <c r="D37" i="3"/>
  <c r="E30" i="2"/>
  <c r="B30" i="2"/>
  <c r="B37" i="3" l="1"/>
  <c r="E37" i="3"/>
  <c r="D31" i="2"/>
  <c r="C30" i="2"/>
  <c r="C37" i="3" l="1"/>
  <c r="D38" i="3"/>
  <c r="E31" i="2"/>
  <c r="B31" i="2"/>
  <c r="B38" i="3" l="1"/>
  <c r="E38" i="3"/>
  <c r="C38" i="3" s="1"/>
  <c r="C31" i="2"/>
  <c r="D32" i="2"/>
  <c r="E32" i="2" l="1"/>
  <c r="B32" i="2"/>
  <c r="D33" i="2" l="1"/>
  <c r="C32" i="2"/>
  <c r="E33" i="2" l="1"/>
  <c r="B33" i="2"/>
  <c r="D34" i="2" l="1"/>
  <c r="C33" i="2"/>
  <c r="E34" i="2" l="1"/>
  <c r="B34" i="2"/>
  <c r="D35" i="2" l="1"/>
  <c r="C34" i="2"/>
  <c r="E35" i="2" l="1"/>
  <c r="B35" i="2"/>
  <c r="D36" i="2" l="1"/>
  <c r="C35" i="2"/>
  <c r="E36" i="2" l="1"/>
  <c r="B36" i="2"/>
  <c r="D37" i="2" l="1"/>
  <c r="C36" i="2"/>
  <c r="E37" i="2" l="1"/>
  <c r="B37" i="2"/>
  <c r="D38" i="2" l="1"/>
  <c r="C37" i="2"/>
  <c r="E38" i="2" l="1"/>
  <c r="C38" i="2" s="1"/>
  <c r="B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tc={0576A7BE-852E-436C-A0A7-85C9071BCA7F}</author>
    <author>tc={1C27050B-34C1-4377-8022-29F5BD768F65}</author>
    <author>tc={2322EA14-F1F1-4F84-9F26-E4845EDAFE18}</author>
  </authors>
  <commentList>
    <comment ref="F3" authorId="0" shapeId="0" xr:uid="{0576A7BE-852E-436C-A0A7-85C9071BCA7F}">
      <text>
        <t>[Threaded comment]
Your version of Excel allows you to read this threaded comment; however, any edits to it will get removed if the file is opened in a newer version of Excel. Learn more: https://go.microsoft.com/fwlink/?linkid=870924
Comment:
    这里原来是 RS485 协议选择</t>
      </text>
    </comment>
    <comment ref="F19" authorId="1" shapeId="0" xr:uid="{1C27050B-34C1-4377-8022-29F5BD768F65}">
      <text>
        <t>[Threaded comment]
Your version of Excel allows you to read this threaded comment; however, any edits to it will get removed if the file is opened in a newer version of Excel. Learn more: https://go.microsoft.com/fwlink/?linkid=870924
Comment:
    这里原来是 RS485 协议选择</t>
      </text>
    </comment>
    <comment ref="J45" authorId="2" shapeId="0" xr:uid="{2322EA14-F1F1-4F84-9F26-E4845EDAFE18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2026-05-22 By Shaohang Cui：
可能只支持 60 Hz(待定）</t>
      </text>
    </comment>
  </commentList>
</comments>
</file>

<file path=xl/sharedStrings.xml><?xml version="1.0" encoding="utf-8"?>
<sst xmlns="http://schemas.openxmlformats.org/spreadsheetml/2006/main" count="875" uniqueCount="415">
  <si>
    <t>Version</t>
  </si>
  <si>
    <t>Changes</t>
  </si>
  <si>
    <t>Author</t>
  </si>
  <si>
    <t>Date</t>
  </si>
  <si>
    <t>Internal Firmware Version</t>
  </si>
  <si>
    <t>External Firmware Version</t>
  </si>
  <si>
    <t>v1.01</t>
  </si>
  <si>
    <t>Initial definition, according to PRS.</t>
  </si>
  <si>
    <t>Zhouxiong Zhang
Zhenjiang Guo</t>
  </si>
  <si>
    <t>v1.01p01</t>
    <phoneticPr fontId="2" type="noConversion"/>
  </si>
  <si>
    <t>增加USB转TTL对应串口的波特率和极性的地址</t>
  </si>
  <si>
    <t>Zhouxiong Zhang</t>
  </si>
  <si>
    <t>依 PRS v1.04 / SRS v1.02 决策更新:
脉冲常数(电/LED)可配置0.1~50imp/kWh,
定点编码=实际×100,LED默认改50;
序列号格式改 MAC(YY+30)MMabcde;
取消认证/标准分型,仅AcuRev-101(操作由铅封开关区分);
新增 Model/Manufacturer/Device Status 寄存器
 LCD背光当前不点亮;
USB与RS-485功能一致(各自独立波特率/校验,共享从机地址,可同时连接).</t>
  </si>
  <si>
    <t>Zhenjiang Guo</t>
  </si>
  <si>
    <t>Block</t>
  </si>
  <si>
    <t>Sector</t>
  </si>
  <si>
    <t>Sheet</t>
  </si>
  <si>
    <t>Start(Hex)</t>
  </si>
  <si>
    <t>End(Hex)</t>
  </si>
  <si>
    <t>Length(reg num)</t>
  </si>
  <si>
    <t>Comments</t>
  </si>
  <si>
    <t>Information</t>
    <phoneticPr fontId="2" type="noConversion"/>
  </si>
  <si>
    <t>Firmware Version Info</t>
  </si>
  <si>
    <t>Information</t>
  </si>
  <si>
    <t>0xF000</t>
  </si>
  <si>
    <t>0xF005</t>
  </si>
  <si>
    <t>Bootloader Info</t>
  </si>
  <si>
    <t>0xF010</t>
  </si>
  <si>
    <t>0xF017</t>
  </si>
  <si>
    <t>Product Info</t>
  </si>
  <si>
    <t>0xF040</t>
  </si>
  <si>
    <t>0xF070</t>
    <phoneticPr fontId="2" type="noConversion"/>
  </si>
  <si>
    <t>Basic Settings</t>
  </si>
  <si>
    <t>System Settings</t>
    <phoneticPr fontId="2" type="noConversion"/>
  </si>
  <si>
    <t>0x1000</t>
  </si>
  <si>
    <t>0x1028</t>
  </si>
  <si>
    <t>Metrology Settings</t>
  </si>
  <si>
    <t>0x1040</t>
  </si>
  <si>
    <t>0x1069</t>
  </si>
  <si>
    <t>Operations</t>
  </si>
  <si>
    <t>0x1130</t>
  </si>
  <si>
    <t>0x1148</t>
    <phoneticPr fontId="2" type="noConversion"/>
  </si>
  <si>
    <t>Wiring Check</t>
    <phoneticPr fontId="2" type="noConversion"/>
  </si>
  <si>
    <t>Wiring Check</t>
  </si>
  <si>
    <t>0x3000</t>
  </si>
  <si>
    <t>0x301D</t>
  </si>
  <si>
    <t>Real Time</t>
  </si>
  <si>
    <t>Real time basic parameters（100ms)</t>
  </si>
  <si>
    <t>0x9050</t>
    <phoneticPr fontId="2" type="noConversion"/>
  </si>
  <si>
    <t>0x90A3</t>
    <phoneticPr fontId="2" type="noConversion"/>
  </si>
  <si>
    <t>Energy</t>
    <phoneticPr fontId="2" type="noConversion"/>
  </si>
  <si>
    <t>Energy</t>
  </si>
  <si>
    <t>Energy（1S）</t>
  </si>
  <si>
    <t>0x4A00</t>
  </si>
  <si>
    <t>0x4A47</t>
    <phoneticPr fontId="2" type="noConversion"/>
  </si>
  <si>
    <t>Calibration</t>
    <phoneticPr fontId="2" type="noConversion"/>
  </si>
  <si>
    <t>Calibration Commands</t>
  </si>
  <si>
    <t>Calibration</t>
  </si>
  <si>
    <t>0x2000</t>
  </si>
  <si>
    <t>0x2002</t>
  </si>
  <si>
    <t>Calibration OffSet Coef（50Hz/60Hz）</t>
  </si>
  <si>
    <t>0x2010</t>
  </si>
  <si>
    <t>0x204B</t>
  </si>
  <si>
    <t>Start(Dec)</t>
  </si>
  <si>
    <t>End(Dec)</t>
  </si>
  <si>
    <t>Description</t>
  </si>
  <si>
    <t>Data type</t>
  </si>
  <si>
    <t>RW</t>
  </si>
  <si>
    <t>Reg Num</t>
    <phoneticPr fontId="2" type="noConversion"/>
  </si>
  <si>
    <t>Range</t>
  </si>
  <si>
    <t>Default</t>
  </si>
  <si>
    <t>Fireware &amp; Product information:03H Read</t>
  </si>
  <si>
    <t>Firmware Version Info</t>
    <phoneticPr fontId="2" type="noConversion"/>
  </si>
  <si>
    <t>Firmware version</t>
    <phoneticPr fontId="2" type="noConversion"/>
  </si>
  <si>
    <t>uint8_t</t>
  </si>
  <si>
    <t>R</t>
  </si>
  <si>
    <t>In the format like x.yz (e.g., 1.01)</t>
  </si>
  <si>
    <t>determined by firmware</t>
  </si>
  <si>
    <t>Firmware release date</t>
  </si>
  <si>
    <t>In the format like YYMMDD (221228)</t>
  </si>
  <si>
    <t>Firmware patch number</t>
  </si>
  <si>
    <t>In the format like xy (01)</t>
  </si>
  <si>
    <t>Update(0x6A to write)</t>
    <phoneticPr fontId="2" type="noConversion"/>
  </si>
  <si>
    <t>Device entry update</t>
  </si>
  <si>
    <t>W</t>
  </si>
  <si>
    <t>0xA1,0x58,0x58,0xA1</t>
  </si>
  <si>
    <t>bootloader product string</t>
  </si>
  <si>
    <t>e.g. MAA1</t>
  </si>
  <si>
    <t>determined by boot</t>
  </si>
  <si>
    <t>bootloader version</t>
  </si>
  <si>
    <t>bootloader release date</t>
  </si>
  <si>
    <t>ASCII, in format of YYMMDD (e.g. 241108)</t>
  </si>
  <si>
    <t>bootloader patch number</t>
  </si>
  <si>
    <t>Product Info
(0x6A to write in factory)</t>
  </si>
  <si>
    <t>Serial Number</t>
  </si>
  <si>
    <t>R/W</t>
  </si>
  <si>
    <t>In the format like MAC(YY+30)MMabcde (PRS v1.04 / SRS v1.02)</t>
  </si>
  <si>
    <t>Hardware version</t>
  </si>
  <si>
    <t>In the format like x.yz (e.g., 1.01)
The main version and sub-version are released to the factory by the hardware engineers from the R&amp;D department.</t>
    <phoneticPr fontId="2" type="noConversion"/>
  </si>
  <si>
    <t>Function Model Type</t>
  </si>
  <si>
    <t>uint16_t</t>
  </si>
  <si>
    <t xml:space="preserve">0: AcuRev-101 </t>
  </si>
  <si>
    <t>Reserved(1320 Reserved)</t>
    <phoneticPr fontId="2" type="noConversion"/>
  </si>
  <si>
    <t>Reserved(1320 Current Input Type)</t>
  </si>
  <si>
    <t>Reserved(1320 Power Supply Type)</t>
  </si>
  <si>
    <t>Reserved(MAC address(port3))</t>
  </si>
  <si>
    <t>Certification Type</t>
    <phoneticPr fontId="2" type="noConversion"/>
  </si>
  <si>
    <t>0: None; 1: MC;  Default:0</t>
  </si>
  <si>
    <t>Reserved(1320 Reserved)</t>
  </si>
  <si>
    <t>Set the register to 0</t>
  </si>
  <si>
    <t>Hardware Patch Number</t>
  </si>
  <si>
    <t>In the format like xy (01)
The hardware patch version. The content of this register is controlled and configured by the factory.</t>
    <phoneticPr fontId="2" type="noConversion"/>
  </si>
  <si>
    <t>Model</t>
  </si>
  <si>
    <t>Model name string (ASCII)</t>
  </si>
  <si>
    <t>AcuRev-101</t>
  </si>
  <si>
    <t>Manufacturer</t>
  </si>
  <si>
    <t>Manufacturer name string (ASCII)</t>
  </si>
  <si>
    <t>Accuenergy</t>
  </si>
  <si>
    <t>Block
code function : 03H Read, 10H Write</t>
  </si>
  <si>
    <t>Reg Num</t>
  </si>
  <si>
    <t>System Setting</t>
  </si>
  <si>
    <t xml:space="preserve"> Password</t>
  </si>
  <si>
    <t>RS485 Baud Rate</t>
  </si>
  <si>
    <t>9600\19200\38400\57600\76800\115200(76800 need send 7680
115200need send 11520)</t>
    <phoneticPr fontId="2" type="noConversion"/>
  </si>
  <si>
    <t>RS485 Parity</t>
  </si>
  <si>
    <t>0: even
1: odd
2: None2
3: None1</t>
    <phoneticPr fontId="2" type="noConversion"/>
  </si>
  <si>
    <t>3: None1</t>
    <phoneticPr fontId="2" type="noConversion"/>
  </si>
  <si>
    <t>Reserved(1320 Ethernet Communication Mode)</t>
    <phoneticPr fontId="2" type="noConversion"/>
  </si>
  <si>
    <t>Reserved(1320 DHCP enable)</t>
    <phoneticPr fontId="2" type="noConversion"/>
  </si>
  <si>
    <t>Reserved(1320 IP address 1st byte
IP address 2nd byte )</t>
    <phoneticPr fontId="2" type="noConversion"/>
  </si>
  <si>
    <t>Reserved(1320 IP address 3rd byte
IP address 4th byte )</t>
    <phoneticPr fontId="2" type="noConversion"/>
  </si>
  <si>
    <t>Reserved(1320 Subnet mask 1st byte
Subnet mask 2nd byte )</t>
    <phoneticPr fontId="2" type="noConversion"/>
  </si>
  <si>
    <t>Reserved(1320 Subnet mask 3rd byte
Subnet mask 4th byte )</t>
    <phoneticPr fontId="2" type="noConversion"/>
  </si>
  <si>
    <t>Reserved(1320 Gateway 1st byte
Gateway 2nd byte )</t>
    <phoneticPr fontId="2" type="noConversion"/>
  </si>
  <si>
    <t>Reserved(1320 Gateway 3rd byte
Gateway 4th byte )</t>
    <phoneticPr fontId="2" type="noConversion"/>
  </si>
  <si>
    <t>Reserved(1320 DNS primary server 1st byte
DNS primary server 2nd byte )</t>
    <phoneticPr fontId="2" type="noConversion"/>
  </si>
  <si>
    <t>Reserved(1320 DNS primary server 3rd byte 
DNS primary server 4th byte )</t>
    <phoneticPr fontId="2" type="noConversion"/>
  </si>
  <si>
    <t>Reserved(1320 DNS secondary server 1st byte 
DNS secondary server 2nd byte )</t>
    <phoneticPr fontId="2" type="noConversion"/>
  </si>
  <si>
    <t>Reserved(1320 DNS secondary server 3rd byte 
DNS secondary server 4th byte )</t>
    <phoneticPr fontId="2" type="noConversion"/>
  </si>
  <si>
    <t>Modbus Slave ID</t>
  </si>
  <si>
    <t>1-247</t>
    <phoneticPr fontId="2" type="noConversion"/>
  </si>
  <si>
    <t>Reserved(1320 RS485 protocol)</t>
    <phoneticPr fontId="2" type="noConversion"/>
  </si>
  <si>
    <t>Reserved(1320 Modbus TCP Enable)</t>
    <phoneticPr fontId="2" type="noConversion"/>
  </si>
  <si>
    <t>Reserved(1320 Modbus TCP port)</t>
    <phoneticPr fontId="2" type="noConversion"/>
  </si>
  <si>
    <t>Reserved(1320 BACnet  MS/TP Meter address)</t>
    <phoneticPr fontId="2" type="noConversion"/>
  </si>
  <si>
    <t>Reserved(1320 BACnet  MS/TP Maximum number of message frames)</t>
    <phoneticPr fontId="2" type="noConversion"/>
  </si>
  <si>
    <t>Reserved(1320 BACnet  MS/TP ID)</t>
    <phoneticPr fontId="2" type="noConversion"/>
  </si>
  <si>
    <t>Reserved(1320 BACnet Database Revision)</t>
    <phoneticPr fontId="2" type="noConversion"/>
  </si>
  <si>
    <t>LCD Backlight Time</t>
    <phoneticPr fontId="2" type="noConversion"/>
  </si>
  <si>
    <t>0-120 minute</t>
  </si>
  <si>
    <t>Device run time</t>
  </si>
  <si>
    <t>uint32_t</t>
  </si>
  <si>
    <t>uint in second</t>
  </si>
  <si>
    <t>Device load time</t>
  </si>
  <si>
    <t>Reserved(1320 Non-standard Seal Parameter Select)</t>
    <phoneticPr fontId="2" type="noConversion"/>
  </si>
  <si>
    <t>Reserved(1320 Time Zone)</t>
    <phoneticPr fontId="2" type="noConversion"/>
  </si>
  <si>
    <t>Week</t>
  </si>
  <si>
    <t>1~7</t>
    <phoneticPr fontId="2" type="noConversion"/>
  </si>
  <si>
    <t>Year</t>
  </si>
  <si>
    <t>2000~2099</t>
  </si>
  <si>
    <t>Month</t>
    <phoneticPr fontId="2" type="noConversion"/>
  </si>
  <si>
    <t>1~12</t>
  </si>
  <si>
    <t>Day</t>
  </si>
  <si>
    <t>1~31</t>
  </si>
  <si>
    <t>Hour</t>
  </si>
  <si>
    <t>0~23</t>
  </si>
  <si>
    <t>Minute</t>
  </si>
  <si>
    <t>0~59</t>
  </si>
  <si>
    <t>Second</t>
  </si>
  <si>
    <t>Reserved(1320 millisecond)</t>
    <phoneticPr fontId="2" type="noConversion"/>
  </si>
  <si>
    <t>USB_TTL Baud Rate</t>
  </si>
  <si>
    <t>USB_TTL Parity</t>
  </si>
  <si>
    <t>Device Status / Fault Code</t>
  </si>
  <si>
    <t>Bit definitions TBD 
(设备运行状态/故障; 位定义待补充)</t>
  </si>
  <si>
    <t>Metrology Settings</t>
    <phoneticPr fontId="2" type="noConversion"/>
  </si>
  <si>
    <t>Sealing Status</t>
    <phoneticPr fontId="2" type="noConversion"/>
  </si>
  <si>
    <t xml:space="preserve">sealed: 0x0A  
unsealed: 0   </t>
  </si>
  <si>
    <t>Frequency Selection</t>
    <phoneticPr fontId="2" type="noConversion"/>
  </si>
  <si>
    <t xml:space="preserve">0: 50Hz
1: 60Hz </t>
    <phoneticPr fontId="2" type="noConversion"/>
  </si>
  <si>
    <t>Service Configuration</t>
  </si>
  <si>
    <t>0: ELEMENT_1_WIRE_2
1: ELEMENT_2_WIRE_3_PHASE_1
2: ELEMENT_3_WIRE_4_Y</t>
    <phoneticPr fontId="2" type="noConversion"/>
  </si>
  <si>
    <t>Reserved(1320 PT1)</t>
    <phoneticPr fontId="2" type="noConversion"/>
  </si>
  <si>
    <t>Reserved(1320 PT2)</t>
    <phoneticPr fontId="2" type="noConversion"/>
  </si>
  <si>
    <t>Reserved(1320 In Method)</t>
    <phoneticPr fontId="2" type="noConversion"/>
  </si>
  <si>
    <t>channel 1 input wiring ID</t>
    <phoneticPr fontId="2" type="noConversion"/>
  </si>
  <si>
    <t>1~3</t>
    <phoneticPr fontId="2" type="noConversion"/>
  </si>
  <si>
    <t>channel 1 Current Direction</t>
    <phoneticPr fontId="2" type="noConversion"/>
  </si>
  <si>
    <t>0:positive
1:negative</t>
  </si>
  <si>
    <t xml:space="preserve">channel 1 input CT Type </t>
  </si>
  <si>
    <t>0: 100mA</t>
  </si>
  <si>
    <t>0: 100mA for mA type</t>
    <phoneticPr fontId="2" type="noConversion"/>
  </si>
  <si>
    <t>channel 1 input CT Primary</t>
    <phoneticPr fontId="2" type="noConversion"/>
  </si>
  <si>
    <t>uint16_t</t>
    <phoneticPr fontId="2" type="noConversion"/>
  </si>
  <si>
    <t>R/W</t>
    <phoneticPr fontId="2" type="noConversion"/>
  </si>
  <si>
    <t>200/400/800/1200（Standard Type only）</t>
  </si>
  <si>
    <t>channel 2 input wiring ID</t>
    <phoneticPr fontId="2" type="noConversion"/>
  </si>
  <si>
    <t>1~3</t>
  </si>
  <si>
    <t>channel 2 Current Direction</t>
  </si>
  <si>
    <t xml:space="preserve">channel 2 input CT Type </t>
  </si>
  <si>
    <t>channel 2 input CT Primary</t>
  </si>
  <si>
    <t>channel 3 input wiring ID</t>
  </si>
  <si>
    <t>channel 3 Current Direction</t>
  </si>
  <si>
    <t xml:space="preserve">channel 3 input CT Type </t>
  </si>
  <si>
    <t>channel 3 input CT Primary</t>
  </si>
  <si>
    <t>Reserved(1320 channel 4 input wiring ID)</t>
    <phoneticPr fontId="2" type="noConversion"/>
  </si>
  <si>
    <t>Reserved(1320 channel 4 Current Direction)</t>
    <phoneticPr fontId="2" type="noConversion"/>
  </si>
  <si>
    <t>Reserved(1320 channel 4 input CT Type )</t>
    <phoneticPr fontId="2" type="noConversion"/>
  </si>
  <si>
    <t>Reserved(1320 channel 4 input CT Primary)</t>
    <phoneticPr fontId="2" type="noConversion"/>
  </si>
  <si>
    <t>Reactive Power Calculation Method</t>
  </si>
  <si>
    <t>General: 0
True: 1</t>
  </si>
  <si>
    <t>PF Convention</t>
    <phoneticPr fontId="2" type="noConversion"/>
  </si>
  <si>
    <t>PF Format IEC: 0
PF Format IEEE: 1</t>
  </si>
  <si>
    <t>Reserved(1320 Demand Algorithm)</t>
    <phoneticPr fontId="2" type="noConversion"/>
  </si>
  <si>
    <t>Reserved(1320 Demand Interval)</t>
    <phoneticPr fontId="2" type="noConversion"/>
  </si>
  <si>
    <t>Reserved(1320 Demand Update Interval)</t>
    <phoneticPr fontId="2" type="noConversion"/>
  </si>
  <si>
    <t>Reserved(1320 MaxDemand Clear  Mode)</t>
    <phoneticPr fontId="2" type="noConversion"/>
  </si>
  <si>
    <t>Reserved(1320 MaxDemand Clear Date Setting)</t>
    <phoneticPr fontId="2" type="noConversion"/>
  </si>
  <si>
    <t>Reserved(1320 MaxDemand Clear Total Count)</t>
    <phoneticPr fontId="2" type="noConversion"/>
  </si>
  <si>
    <t>Reserved(1320 Timestamp of the most recent MaxDemand Clear)</t>
    <phoneticPr fontId="2" type="noConversion"/>
  </si>
  <si>
    <t>Phase Order</t>
  </si>
  <si>
    <t>ABC: 0
ACB: 1</t>
  </si>
  <si>
    <t>Energy Reading Display format</t>
  </si>
  <si>
    <t>0: Primary in 0.1 kWh;1:0.01kWh; 2: Primary in 0.001kWh</t>
  </si>
  <si>
    <t>Energy Calculation Method</t>
    <phoneticPr fontId="2" type="noConversion"/>
  </si>
  <si>
    <t>Generic: 0
Fundamental: 1</t>
  </si>
  <si>
    <t>Energy pulse constant</t>
    <phoneticPr fontId="2" type="noConversion"/>
  </si>
  <si>
    <t>100~50000
 (=0.1~50 imp/kWh,
reg value = actual ×1000)</t>
  </si>
  <si>
    <t>1000  (=1.00 imp/kWh)</t>
  </si>
  <si>
    <t>Pulse  width</t>
    <phoneticPr fontId="2" type="noConversion"/>
  </si>
  <si>
    <t>20 ms</t>
    <phoneticPr fontId="2" type="noConversion"/>
  </si>
  <si>
    <t>LED  pulse constant</t>
    <phoneticPr fontId="2" type="noConversion"/>
  </si>
  <si>
    <t>50000  (=50.00 imp/kWh)</t>
  </si>
  <si>
    <t>Operations</t>
    <phoneticPr fontId="2" type="noConversion"/>
  </si>
  <si>
    <t>Clear energy</t>
    <phoneticPr fontId="2" type="noConversion"/>
  </si>
  <si>
    <t>0: None
1: Clearing</t>
  </si>
  <si>
    <t>Reserved(1320 Clear Max demand )</t>
    <phoneticPr fontId="2" type="noConversion"/>
  </si>
  <si>
    <t>Reserved(1320 Clear MaxDemand ClearCount and Timestamp)</t>
    <phoneticPr fontId="2" type="noConversion"/>
  </si>
  <si>
    <t>Reserved(1320 Clear max/min)</t>
    <phoneticPr fontId="2" type="noConversion"/>
  </si>
  <si>
    <t>Clear device run time</t>
  </si>
  <si>
    <t>Clear load time</t>
  </si>
  <si>
    <t>0: None
1: Reset</t>
  </si>
  <si>
    <t>Factory reset</t>
    <phoneticPr fontId="2" type="noConversion"/>
  </si>
  <si>
    <t>0: None
1: Resetting</t>
  </si>
  <si>
    <t>Reserved(1320 Network reset)</t>
    <phoneticPr fontId="2" type="noConversion"/>
  </si>
  <si>
    <t>Reserved(1320 Clear SOE Log )</t>
    <phoneticPr fontId="2" type="noConversion"/>
  </si>
  <si>
    <t>Reserved(1320 Clear alarm Log)</t>
    <phoneticPr fontId="2" type="noConversion"/>
  </si>
  <si>
    <t>Reserved(1320 Clear PQ event Log)</t>
    <phoneticPr fontId="2" type="noConversion"/>
  </si>
  <si>
    <r>
      <t xml:space="preserve">Reserved(1320 Clear Waveform </t>
    </r>
    <r>
      <rPr>
        <sz val="10"/>
        <rFont val="宋体"/>
        <family val="1"/>
        <charset val="134"/>
      </rPr>
      <t>)</t>
    </r>
    <phoneticPr fontId="2" type="noConversion"/>
  </si>
  <si>
    <t>Reserved(1320 Clear Data Log1)</t>
    <phoneticPr fontId="2" type="noConversion"/>
  </si>
  <si>
    <t>Reserved(1320 Clear Data Log2)</t>
    <phoneticPr fontId="2" type="noConversion"/>
  </si>
  <si>
    <t>Reserved(1320 Clear Data Log3)</t>
    <phoneticPr fontId="2" type="noConversion"/>
  </si>
  <si>
    <t>Reserved(1320 Clear Trend Log)</t>
    <phoneticPr fontId="2" type="noConversion"/>
  </si>
  <si>
    <t>Reserved(1320 Clear DI Count )</t>
    <phoneticPr fontId="2" type="noConversion"/>
  </si>
  <si>
    <t>Reserved(1320 Clear Year 10 Holiday Number Setting)</t>
    <phoneticPr fontId="2" type="noConversion"/>
  </si>
  <si>
    <t>Reserved(1320 Restore TOU factory setting)</t>
    <phoneticPr fontId="2" type="noConversion"/>
  </si>
  <si>
    <t>Reserved(1320 Clear TOU Energy )</t>
    <phoneticPr fontId="2" type="noConversion"/>
  </si>
  <si>
    <t>Reserved(1320 Clear TOU Max Demand )</t>
    <phoneticPr fontId="2" type="noConversion"/>
  </si>
  <si>
    <t>Reserved(1320 Clear Dual Source energy)</t>
    <phoneticPr fontId="2" type="noConversion"/>
  </si>
  <si>
    <t>Reserved(1320 Clear Dual Source energy switching record)</t>
    <phoneticPr fontId="2" type="noConversion"/>
  </si>
  <si>
    <t>Device Reboot</t>
    <phoneticPr fontId="2" type="noConversion"/>
  </si>
  <si>
    <t>Communication reset</t>
    <phoneticPr fontId="2" type="noConversion"/>
  </si>
  <si>
    <t>Wire Check Switch</t>
    <phoneticPr fontId="2" type="noConversion"/>
  </si>
  <si>
    <t>0:ON
1:OFF</t>
  </si>
  <si>
    <t>Wire Check  Status</t>
  </si>
  <si>
    <t>0: Not Started
1: In Progress
2: Completed</t>
    <phoneticPr fontId="2" type="noConversion"/>
  </si>
  <si>
    <t xml:space="preserve">Phase Voltage  Error Code  </t>
    <phoneticPr fontId="2" type="noConversion"/>
  </si>
  <si>
    <t>Bit0:Voltage terminals Va wiring is missing
Bit1:Voltage terminals Vb wiring is missing
Bit2:Voltage terminals Vc wiring is missing
Bit3:The voltage terminals Va and Vn are reversed.
Bit4: The voltage terminals Vb and Vn are reversed.
Bit5: The voltage terminals Vc and Vn are reversed.
Bit6: Phase error of voltage terminals Vb
Bit7: Phase error of voltage terminals Vc
Bit8: ABC/ACB sequence is configured incorrectly</t>
    <phoneticPr fontId="2" type="noConversion"/>
  </si>
  <si>
    <t xml:space="preserve">Phase Current  Error Code  </t>
    <phoneticPr fontId="2" type="noConversion"/>
  </si>
  <si>
    <t>Bit0:Current terminals Ia wiring is missing
Bit1:Current terminals Ib wiring is missing
Bit2:Current terminals Ic wiring is missing
Bit3:Current terminals Ia positive and negative are reversed
Bit4:Current terminals Ib positive and negative are reversed
Bit5:Current terminals Ic positive and negative are reversed
Bit6:Current terminals Ia and Ib are reversed
Bit7:Current terminals Ia and Ic are reversed
Bit8:Current terminals Ib and Ic are reversed</t>
    <phoneticPr fontId="2" type="noConversion"/>
  </si>
  <si>
    <t xml:space="preserve">Phase A Line-to-Neutral </t>
    <phoneticPr fontId="2" type="noConversion"/>
  </si>
  <si>
    <t>float</t>
  </si>
  <si>
    <t>Phase A Line-to-Neutral Voltage Phase Angle</t>
    <phoneticPr fontId="2" type="noConversion"/>
  </si>
  <si>
    <t xml:space="preserve">Phase B Line-to-Neutral </t>
    <phoneticPr fontId="2" type="noConversion"/>
  </si>
  <si>
    <t>Phase B Line-to-Neutral Voltage Phase Angle</t>
    <phoneticPr fontId="2" type="noConversion"/>
  </si>
  <si>
    <t xml:space="preserve">Phase C Line-to-Neutral </t>
    <phoneticPr fontId="2" type="noConversion"/>
  </si>
  <si>
    <t>Phase C Line-to-Neutral Voltage Phase Angle</t>
    <phoneticPr fontId="2" type="noConversion"/>
  </si>
  <si>
    <t>Voltage Phase Order</t>
  </si>
  <si>
    <r>
      <t>0</t>
    </r>
    <r>
      <rPr>
        <sz val="10"/>
        <color rgb="FFFF0000"/>
        <rFont val="宋体"/>
        <family val="2"/>
        <charset val="134"/>
      </rPr>
      <t>：</t>
    </r>
    <r>
      <rPr>
        <sz val="10"/>
        <color rgb="FFFF0000"/>
        <rFont val="Arial"/>
        <family val="2"/>
      </rPr>
      <t>ABC 1</t>
    </r>
    <r>
      <rPr>
        <sz val="10"/>
        <color rgb="FFFF0000"/>
        <rFont val="宋体"/>
        <family val="2"/>
        <charset val="134"/>
      </rPr>
      <t>：</t>
    </r>
    <r>
      <rPr>
        <sz val="10"/>
        <color rgb="FFFF0000"/>
        <rFont val="Arial"/>
        <family val="2"/>
      </rPr>
      <t>ACB 2</t>
    </r>
    <r>
      <rPr>
        <sz val="10"/>
        <color rgb="FFFF0000"/>
        <rFont val="宋体"/>
        <family val="2"/>
        <charset val="134"/>
      </rPr>
      <t>：不存在</t>
    </r>
    <phoneticPr fontId="2" type="noConversion"/>
  </si>
  <si>
    <t xml:space="preserve">Phase A Current </t>
  </si>
  <si>
    <t>Phase A Current Angle</t>
  </si>
  <si>
    <t xml:space="preserve">Phase B Current </t>
  </si>
  <si>
    <t>Phase B Current Angle</t>
  </si>
  <si>
    <t>Phase C Current</t>
  </si>
  <si>
    <t>Phase C Current Angle</t>
  </si>
  <si>
    <t>Block</t>
    <phoneticPr fontId="4" type="noConversion"/>
  </si>
  <si>
    <t>Start(Hex)</t>
    <phoneticPr fontId="4" type="noConversion"/>
  </si>
  <si>
    <t>End(Hex)</t>
    <phoneticPr fontId="4" type="noConversion"/>
  </si>
  <si>
    <t>Start(Dec)</t>
    <phoneticPr fontId="4" type="noConversion"/>
  </si>
  <si>
    <t>End(Dec)</t>
    <phoneticPr fontId="4" type="noConversion"/>
  </si>
  <si>
    <t>Description</t>
    <phoneticPr fontId="2" type="noConversion"/>
  </si>
  <si>
    <t>Data type</t>
    <phoneticPr fontId="4" type="noConversion"/>
  </si>
  <si>
    <t>RW</t>
    <phoneticPr fontId="4" type="noConversion"/>
  </si>
  <si>
    <t>Reserved(1320 HS Param Update Time Stamp)</t>
  </si>
  <si>
    <t>uint64_t</t>
  </si>
  <si>
    <t>System Frequency</t>
  </si>
  <si>
    <t>Phase A Line-to-Neutral Voltage</t>
  </si>
  <si>
    <t>Phase B Line-to-Neutral Voltage</t>
  </si>
  <si>
    <t>Phase C Line-to-Neutral Voltage</t>
  </si>
  <si>
    <t>Phase A Voltage Phase Angle</t>
  </si>
  <si>
    <t>Phase B Voltage Phase Angle</t>
  </si>
  <si>
    <t>Phase C Voltage Phase Angle</t>
  </si>
  <si>
    <t>Average Line-to-Neutral Voltage</t>
  </si>
  <si>
    <t>Phase AB Line-to-Line Voltage</t>
  </si>
  <si>
    <t>Phase BC Line-to-Line Voltage</t>
  </si>
  <si>
    <t>Phase CA Line-to-Line Voltage</t>
  </si>
  <si>
    <t>Phase AB Line-to-Line Voltage Phase Angle</t>
  </si>
  <si>
    <t>Phase BC Line-to-Line Voltage Phase Angle</t>
  </si>
  <si>
    <t>Phase CA Line-to-Line Voltage Phase Angle</t>
  </si>
  <si>
    <t>Average Line-to-Line Voltage</t>
  </si>
  <si>
    <t>Phase A Current</t>
  </si>
  <si>
    <t>Phase B Current</t>
  </si>
  <si>
    <t>Reserved(1320 Neutral Current)</t>
    <phoneticPr fontId="2" type="noConversion"/>
  </si>
  <si>
    <t>Phase A Current Phase Angle</t>
    <phoneticPr fontId="2" type="noConversion"/>
  </si>
  <si>
    <t>Phase B Current Phase Angle</t>
  </si>
  <si>
    <t>Phase C Current Phase Angle</t>
  </si>
  <si>
    <t>Reserved(1320 Neutral Current Phase Angle)</t>
  </si>
  <si>
    <t>Average Current</t>
  </si>
  <si>
    <t>Phase A Active Power</t>
  </si>
  <si>
    <t>Phase B Active Power</t>
  </si>
  <si>
    <t>Phase C Active Power</t>
  </si>
  <si>
    <t>System Active Power</t>
  </si>
  <si>
    <t>Phase A Reactive Power</t>
  </si>
  <si>
    <t>Phase B Reactive Power</t>
  </si>
  <si>
    <t>Phase C Reactive Power</t>
  </si>
  <si>
    <t>System Reactive Power</t>
  </si>
  <si>
    <t>Phase A Apparent Power</t>
  </si>
  <si>
    <t>Phase B Apparent Power</t>
  </si>
  <si>
    <t>Phase C Apparent Power</t>
  </si>
  <si>
    <t>System Apparent Power</t>
  </si>
  <si>
    <t>Phase A Power Factor</t>
  </si>
  <si>
    <t>Phase B Power Factor</t>
  </si>
  <si>
    <t>Phase C Power Factor</t>
    <phoneticPr fontId="2" type="noConversion"/>
  </si>
  <si>
    <t>System Power Factor</t>
  </si>
  <si>
    <t>Energy Parameter ID</t>
  </si>
  <si>
    <t>Energy( function code:03H)</t>
  </si>
  <si>
    <t>Energy(1 second)</t>
  </si>
  <si>
    <t>Phase A active energy import</t>
  </si>
  <si>
    <t>uint32_t</t>
    <phoneticPr fontId="2" type="noConversion"/>
  </si>
  <si>
    <t>Phase B active energy import</t>
  </si>
  <si>
    <t>Phase C active energy import</t>
  </si>
  <si>
    <t>System active energy import</t>
  </si>
  <si>
    <t xml:space="preserve">Phase A active energy export </t>
  </si>
  <si>
    <t xml:space="preserve">Phase B active energy export </t>
  </si>
  <si>
    <t xml:space="preserve">Phase C active energy export </t>
  </si>
  <si>
    <t xml:space="preserve">System active energy export </t>
  </si>
  <si>
    <t>Phase A active energy total</t>
  </si>
  <si>
    <t>Phase B active energy total</t>
  </si>
  <si>
    <t>Phase C active energy total</t>
  </si>
  <si>
    <t>System active energy total</t>
  </si>
  <si>
    <t>Phase A active energy net</t>
  </si>
  <si>
    <t>int32_t</t>
    <phoneticPr fontId="2" type="noConversion"/>
  </si>
  <si>
    <t>Phase B active energy net</t>
  </si>
  <si>
    <t>Phase C active energy net</t>
  </si>
  <si>
    <t>System active energy net</t>
  </si>
  <si>
    <t>Phase A reactive energy import</t>
  </si>
  <si>
    <t>Phase B reactive energy import</t>
  </si>
  <si>
    <t>Phase C reactive energy import</t>
  </si>
  <si>
    <t>System reactive energy import</t>
  </si>
  <si>
    <t xml:space="preserve">Phase A reactive energy export </t>
  </si>
  <si>
    <t xml:space="preserve">Phase B reactive energy export </t>
  </si>
  <si>
    <t xml:space="preserve">Phase C reactive energy export </t>
  </si>
  <si>
    <t xml:space="preserve">System reactive energy export </t>
  </si>
  <si>
    <t>Phase A reactive energy total</t>
  </si>
  <si>
    <t>Phase B reactive energy total</t>
  </si>
  <si>
    <t>Phase C reactive energy total</t>
  </si>
  <si>
    <t>System reactive energy total</t>
  </si>
  <si>
    <t>Phase A reactive energy net</t>
  </si>
  <si>
    <t>Phase B reactive energy net</t>
  </si>
  <si>
    <t>Phase C reactive energy net</t>
  </si>
  <si>
    <t>System reactive energy net</t>
  </si>
  <si>
    <t>Phase A apparent energy total</t>
  </si>
  <si>
    <t>Phase B apparent energy total</t>
  </si>
  <si>
    <t>Phase C apparent energy total</t>
  </si>
  <si>
    <t>System apparent energy total</t>
  </si>
  <si>
    <t>factory calibration cmd</t>
  </si>
  <si>
    <t>0:start
1:abort</t>
  </si>
  <si>
    <t>factory calibration result</t>
  </si>
  <si>
    <t>bit0:sampling frequency calibration fail
bit1:current gain calibration fail
bit2:acc signals calibration fail
bit3:angle error calibration fail
bit4: EM Save fail
bit5: FRAM Save fail
0x00: calibration ok</t>
  </si>
  <si>
    <t>is calibrating</t>
  </si>
  <si>
    <t>0: Measuring
1: Calibrating</t>
  </si>
  <si>
    <t>Sampling frequency</t>
    <phoneticPr fontId="2" type="noConversion"/>
  </si>
  <si>
    <t>float</t>
    <phoneticPr fontId="2" type="noConversion"/>
  </si>
  <si>
    <t>R</t>
    <phoneticPr fontId="2" type="noConversion"/>
  </si>
  <si>
    <t xml:space="preserve">Phase a coeff of vrms </t>
  </si>
  <si>
    <t xml:space="preserve">Phase a coeff of irms </t>
  </si>
  <si>
    <t xml:space="preserve">Phase a coeff of active power </t>
  </si>
  <si>
    <t xml:space="preserve">Phase a coeff of reactive power </t>
  </si>
  <si>
    <t xml:space="preserve">Phase a coeff of apparent power </t>
  </si>
  <si>
    <t xml:space="preserve">Phase b coeff of vrms </t>
  </si>
  <si>
    <t xml:space="preserve">Phase b coeff of irms </t>
  </si>
  <si>
    <t xml:space="preserve">Phase b coeff of active power </t>
  </si>
  <si>
    <t xml:space="preserve">Phase b coeff of reactive power </t>
  </si>
  <si>
    <t xml:space="preserve">Phase b coeff of apparent power </t>
  </si>
  <si>
    <t xml:space="preserve">Phase c coeff of vrms </t>
  </si>
  <si>
    <t xml:space="preserve">Phase c coeff of irms </t>
  </si>
  <si>
    <t xml:space="preserve">Phase c coeff of active power </t>
  </si>
  <si>
    <t xml:space="preserve">Phase c coeff of reactive power </t>
  </si>
  <si>
    <t xml:space="preserve">Phase c coeff of apparent power </t>
  </si>
  <si>
    <t>Coeff  of  Neutral irms</t>
  </si>
  <si>
    <t>Phase a degree[0]</t>
  </si>
  <si>
    <t xml:space="preserve">i phase degree </t>
  </si>
  <si>
    <t>Phase a degree[1]</t>
  </si>
  <si>
    <t>Phase b degree[0]</t>
  </si>
  <si>
    <t>Phase b degree[1]</t>
  </si>
  <si>
    <t>Phase c degree[0]</t>
  </si>
  <si>
    <t>Phase c degree[1]</t>
  </si>
  <si>
    <t>Phase a gain[0]</t>
  </si>
  <si>
    <t>i gain value</t>
  </si>
  <si>
    <t>Phase a gain[1]</t>
  </si>
  <si>
    <t>Phase b gain[0]</t>
  </si>
  <si>
    <t>Phase b gain[1]</t>
  </si>
  <si>
    <t>Phase c gain[0]</t>
  </si>
  <si>
    <t>Phase c gain[1]</t>
  </si>
  <si>
    <t>SDADGCR</t>
  </si>
  <si>
    <t xml:space="preserve"> SDADGCR [31:0]
  bits[ 3: 0] → CH0（V Phase a）
  bits[ 7: 4] → CH1（V Phase b）
  bits[11: 8] → CH2（V Phase c）
  bits[15:12] → CH3（I Phase a） 
  bits[19:16] → CH4（I Phase b） 
  bits[23:20] → CH5（I Phase c）
  bits[27:24] → CH6（I Neutral）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</si>
</sst>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33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0"/>
      <name val="Times New Roman"/>
      <family val="1"/>
    </font>
    <font>
      <sz val="11"/>
      <color theme="1"/>
      <name val="等线"/>
      <family val="3"/>
      <charset val="134"/>
      <scheme val="minor"/>
    </font>
    <font>
      <b/>
      <sz val="10"/>
      <color rgb="FF000000"/>
      <name val="Times New Roman"/>
      <family val="1"/>
    </font>
    <font>
      <sz val="10"/>
      <name val="Times New Roman"/>
      <family val="1"/>
    </font>
    <font>
      <sz val="10"/>
      <color rgb="FF00000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name val="Arial"/>
      <family val="2"/>
    </font>
    <font>
      <sz val="10"/>
      <color rgb="FFFF0000"/>
      <name val="Times New Roman"/>
      <family val="1"/>
    </font>
    <font>
      <sz val="10"/>
      <color theme="1"/>
      <name val="Times New Roman"/>
      <family val="1"/>
      <charset val="134"/>
    </font>
    <font>
      <sz val="10"/>
      <color rgb="FFFF0000"/>
      <name val="Arial"/>
    </font>
    <font>
      <sz val="10"/>
      <name val="Arial"/>
    </font>
    <font>
      <b/>
      <sz val="10"/>
      <color rgb="FFFF0000"/>
      <name val="Times New Roman"/>
      <family val="1"/>
    </font>
    <font>
      <sz val="11"/>
      <name val="等线"/>
      <family val="3"/>
      <charset val="134"/>
    </font>
    <font>
      <sz val="11"/>
      <color rgb="FF000000"/>
      <name val="宋体"/>
      <family val="3"/>
      <charset val="134"/>
    </font>
    <font>
      <sz val="10"/>
      <name val="宋体"/>
      <family val="1"/>
      <charset val="134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rgb="FF000000"/>
      <name val="等线"/>
      <family val="2"/>
      <scheme val="minor"/>
    </font>
    <font>
      <b/>
      <sz val="10"/>
      <color rgb="FF000000"/>
      <name val="Arial"/>
    </font>
    <font>
      <sz val="10"/>
      <color rgb="FF000000"/>
      <name val="宋体"/>
      <family val="3"/>
      <charset val="134"/>
    </font>
    <font>
      <sz val="11"/>
      <name val="等线"/>
      <family val="3"/>
      <charset val="134"/>
      <scheme val="minor"/>
    </font>
    <font>
      <sz val="10"/>
      <color rgb="FF000000"/>
      <name val="Arial"/>
      <family val="2"/>
    </font>
    <font>
      <sz val="10"/>
      <color rgb="FF000000"/>
      <name val="Arial"/>
      <family val="1"/>
    </font>
    <font>
      <sz val="11"/>
      <name val="等线"/>
      <family val="2"/>
      <scheme val="minor"/>
    </font>
    <font>
      <sz val="11"/>
      <color rgb="FFFF0000"/>
      <name val="等线"/>
      <charset val="134"/>
    </font>
    <font>
      <sz val="11"/>
      <color rgb="FFFF0000"/>
      <name val="等线"/>
      <family val="2"/>
      <scheme val="minor"/>
    </font>
    <font>
      <sz val="10"/>
      <color rgb="FFFF0000"/>
      <name val="Arial"/>
      <family val="2"/>
    </font>
    <font>
      <sz val="10"/>
      <color rgb="FFFF0000"/>
      <name val="宋体"/>
      <family val="2"/>
      <charset val="134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4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</cellStyleXfs>
  <cellXfs count="98">
    <xf numFmtId="0" fontId="0" fillId="0" borderId="0" xfId="0"/>
    <xf numFmtId="0" fontId="3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6" fillId="0" borderId="0" xfId="0" applyFont="1" applyAlignment="1">
      <alignment horizontal="left" vertical="top"/>
    </xf>
    <xf numFmtId="0" fontId="5" fillId="2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10" fillId="0" borderId="0" xfId="0" applyFont="1" applyAlignment="1">
      <alignment horizontal="left" vertical="top"/>
    </xf>
    <xf numFmtId="0" fontId="6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20" fontId="6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2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2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left" vertical="center"/>
    </xf>
    <xf numFmtId="0" fontId="8" fillId="0" borderId="0" xfId="0" applyFont="1"/>
    <xf numFmtId="0" fontId="5" fillId="0" borderId="0" xfId="0" applyFont="1"/>
    <xf numFmtId="0" fontId="7" fillId="0" borderId="0" xfId="0" applyFont="1"/>
    <xf numFmtId="0" fontId="7" fillId="0" borderId="0" xfId="0" applyFont="1" applyAlignment="1">
      <alignment wrapText="1"/>
    </xf>
    <xf numFmtId="0" fontId="6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left" vertical="center"/>
    </xf>
    <xf numFmtId="0" fontId="9" fillId="4" borderId="0" xfId="2" applyFont="1" applyFill="1" applyAlignment="1">
      <alignment horizontal="left" vertical="center" wrapText="1"/>
    </xf>
    <xf numFmtId="0" fontId="9" fillId="4" borderId="0" xfId="0" applyFont="1" applyFill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9" fillId="4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 wrapText="1"/>
    </xf>
    <xf numFmtId="0" fontId="13" fillId="0" borderId="0" xfId="0" applyFont="1" applyAlignment="1">
      <alignment horizontal="left" vertical="top"/>
    </xf>
    <xf numFmtId="0" fontId="14" fillId="0" borderId="0" xfId="0" applyFont="1" applyAlignment="1">
      <alignment horizontal="left" vertical="top"/>
    </xf>
    <xf numFmtId="0" fontId="15" fillId="0" borderId="0" xfId="0" applyFont="1" applyAlignment="1">
      <alignment horizontal="left" vertical="center"/>
    </xf>
    <xf numFmtId="0" fontId="13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7" fillId="4" borderId="0" xfId="0" applyFont="1" applyFill="1" applyAlignment="1">
      <alignment horizontal="left" vertical="center" wrapText="1"/>
    </xf>
    <xf numFmtId="0" fontId="6" fillId="4" borderId="0" xfId="3" applyFont="1" applyFill="1" applyAlignment="1">
      <alignment horizontal="left" vertical="center" wrapText="1"/>
    </xf>
    <xf numFmtId="0" fontId="6" fillId="4" borderId="0" xfId="3" applyFont="1" applyFill="1" applyAlignment="1">
      <alignment horizontal="left" vertical="center"/>
    </xf>
    <xf numFmtId="0" fontId="11" fillId="4" borderId="0" xfId="3" applyFont="1" applyFill="1" applyAlignment="1">
      <alignment horizontal="left" vertical="center"/>
    </xf>
    <xf numFmtId="0" fontId="11" fillId="4" borderId="0" xfId="0" applyFont="1" applyFill="1" applyAlignment="1">
      <alignment horizontal="left" vertical="center" wrapText="1"/>
    </xf>
    <xf numFmtId="0" fontId="11" fillId="4" borderId="0" xfId="0" applyFont="1" applyFill="1" applyAlignment="1">
      <alignment horizontal="left" vertical="center"/>
    </xf>
    <xf numFmtId="16" fontId="6" fillId="0" borderId="0" xfId="0" applyNumberFormat="1" applyFont="1" applyAlignment="1">
      <alignment horizontal="left" vertical="center" wrapText="1"/>
    </xf>
    <xf numFmtId="0" fontId="16" fillId="0" borderId="0" xfId="0" applyFont="1" applyAlignment="1">
      <alignment vertical="center"/>
    </xf>
    <xf numFmtId="16" fontId="6" fillId="4" borderId="0" xfId="0" applyNumberFormat="1" applyFont="1" applyFill="1" applyAlignment="1">
      <alignment horizontal="left" vertical="center" wrapText="1"/>
    </xf>
    <xf numFmtId="20" fontId="6" fillId="4" borderId="0" xfId="0" applyNumberFormat="1" applyFont="1" applyFill="1" applyAlignment="1">
      <alignment horizontal="left" vertical="center" wrapText="1"/>
    </xf>
    <xf numFmtId="0" fontId="0" fillId="0" borderId="0" xfId="0" applyAlignment="1">
      <alignment vertical="center"/>
    </xf>
    <xf numFmtId="0" fontId="17" fillId="0" borderId="0" xfId="0" applyFont="1" applyAlignment="1">
      <alignment vertical="center"/>
    </xf>
    <xf numFmtId="0" fontId="7" fillId="0" borderId="0" xfId="1" applyFont="1" applyAlignment="1">
      <alignment horizontal="left" vertical="center"/>
    </xf>
    <xf numFmtId="0" fontId="6" fillId="4" borderId="0" xfId="1" applyFont="1" applyFill="1" applyAlignment="1">
      <alignment horizontal="left" vertical="center"/>
    </xf>
    <xf numFmtId="0" fontId="7" fillId="4" borderId="0" xfId="1" applyFont="1" applyFill="1" applyAlignment="1">
      <alignment horizontal="left" vertical="center"/>
    </xf>
    <xf numFmtId="0" fontId="6" fillId="0" borderId="0" xfId="4" applyFont="1" applyAlignment="1">
      <alignment horizontal="left" vertical="center"/>
    </xf>
    <xf numFmtId="0" fontId="7" fillId="0" borderId="0" xfId="4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0" fontId="11" fillId="0" borderId="0" xfId="0" quotePrefix="1" applyFont="1" applyAlignment="1">
      <alignment horizontal="left" vertical="center"/>
    </xf>
    <xf numFmtId="0" fontId="7" fillId="0" borderId="0" xfId="2" applyFont="1" applyAlignment="1">
      <alignment horizontal="left" vertical="center" wrapText="1"/>
    </xf>
    <xf numFmtId="0" fontId="6" fillId="2" borderId="0" xfId="2" applyFont="1" applyFill="1" applyAlignment="1">
      <alignment horizontal="left" vertical="center" wrapText="1"/>
    </xf>
    <xf numFmtId="0" fontId="9" fillId="4" borderId="0" xfId="1" applyFont="1" applyFill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0" fontId="22" fillId="5" borderId="0" xfId="0" applyFont="1" applyFill="1" applyAlignment="1">
      <alignment horizontal="left" vertical="center"/>
    </xf>
    <xf numFmtId="0" fontId="24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0" fontId="23" fillId="0" borderId="0" xfId="0" applyFont="1" applyAlignment="1">
      <alignment horizontal="left" vertical="center" wrapText="1"/>
    </xf>
    <xf numFmtId="164" fontId="9" fillId="0" borderId="0" xfId="0" applyNumberFormat="1" applyFon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64" fontId="0" fillId="0" borderId="0" xfId="0" applyNumberFormat="1" applyAlignment="1">
      <alignment vertical="center"/>
    </xf>
    <xf numFmtId="0" fontId="25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 wrapText="1"/>
    </xf>
    <xf numFmtId="0" fontId="0" fillId="5" borderId="0" xfId="0" applyFill="1"/>
    <xf numFmtId="0" fontId="27" fillId="0" borderId="0" xfId="0" applyFont="1"/>
    <xf numFmtId="0" fontId="3" fillId="3" borderId="0" xfId="0" applyFont="1" applyFill="1" applyAlignment="1">
      <alignment horizontal="left" vertical="center"/>
    </xf>
    <xf numFmtId="0" fontId="6" fillId="0" borderId="0" xfId="0" applyFont="1"/>
    <xf numFmtId="0" fontId="9" fillId="5" borderId="0" xfId="2" applyFont="1" applyFill="1" applyAlignment="1">
      <alignment horizontal="left" vertical="center" wrapText="1"/>
    </xf>
    <xf numFmtId="0" fontId="9" fillId="5" borderId="0" xfId="0" applyFont="1" applyFill="1" applyAlignment="1">
      <alignment horizontal="left" vertical="center"/>
    </xf>
    <xf numFmtId="0" fontId="7" fillId="5" borderId="0" xfId="0" applyFont="1" applyFill="1" applyAlignment="1">
      <alignment horizontal="left" vertical="center"/>
    </xf>
    <xf numFmtId="0" fontId="9" fillId="5" borderId="0" xfId="0" applyFont="1" applyFill="1" applyAlignment="1">
      <alignment horizontal="left" vertical="center" wrapText="1"/>
    </xf>
    <xf numFmtId="0" fontId="11" fillId="0" borderId="0" xfId="0" applyFont="1" applyAlignment="1">
      <alignment wrapText="1"/>
    </xf>
    <xf numFmtId="0" fontId="28" fillId="0" borderId="0" xfId="0" applyFont="1" applyAlignment="1">
      <alignment wrapText="1"/>
    </xf>
    <xf numFmtId="0" fontId="28" fillId="0" borderId="0" xfId="0" applyFont="1"/>
    <xf numFmtId="0" fontId="11" fillId="0" borderId="0" xfId="0" applyFont="1"/>
    <xf numFmtId="0" fontId="29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 wrapText="1"/>
    </xf>
    <xf numFmtId="14" fontId="28" fillId="0" borderId="0" xfId="0" applyNumberFormat="1" applyFont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7" fillId="5" borderId="0" xfId="0" applyFont="1" applyFill="1" applyAlignment="1">
      <alignment horizontal="left" vertical="center" wrapText="1"/>
    </xf>
    <xf numFmtId="0" fontId="30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 count="5">
    <cellStyle name="Normal 2" xfId="3" xr:uid="{66380155-0006-4F1A-8B61-D2058A8DDF36}"/>
    <cellStyle name="常规" xfId="0" builtinId="0"/>
    <cellStyle name="常规 2" xfId="1" xr:uid="{98F1912D-66FA-4AD8-9ED6-9673A16EEC98}"/>
    <cellStyle name="常规 3" xfId="4" xr:uid="{8BC9D09C-7CCC-408F-8D1F-6D4A44E79A24}"/>
    <cellStyle name="常规 3 2" xfId="2" xr:uid="{0E4B5357-933A-4FD5-9428-F81A1E0245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Zhenjiang Guo" id="{6037EB05-0FBD-4C21-8D93-397DA08383CF}" userId="S::zhenjiang.guo@accuenergy.com::a2ee1d04-c076-48fe-884b-69ecdfdc3a3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3" dT="2026-05-27T02:20:30.67" personId="{6037EB05-0FBD-4C21-8D93-397DA08383CF}" id="{0576A7BE-852E-436C-A0A7-85C9071BCA7F}">
    <text>这里原来是 RS485 协议选择</text>
  </threadedComment>
  <threadedComment ref="F19" dT="2026-05-27T02:20:30.67" personId="{6037EB05-0FBD-4C21-8D93-397DA08383CF}" id="{1C27050B-34C1-4377-8022-29F5BD768F65}">
    <text>这里原来是 RS485 协议选择</text>
  </threadedComment>
  <threadedComment ref="J45" dT="2026-05-25T01:43:52.06" personId="{6037EB05-0FBD-4C21-8D93-397DA08383CF}" id="{2322EA14-F1F1-4F84-9F26-E4845EDAFE18}">
    <text>2026-05-22 By Shaohang Cui：
可能只支持 60 Hz(待定）</text>
  </threadedComment>
</ThreadedComment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806D9-92B0-4E18-9F49-94F1220E6258}">
  <dimension ref="A1:F4"/>
  <sheetViews>
    <sheetView workbookViewId="0">
      <pane ySplit="1" topLeftCell="A2" activePane="bottomLeft" state="frozen"/>
      <selection pane="bottomLeft" activeCell="D4" sqref="D4"/>
    </sheetView>
  </sheetViews>
  <sheetFormatPr defaultColWidth="9" defaultRowHeight="14.25"/>
  <cols>
    <col min="1" max="1" width="6.375" style="52" bestFit="1" customWidth="1"/>
    <col min="2" max="2" width="61.625" style="52" bestFit="1" customWidth="1"/>
    <col min="3" max="3" width="15.375" style="52" bestFit="1" customWidth="1"/>
    <col min="4" max="4" width="9.375" style="74" bestFit="1" customWidth="1"/>
    <col min="5" max="5" width="20.25" style="52" bestFit="1" customWidth="1"/>
    <col min="6" max="6" width="20.625" style="52" bestFit="1" customWidth="1"/>
    <col min="7" max="16384" width="9" style="52"/>
  </cols>
  <sheetData>
    <row r="1" spans="1:6" s="68" customForma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</row>
    <row r="2" spans="1:6" ht="25.5">
      <c r="A2" s="69" t="s">
        <v>6</v>
      </c>
      <c r="B2" s="71" t="s">
        <v>7</v>
      </c>
      <c r="C2" s="20" t="s">
        <v>8</v>
      </c>
      <c r="D2" s="72"/>
      <c r="E2" s="10" t="s">
        <v>9</v>
      </c>
      <c r="F2" s="10"/>
    </row>
    <row r="3" spans="1:6">
      <c r="B3" s="52" t="s">
        <v>10</v>
      </c>
      <c r="C3" s="52" t="s">
        <v>11</v>
      </c>
      <c r="D3" s="73"/>
      <c r="E3" s="70"/>
    </row>
    <row r="4" spans="1:6" ht="114">
      <c r="B4" s="86" t="s">
        <v>12</v>
      </c>
      <c r="C4" s="90" t="s">
        <v>13</v>
      </c>
      <c r="D4" s="92">
        <v>46203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178BA-9E02-4E95-A199-60DE20C5CAB9}">
  <dimension ref="A1:G12"/>
  <sheetViews>
    <sheetView workbookViewId="0">
      <pane ySplit="1" topLeftCell="A2" activePane="bottomLeft" state="frozen"/>
      <selection pane="bottomLeft" activeCell="G13" sqref="G13"/>
    </sheetView>
  </sheetViews>
  <sheetFormatPr defaultColWidth="9" defaultRowHeight="14.25"/>
  <cols>
    <col min="1" max="1" width="12.25" style="66" bestFit="1" customWidth="1"/>
    <col min="2" max="2" width="32.125" style="66" bestFit="1" customWidth="1"/>
    <col min="3" max="3" width="12.25" style="66" bestFit="1" customWidth="1"/>
    <col min="4" max="4" width="9.625" style="66" bestFit="1" customWidth="1"/>
    <col min="5" max="5" width="8.875" style="66" bestFit="1" customWidth="1"/>
    <col min="6" max="6" width="14.875" style="66" bestFit="1" customWidth="1"/>
    <col min="7" max="7" width="9.75" style="66" bestFit="1" customWidth="1"/>
    <col min="8" max="16384" width="9" style="66"/>
  </cols>
  <sheetData>
    <row r="1" spans="1:7" s="67" customFormat="1" ht="12.75">
      <c r="A1" s="8" t="s">
        <v>14</v>
      </c>
      <c r="B1" s="8" t="s">
        <v>15</v>
      </c>
      <c r="C1" s="8" t="s">
        <v>16</v>
      </c>
      <c r="D1" s="8" t="s">
        <v>17</v>
      </c>
      <c r="E1" s="8" t="s">
        <v>18</v>
      </c>
      <c r="F1" s="8" t="s">
        <v>19</v>
      </c>
      <c r="G1" s="8" t="s">
        <v>20</v>
      </c>
    </row>
    <row r="2" spans="1:7">
      <c r="A2" s="97" t="s">
        <v>21</v>
      </c>
      <c r="B2" s="15" t="s">
        <v>22</v>
      </c>
      <c r="C2" s="5" t="s">
        <v>23</v>
      </c>
      <c r="D2" s="16" t="s">
        <v>24</v>
      </c>
      <c r="E2" s="16" t="s">
        <v>25</v>
      </c>
      <c r="F2" s="16">
        <v>6</v>
      </c>
      <c r="G2" s="5"/>
    </row>
    <row r="3" spans="1:7">
      <c r="A3" s="97"/>
      <c r="B3" s="15" t="s">
        <v>26</v>
      </c>
      <c r="C3" s="5" t="s">
        <v>23</v>
      </c>
      <c r="D3" s="16" t="s">
        <v>27</v>
      </c>
      <c r="E3" s="16" t="s">
        <v>28</v>
      </c>
      <c r="F3" s="16">
        <v>8</v>
      </c>
      <c r="G3" s="5"/>
    </row>
    <row r="4" spans="1:7">
      <c r="A4" s="97"/>
      <c r="B4" s="15" t="s">
        <v>29</v>
      </c>
      <c r="C4" s="5" t="s">
        <v>23</v>
      </c>
      <c r="D4" s="16" t="s">
        <v>30</v>
      </c>
      <c r="E4" s="16" t="s">
        <v>31</v>
      </c>
      <c r="F4" s="16">
        <v>49</v>
      </c>
      <c r="G4" s="5"/>
    </row>
    <row r="5" spans="1:7">
      <c r="A5" s="97" t="s">
        <v>32</v>
      </c>
      <c r="B5" s="15" t="s">
        <v>33</v>
      </c>
      <c r="C5" s="5" t="s">
        <v>32</v>
      </c>
      <c r="D5" s="16" t="s">
        <v>34</v>
      </c>
      <c r="E5" s="16" t="s">
        <v>35</v>
      </c>
      <c r="F5" s="16">
        <v>41</v>
      </c>
      <c r="G5" s="5"/>
    </row>
    <row r="6" spans="1:7">
      <c r="A6" s="97"/>
      <c r="B6" s="15" t="s">
        <v>36</v>
      </c>
      <c r="C6" s="5" t="s">
        <v>32</v>
      </c>
      <c r="D6" s="16" t="s">
        <v>37</v>
      </c>
      <c r="E6" s="16" t="s">
        <v>38</v>
      </c>
      <c r="F6" s="16">
        <v>42</v>
      </c>
      <c r="G6" s="5"/>
    </row>
    <row r="7" spans="1:7">
      <c r="A7" s="97"/>
      <c r="B7" s="15" t="s">
        <v>39</v>
      </c>
      <c r="C7" s="5" t="s">
        <v>32</v>
      </c>
      <c r="D7" s="16" t="s">
        <v>40</v>
      </c>
      <c r="E7" s="16" t="s">
        <v>41</v>
      </c>
      <c r="F7" s="16">
        <v>25</v>
      </c>
      <c r="G7" s="5"/>
    </row>
    <row r="8" spans="1:7">
      <c r="A8" s="2" t="s">
        <v>42</v>
      </c>
      <c r="B8" s="15" t="s">
        <v>43</v>
      </c>
      <c r="C8" s="5" t="s">
        <v>43</v>
      </c>
      <c r="D8" s="16" t="s">
        <v>44</v>
      </c>
      <c r="E8" s="16" t="s">
        <v>45</v>
      </c>
      <c r="F8" s="16">
        <v>30</v>
      </c>
      <c r="G8" s="5"/>
    </row>
    <row r="9" spans="1:7">
      <c r="A9" s="2" t="s">
        <v>46</v>
      </c>
      <c r="B9" s="15" t="s">
        <v>47</v>
      </c>
      <c r="C9" s="5" t="s">
        <v>46</v>
      </c>
      <c r="D9" s="16" t="s">
        <v>48</v>
      </c>
      <c r="E9" s="16" t="s">
        <v>49</v>
      </c>
      <c r="F9" s="16">
        <v>84</v>
      </c>
      <c r="G9" s="5"/>
    </row>
    <row r="10" spans="1:7">
      <c r="A10" s="2" t="s">
        <v>50</v>
      </c>
      <c r="B10" s="15" t="s">
        <v>51</v>
      </c>
      <c r="C10" s="5" t="s">
        <v>52</v>
      </c>
      <c r="D10" s="16" t="s">
        <v>53</v>
      </c>
      <c r="E10" s="16" t="s">
        <v>54</v>
      </c>
      <c r="F10" s="16">
        <v>72</v>
      </c>
      <c r="G10" s="5"/>
    </row>
    <row r="11" spans="1:7">
      <c r="A11" s="97" t="s">
        <v>55</v>
      </c>
      <c r="B11" s="15" t="s">
        <v>56</v>
      </c>
      <c r="C11" s="5" t="s">
        <v>57</v>
      </c>
      <c r="D11" s="16" t="s">
        <v>58</v>
      </c>
      <c r="E11" s="16" t="s">
        <v>59</v>
      </c>
      <c r="F11" s="16">
        <v>3</v>
      </c>
      <c r="G11" s="5"/>
    </row>
    <row r="12" spans="1:7">
      <c r="A12" s="97"/>
      <c r="B12" s="15" t="s">
        <v>60</v>
      </c>
      <c r="C12" s="5" t="s">
        <v>57</v>
      </c>
      <c r="D12" s="16" t="s">
        <v>61</v>
      </c>
      <c r="E12" s="16" t="s">
        <v>62</v>
      </c>
      <c r="F12" s="16">
        <v>60</v>
      </c>
      <c r="G12" s="5"/>
    </row>
  </sheetData>
  <mergeCells count="3">
    <mergeCell ref="A2:A4"/>
    <mergeCell ref="A11:A12"/>
    <mergeCell ref="A5:A7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3E6A8-F47F-4080-AA4F-E06D2C0B9B34}">
  <dimension ref="A1:K25"/>
  <sheetViews>
    <sheetView zoomScale="130" zoomScaleNormal="130" workbookViewId="0">
      <pane ySplit="1" topLeftCell="A2" activePane="bottomLeft" state="frozen"/>
      <selection pane="bottomLeft" activeCell="L26" sqref="L26"/>
    </sheetView>
  </sheetViews>
  <sheetFormatPr defaultRowHeight="14.25"/>
  <cols>
    <col min="1" max="1" width="31.375" customWidth="1"/>
    <col min="2" max="2" width="9.625" bestFit="1" customWidth="1"/>
    <col min="3" max="3" width="8.875" bestFit="1" customWidth="1"/>
    <col min="4" max="4" width="9.375" bestFit="1" customWidth="1"/>
    <col min="5" max="5" width="8.75" bestFit="1" customWidth="1"/>
    <col min="6" max="6" width="25" bestFit="1" customWidth="1"/>
    <col min="7" max="7" width="8.875" bestFit="1" customWidth="1"/>
    <col min="8" max="8" width="4.75" bestFit="1" customWidth="1"/>
    <col min="9" max="9" width="8.625" bestFit="1" customWidth="1"/>
    <col min="10" max="10" width="56.375" customWidth="1"/>
    <col min="11" max="11" width="19.625" bestFit="1" customWidth="1"/>
  </cols>
  <sheetData>
    <row r="1" spans="1:11">
      <c r="A1" s="8" t="s">
        <v>14</v>
      </c>
      <c r="B1" s="8" t="s">
        <v>17</v>
      </c>
      <c r="C1" s="8" t="s">
        <v>18</v>
      </c>
      <c r="D1" s="8" t="s">
        <v>63</v>
      </c>
      <c r="E1" s="8" t="s">
        <v>64</v>
      </c>
      <c r="F1" s="8" t="s">
        <v>65</v>
      </c>
      <c r="G1" s="8" t="s">
        <v>66</v>
      </c>
      <c r="H1" s="8" t="s">
        <v>67</v>
      </c>
      <c r="I1" s="8" t="s">
        <v>68</v>
      </c>
      <c r="J1" s="8" t="s">
        <v>69</v>
      </c>
      <c r="K1" s="8" t="s">
        <v>70</v>
      </c>
    </row>
    <row r="2" spans="1:11" ht="18" customHeight="1">
      <c r="A2" s="18" t="s">
        <v>71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ht="18" customHeight="1">
      <c r="A3" s="18" t="s">
        <v>72</v>
      </c>
      <c r="B3" s="5"/>
      <c r="C3" s="5"/>
      <c r="D3" s="5"/>
      <c r="E3" s="5"/>
      <c r="F3" s="5"/>
      <c r="G3" s="5"/>
      <c r="H3" s="5"/>
      <c r="I3" s="5"/>
      <c r="J3" s="5"/>
      <c r="K3" s="5"/>
    </row>
    <row r="4" spans="1:11" ht="22.5" customHeight="1">
      <c r="B4" s="5" t="str">
        <f t="shared" ref="B4:C7" si="0">"0x"&amp;DEC2HEX(D4,4)</f>
        <v>0xF000</v>
      </c>
      <c r="C4" s="5" t="str">
        <f t="shared" si="0"/>
        <v>0xF001</v>
      </c>
      <c r="D4" s="5">
        <v>61440</v>
      </c>
      <c r="E4" s="5">
        <f>D4+I4-1</f>
        <v>61441</v>
      </c>
      <c r="F4" s="5" t="s">
        <v>73</v>
      </c>
      <c r="G4" s="5" t="s">
        <v>74</v>
      </c>
      <c r="H4" s="5" t="s">
        <v>75</v>
      </c>
      <c r="I4" s="5">
        <v>2</v>
      </c>
      <c r="J4" s="15" t="s">
        <v>76</v>
      </c>
      <c r="K4" s="15" t="s">
        <v>77</v>
      </c>
    </row>
    <row r="5" spans="1:11" ht="19.5" customHeight="1">
      <c r="B5" s="5" t="str">
        <f t="shared" si="0"/>
        <v>0xF002</v>
      </c>
      <c r="C5" s="5" t="str">
        <f t="shared" si="0"/>
        <v>0xF004</v>
      </c>
      <c r="D5" s="5">
        <f>E4+1</f>
        <v>61442</v>
      </c>
      <c r="E5" s="5">
        <f>D5+I5-1</f>
        <v>61444</v>
      </c>
      <c r="F5" s="5" t="s">
        <v>78</v>
      </c>
      <c r="G5" s="5" t="s">
        <v>74</v>
      </c>
      <c r="H5" s="5" t="s">
        <v>75</v>
      </c>
      <c r="I5" s="5">
        <v>3</v>
      </c>
      <c r="J5" s="15" t="s">
        <v>79</v>
      </c>
      <c r="K5" s="15" t="s">
        <v>77</v>
      </c>
    </row>
    <row r="6" spans="1:11">
      <c r="B6" s="5" t="str">
        <f t="shared" si="0"/>
        <v>0xF005</v>
      </c>
      <c r="C6" s="5" t="str">
        <f t="shared" si="0"/>
        <v>0xF005</v>
      </c>
      <c r="D6" s="5">
        <f>E5+1</f>
        <v>61445</v>
      </c>
      <c r="E6" s="5">
        <f>D6+I6-1</f>
        <v>61445</v>
      </c>
      <c r="F6" s="5" t="s">
        <v>80</v>
      </c>
      <c r="G6" s="5" t="s">
        <v>74</v>
      </c>
      <c r="H6" s="5" t="s">
        <v>75</v>
      </c>
      <c r="I6" s="5">
        <v>1</v>
      </c>
      <c r="J6" s="15" t="s">
        <v>81</v>
      </c>
      <c r="K6" s="15" t="s">
        <v>77</v>
      </c>
    </row>
    <row r="7" spans="1:11" ht="15">
      <c r="A7" s="18" t="s">
        <v>82</v>
      </c>
      <c r="B7" s="10" t="str">
        <f t="shared" si="0"/>
        <v>0xF000</v>
      </c>
      <c r="C7" s="10" t="str">
        <f t="shared" si="0"/>
        <v>0xF001</v>
      </c>
      <c r="D7" s="64">
        <v>61440</v>
      </c>
      <c r="E7" s="5">
        <f>D7+I7-1</f>
        <v>61441</v>
      </c>
      <c r="F7" s="3" t="s">
        <v>83</v>
      </c>
      <c r="G7" s="10" t="s">
        <v>74</v>
      </c>
      <c r="H7" s="10" t="s">
        <v>84</v>
      </c>
      <c r="I7" s="5">
        <v>2</v>
      </c>
      <c r="J7" s="15" t="s">
        <v>85</v>
      </c>
      <c r="K7" s="3">
        <v>0</v>
      </c>
    </row>
    <row r="8" spans="1:11">
      <c r="A8" s="19" t="s">
        <v>26</v>
      </c>
      <c r="B8" s="10"/>
      <c r="C8" s="10"/>
      <c r="D8" s="10"/>
      <c r="E8" s="10"/>
      <c r="F8" s="10"/>
      <c r="G8" s="10"/>
      <c r="H8" s="10"/>
      <c r="I8" s="5"/>
      <c r="J8" s="20"/>
      <c r="K8" s="20"/>
    </row>
    <row r="9" spans="1:11">
      <c r="A9" s="10"/>
      <c r="B9" s="10" t="str">
        <f t="shared" ref="B9:C12" si="1">"0x"&amp;DEC2HEX(D9,4)</f>
        <v>0xF010</v>
      </c>
      <c r="C9" s="10" t="str">
        <f t="shared" si="1"/>
        <v>0xF011</v>
      </c>
      <c r="D9" s="10">
        <v>61456</v>
      </c>
      <c r="E9" s="10">
        <f>D9+I9-1</f>
        <v>61457</v>
      </c>
      <c r="F9" s="5" t="s">
        <v>86</v>
      </c>
      <c r="G9" s="10" t="s">
        <v>74</v>
      </c>
      <c r="H9" s="10" t="s">
        <v>75</v>
      </c>
      <c r="I9" s="5">
        <v>2</v>
      </c>
      <c r="J9" s="22" t="s">
        <v>87</v>
      </c>
      <c r="K9" s="20" t="s">
        <v>88</v>
      </c>
    </row>
    <row r="10" spans="1:11">
      <c r="A10" s="10"/>
      <c r="B10" s="10" t="str">
        <f t="shared" si="1"/>
        <v>0xF012</v>
      </c>
      <c r="C10" s="10" t="str">
        <f t="shared" si="1"/>
        <v>0xF013</v>
      </c>
      <c r="D10" s="10">
        <f>E9+1</f>
        <v>61458</v>
      </c>
      <c r="E10" s="10">
        <f>D10+I10-1</f>
        <v>61459</v>
      </c>
      <c r="F10" s="5" t="s">
        <v>89</v>
      </c>
      <c r="G10" s="10" t="s">
        <v>74</v>
      </c>
      <c r="H10" s="10" t="s">
        <v>75</v>
      </c>
      <c r="I10" s="5">
        <v>2</v>
      </c>
      <c r="J10" s="20" t="s">
        <v>76</v>
      </c>
      <c r="K10" s="20" t="s">
        <v>88</v>
      </c>
    </row>
    <row r="11" spans="1:11">
      <c r="A11" s="10"/>
      <c r="B11" s="10" t="str">
        <f t="shared" si="1"/>
        <v>0xF014</v>
      </c>
      <c r="C11" s="10" t="str">
        <f t="shared" si="1"/>
        <v>0xF016</v>
      </c>
      <c r="D11" s="10">
        <f>E10+1</f>
        <v>61460</v>
      </c>
      <c r="E11" s="10">
        <f>D11+I11-1</f>
        <v>61462</v>
      </c>
      <c r="F11" s="3" t="s">
        <v>90</v>
      </c>
      <c r="G11" s="10" t="s">
        <v>74</v>
      </c>
      <c r="H11" s="10" t="s">
        <v>75</v>
      </c>
      <c r="I11" s="5">
        <v>3</v>
      </c>
      <c r="J11" s="20" t="s">
        <v>91</v>
      </c>
      <c r="K11" s="20" t="s">
        <v>88</v>
      </c>
    </row>
    <row r="12" spans="1:11">
      <c r="A12" s="10"/>
      <c r="B12" s="10" t="str">
        <f t="shared" si="1"/>
        <v>0xF017</v>
      </c>
      <c r="C12" s="10" t="str">
        <f t="shared" si="1"/>
        <v>0xF017</v>
      </c>
      <c r="D12" s="10">
        <f>E11+1</f>
        <v>61463</v>
      </c>
      <c r="E12" s="10">
        <f>D12+I12-1</f>
        <v>61463</v>
      </c>
      <c r="F12" s="5" t="s">
        <v>92</v>
      </c>
      <c r="G12" s="10" t="s">
        <v>74</v>
      </c>
      <c r="H12" s="10" t="s">
        <v>75</v>
      </c>
      <c r="I12" s="5">
        <v>1</v>
      </c>
      <c r="J12" s="5" t="s">
        <v>81</v>
      </c>
      <c r="K12" s="20" t="s">
        <v>88</v>
      </c>
    </row>
    <row r="13" spans="1:11" ht="25.5">
      <c r="A13" s="19" t="s">
        <v>93</v>
      </c>
      <c r="B13" s="10"/>
      <c r="C13" s="10"/>
      <c r="D13" s="10"/>
      <c r="E13" s="10"/>
      <c r="F13" s="10"/>
      <c r="G13" s="10"/>
      <c r="H13" s="10"/>
      <c r="I13" s="5"/>
      <c r="J13" s="20"/>
    </row>
    <row r="14" spans="1:11" ht="31.5" customHeight="1">
      <c r="A14" s="9"/>
      <c r="B14" s="5" t="str">
        <f t="shared" ref="B14:B23" si="2">"0x"&amp;DEC2HEX(D14,4)</f>
        <v>0xF040</v>
      </c>
      <c r="C14" s="5" t="str">
        <f t="shared" ref="C14:C23" si="3">"0x"&amp;DEC2HEX(E14,4)</f>
        <v>0xF04F</v>
      </c>
      <c r="D14" s="5">
        <v>61504</v>
      </c>
      <c r="E14" s="5">
        <f t="shared" ref="E14:E23" si="4">D14+I14-1</f>
        <v>61519</v>
      </c>
      <c r="F14" s="21" t="s">
        <v>94</v>
      </c>
      <c r="G14" s="10" t="s">
        <v>74</v>
      </c>
      <c r="H14" s="10" t="s">
        <v>95</v>
      </c>
      <c r="I14" s="5">
        <v>16</v>
      </c>
      <c r="J14" s="14" t="s">
        <v>96</v>
      </c>
    </row>
    <row r="15" spans="1:11" ht="45" customHeight="1">
      <c r="A15" s="10"/>
      <c r="B15" s="5" t="str">
        <f t="shared" si="2"/>
        <v>0xF050</v>
      </c>
      <c r="C15" s="5" t="str">
        <f t="shared" si="3"/>
        <v>0xF051</v>
      </c>
      <c r="D15" s="5">
        <f t="shared" ref="D15:D23" si="5">E14+1</f>
        <v>61520</v>
      </c>
      <c r="E15" s="5">
        <f t="shared" si="4"/>
        <v>61521</v>
      </c>
      <c r="F15" s="21" t="s">
        <v>97</v>
      </c>
      <c r="G15" s="10" t="s">
        <v>74</v>
      </c>
      <c r="H15" s="10" t="s">
        <v>95</v>
      </c>
      <c r="I15" s="5">
        <v>2</v>
      </c>
      <c r="J15" s="20" t="s">
        <v>98</v>
      </c>
    </row>
    <row r="16" spans="1:11">
      <c r="A16" s="10"/>
      <c r="B16" s="5" t="str">
        <f t="shared" si="2"/>
        <v>0xF052</v>
      </c>
      <c r="C16" s="5" t="str">
        <f t="shared" si="3"/>
        <v>0xF052</v>
      </c>
      <c r="D16" s="5">
        <f t="shared" si="5"/>
        <v>61522</v>
      </c>
      <c r="E16" s="5">
        <f t="shared" si="4"/>
        <v>61522</v>
      </c>
      <c r="F16" s="61" t="s">
        <v>99</v>
      </c>
      <c r="G16" s="10" t="s">
        <v>100</v>
      </c>
      <c r="H16" s="10" t="s">
        <v>95</v>
      </c>
      <c r="I16" s="5">
        <v>1</v>
      </c>
      <c r="J16" s="14" t="s">
        <v>101</v>
      </c>
    </row>
    <row r="17" spans="1:11" ht="15">
      <c r="A17" s="10"/>
      <c r="B17" s="10" t="str">
        <f t="shared" si="2"/>
        <v>0xF053</v>
      </c>
      <c r="C17" s="10" t="str">
        <f t="shared" si="3"/>
        <v>0xF053</v>
      </c>
      <c r="D17" s="64">
        <f t="shared" si="5"/>
        <v>61523</v>
      </c>
      <c r="E17" s="5">
        <f t="shared" si="4"/>
        <v>61523</v>
      </c>
      <c r="F17" s="31" t="s">
        <v>102</v>
      </c>
      <c r="G17" s="32"/>
      <c r="H17" s="32"/>
      <c r="I17" s="33">
        <v>1</v>
      </c>
      <c r="J17" s="32"/>
    </row>
    <row r="18" spans="1:11">
      <c r="A18" s="10"/>
      <c r="B18" s="5" t="str">
        <f t="shared" si="2"/>
        <v>0xF054</v>
      </c>
      <c r="C18" s="5" t="str">
        <f t="shared" si="3"/>
        <v>0xF054</v>
      </c>
      <c r="D18" s="5">
        <f t="shared" si="5"/>
        <v>61524</v>
      </c>
      <c r="E18" s="5">
        <f t="shared" si="4"/>
        <v>61524</v>
      </c>
      <c r="F18" s="81" t="s">
        <v>103</v>
      </c>
      <c r="G18" s="82"/>
      <c r="H18" s="82"/>
      <c r="I18" s="83">
        <v>1</v>
      </c>
      <c r="J18" s="84"/>
      <c r="K18" s="20"/>
    </row>
    <row r="19" spans="1:11">
      <c r="A19" s="10"/>
      <c r="B19" s="5" t="str">
        <f t="shared" si="2"/>
        <v>0xF055</v>
      </c>
      <c r="C19" s="5" t="str">
        <f t="shared" si="3"/>
        <v>0xF055</v>
      </c>
      <c r="D19" s="5">
        <f t="shared" si="5"/>
        <v>61525</v>
      </c>
      <c r="E19" s="5">
        <f t="shared" si="4"/>
        <v>61525</v>
      </c>
      <c r="F19" s="31" t="s">
        <v>104</v>
      </c>
      <c r="G19" s="32"/>
      <c r="H19" s="32"/>
      <c r="I19" s="33">
        <v>1</v>
      </c>
      <c r="J19" s="34"/>
      <c r="K19" s="20"/>
    </row>
    <row r="20" spans="1:11">
      <c r="A20" s="10"/>
      <c r="B20" s="5" t="str">
        <f t="shared" si="2"/>
        <v>0xF056</v>
      </c>
      <c r="C20" s="5" t="str">
        <f t="shared" si="3"/>
        <v>0xF065</v>
      </c>
      <c r="D20" s="5">
        <f t="shared" si="5"/>
        <v>61526</v>
      </c>
      <c r="E20" s="5">
        <f t="shared" si="4"/>
        <v>61541</v>
      </c>
      <c r="F20" s="31" t="s">
        <v>105</v>
      </c>
      <c r="G20" s="32"/>
      <c r="H20" s="32"/>
      <c r="I20" s="33">
        <v>16</v>
      </c>
      <c r="J20" s="34"/>
      <c r="K20" s="20"/>
    </row>
    <row r="21" spans="1:11" ht="15">
      <c r="A21" s="16"/>
      <c r="B21" s="3" t="str">
        <f t="shared" si="2"/>
        <v>0xF066</v>
      </c>
      <c r="C21" s="3" t="str">
        <f t="shared" si="3"/>
        <v>0xF066</v>
      </c>
      <c r="D21" s="65">
        <f t="shared" si="5"/>
        <v>61542</v>
      </c>
      <c r="E21" s="3">
        <f t="shared" si="4"/>
        <v>61542</v>
      </c>
      <c r="F21" s="62" t="s">
        <v>106</v>
      </c>
      <c r="G21" s="30" t="s">
        <v>100</v>
      </c>
      <c r="H21" s="30" t="s">
        <v>95</v>
      </c>
      <c r="I21" s="30">
        <v>1</v>
      </c>
      <c r="J21" s="29" t="s">
        <v>107</v>
      </c>
    </row>
    <row r="22" spans="1:11">
      <c r="A22" s="10"/>
      <c r="B22" s="5" t="str">
        <f t="shared" si="2"/>
        <v>0xF067</v>
      </c>
      <c r="C22" s="5" t="str">
        <f t="shared" si="3"/>
        <v>0xF06F</v>
      </c>
      <c r="D22" s="5">
        <f t="shared" si="5"/>
        <v>61543</v>
      </c>
      <c r="E22" s="5">
        <f t="shared" si="4"/>
        <v>61551</v>
      </c>
      <c r="F22" s="31" t="s">
        <v>108</v>
      </c>
      <c r="G22" s="32"/>
      <c r="H22" s="32"/>
      <c r="I22" s="33">
        <v>9</v>
      </c>
      <c r="J22" s="34" t="s">
        <v>109</v>
      </c>
    </row>
    <row r="23" spans="1:11" ht="42" customHeight="1">
      <c r="A23" s="10"/>
      <c r="B23" s="5" t="str">
        <f t="shared" si="2"/>
        <v>0xF070</v>
      </c>
      <c r="C23" s="5" t="str">
        <f t="shared" si="3"/>
        <v>0xF070</v>
      </c>
      <c r="D23" s="5">
        <f t="shared" si="5"/>
        <v>61552</v>
      </c>
      <c r="E23" s="5">
        <f t="shared" si="4"/>
        <v>61552</v>
      </c>
      <c r="F23" s="21" t="s">
        <v>110</v>
      </c>
      <c r="G23" s="10" t="s">
        <v>74</v>
      </c>
      <c r="H23" s="10" t="s">
        <v>95</v>
      </c>
      <c r="I23" s="5">
        <v>1</v>
      </c>
      <c r="J23" s="20" t="s">
        <v>111</v>
      </c>
    </row>
    <row r="24" spans="1:11">
      <c r="B24" s="16" t="str">
        <f t="shared" ref="B24:B25" si="6">"0x"&amp;DEC2HEX(D24,4)</f>
        <v>0xF071</v>
      </c>
      <c r="C24" s="16" t="str">
        <f t="shared" ref="C24:C25" si="7">"0x"&amp;DEC2HEX(E24,4)</f>
        <v>0xF07A</v>
      </c>
      <c r="D24" s="16">
        <f t="shared" ref="D24:D25" si="8">E23+1</f>
        <v>61553</v>
      </c>
      <c r="E24" s="16">
        <f t="shared" ref="E24:E25" si="9">D24+I24-1</f>
        <v>61562</v>
      </c>
      <c r="F24" s="87" t="s">
        <v>112</v>
      </c>
      <c r="G24" s="87" t="s">
        <v>74</v>
      </c>
      <c r="H24" s="87" t="s">
        <v>75</v>
      </c>
      <c r="I24" s="87">
        <v>10</v>
      </c>
      <c r="J24" s="87" t="s">
        <v>113</v>
      </c>
      <c r="K24" s="87" t="s">
        <v>114</v>
      </c>
    </row>
    <row r="25" spans="1:11">
      <c r="B25" s="16" t="str">
        <f t="shared" si="6"/>
        <v>0xF07B</v>
      </c>
      <c r="C25" s="16" t="str">
        <f t="shared" si="7"/>
        <v>0xF08A</v>
      </c>
      <c r="D25" s="16">
        <f t="shared" si="8"/>
        <v>61563</v>
      </c>
      <c r="E25" s="16">
        <f t="shared" si="9"/>
        <v>61578</v>
      </c>
      <c r="F25" s="87" t="s">
        <v>115</v>
      </c>
      <c r="G25" s="87" t="s">
        <v>74</v>
      </c>
      <c r="H25" s="87" t="s">
        <v>75</v>
      </c>
      <c r="I25" s="87">
        <v>16</v>
      </c>
      <c r="J25" s="87" t="s">
        <v>116</v>
      </c>
      <c r="K25" s="87" t="s">
        <v>117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A901E-E5B4-47DF-BEAA-3F43CD5475EF}">
  <dimension ref="A1:P107"/>
  <sheetViews>
    <sheetView zoomScale="130" zoomScaleNormal="130" workbookViewId="0">
      <pane ySplit="1" topLeftCell="A81" activePane="bottomLeft" state="frozen"/>
      <selection pane="bottomLeft" activeCell="F87" sqref="F87:F89"/>
    </sheetView>
  </sheetViews>
  <sheetFormatPr defaultRowHeight="14.25"/>
  <cols>
    <col min="1" max="1" width="27.375" bestFit="1" customWidth="1"/>
    <col min="2" max="2" width="8.375" bestFit="1" customWidth="1"/>
    <col min="3" max="3" width="7.75" bestFit="1" customWidth="1"/>
    <col min="4" max="4" width="8.25" bestFit="1" customWidth="1"/>
    <col min="5" max="5" width="7.625" bestFit="1" customWidth="1"/>
    <col min="6" max="6" width="49.25" bestFit="1" customWidth="1"/>
    <col min="7" max="7" width="7.75" bestFit="1" customWidth="1"/>
    <col min="8" max="8" width="4.125" bestFit="1" customWidth="1"/>
    <col min="9" max="9" width="7.375" bestFit="1" customWidth="1"/>
    <col min="10" max="10" width="41.875" customWidth="1"/>
    <col min="11" max="11" width="17.625" bestFit="1" customWidth="1"/>
  </cols>
  <sheetData>
    <row r="1" spans="1:12" s="12" customFormat="1" ht="25.5">
      <c r="A1" s="11" t="s">
        <v>118</v>
      </c>
      <c r="B1" s="1" t="s">
        <v>17</v>
      </c>
      <c r="C1" s="1" t="s">
        <v>18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119</v>
      </c>
      <c r="J1" s="1" t="s">
        <v>69</v>
      </c>
      <c r="K1" s="1" t="s">
        <v>70</v>
      </c>
    </row>
    <row r="2" spans="1:12" s="12" customFormat="1" ht="12.75">
      <c r="A2" s="13" t="s">
        <v>120</v>
      </c>
      <c r="F2" s="13"/>
    </row>
    <row r="3" spans="1:12">
      <c r="B3" s="3" t="str">
        <f t="shared" ref="B3:B38" si="0">"0x"&amp;DEC2HEX(D3,4)</f>
        <v>0x1000</v>
      </c>
      <c r="C3" s="3" t="str">
        <f t="shared" ref="C3:C37" si="1">"0x"&amp;DEC2HEX(E3,4)</f>
        <v>0x1000</v>
      </c>
      <c r="D3" s="3">
        <v>4096</v>
      </c>
      <c r="E3" s="3">
        <f t="shared" ref="E3:E37" si="2">D3+I3-1</f>
        <v>4096</v>
      </c>
      <c r="F3" s="13" t="s">
        <v>121</v>
      </c>
      <c r="G3" s="13" t="s">
        <v>100</v>
      </c>
      <c r="H3" s="13" t="s">
        <v>95</v>
      </c>
      <c r="I3" s="13">
        <v>1</v>
      </c>
      <c r="J3" s="13"/>
      <c r="K3" s="13">
        <v>0</v>
      </c>
    </row>
    <row r="4" spans="1:12" ht="25.5">
      <c r="B4" s="3" t="str">
        <f t="shared" si="0"/>
        <v>0x1001</v>
      </c>
      <c r="C4" s="3" t="str">
        <f t="shared" si="1"/>
        <v>0x1001</v>
      </c>
      <c r="D4" s="3">
        <f t="shared" ref="D4:D38" si="3">D3+I3</f>
        <v>4097</v>
      </c>
      <c r="E4" s="3">
        <f t="shared" si="2"/>
        <v>4097</v>
      </c>
      <c r="F4" s="13" t="s">
        <v>122</v>
      </c>
      <c r="G4" s="13" t="s">
        <v>100</v>
      </c>
      <c r="H4" s="13" t="s">
        <v>95</v>
      </c>
      <c r="I4" s="13">
        <v>1</v>
      </c>
      <c r="J4" s="13" t="s">
        <v>123</v>
      </c>
      <c r="K4" s="13">
        <v>19200</v>
      </c>
    </row>
    <row r="5" spans="1:12" ht="51">
      <c r="B5" s="3" t="str">
        <f t="shared" si="0"/>
        <v>0x1002</v>
      </c>
      <c r="C5" s="3" t="str">
        <f t="shared" si="1"/>
        <v>0x1002</v>
      </c>
      <c r="D5" s="3">
        <f t="shared" si="3"/>
        <v>4098</v>
      </c>
      <c r="E5" s="3">
        <f t="shared" si="2"/>
        <v>4098</v>
      </c>
      <c r="F5" s="13" t="s">
        <v>124</v>
      </c>
      <c r="G5" s="13" t="s">
        <v>100</v>
      </c>
      <c r="H5" s="13" t="s">
        <v>95</v>
      </c>
      <c r="I5" s="13">
        <v>1</v>
      </c>
      <c r="J5" s="13" t="s">
        <v>125</v>
      </c>
      <c r="K5" s="13" t="s">
        <v>126</v>
      </c>
    </row>
    <row r="6" spans="1:12" s="37" customFormat="1" ht="12.75">
      <c r="A6" s="39"/>
      <c r="B6" s="5" t="str">
        <f t="shared" si="0"/>
        <v>0x1003</v>
      </c>
      <c r="C6" s="5" t="str">
        <f t="shared" si="1"/>
        <v>0x1003</v>
      </c>
      <c r="D6" s="5">
        <f t="shared" si="3"/>
        <v>4099</v>
      </c>
      <c r="E6" s="5">
        <f t="shared" si="2"/>
        <v>4099</v>
      </c>
      <c r="F6" s="42" t="s">
        <v>127</v>
      </c>
      <c r="G6" s="42"/>
      <c r="H6" s="42"/>
      <c r="I6" s="42">
        <v>1</v>
      </c>
      <c r="J6" s="42"/>
      <c r="K6" s="46"/>
      <c r="L6" s="40"/>
    </row>
    <row r="7" spans="1:12" s="38" customFormat="1" ht="12.75">
      <c r="A7" s="4"/>
      <c r="B7" s="3" t="str">
        <f t="shared" si="0"/>
        <v>0x1004</v>
      </c>
      <c r="C7" s="3" t="str">
        <f t="shared" si="1"/>
        <v>0x1004</v>
      </c>
      <c r="D7" s="3">
        <f t="shared" si="3"/>
        <v>4100</v>
      </c>
      <c r="E7" s="3">
        <f t="shared" si="2"/>
        <v>4100</v>
      </c>
      <c r="F7" s="35" t="s">
        <v>128</v>
      </c>
      <c r="G7" s="36"/>
      <c r="H7" s="35"/>
      <c r="I7" s="35">
        <v>1</v>
      </c>
      <c r="J7" s="36"/>
      <c r="K7" s="35"/>
      <c r="L7" s="41"/>
    </row>
    <row r="8" spans="1:12" s="38" customFormat="1" ht="25.5">
      <c r="A8" s="4"/>
      <c r="B8" s="3" t="str">
        <f t="shared" si="0"/>
        <v>0x1005</v>
      </c>
      <c r="C8" s="3" t="str">
        <f t="shared" si="1"/>
        <v>0x1005</v>
      </c>
      <c r="D8" s="3">
        <f t="shared" si="3"/>
        <v>4101</v>
      </c>
      <c r="E8" s="3">
        <f t="shared" si="2"/>
        <v>4101</v>
      </c>
      <c r="F8" s="36" t="s">
        <v>129</v>
      </c>
      <c r="G8" s="36"/>
      <c r="H8" s="35"/>
      <c r="I8" s="35">
        <v>1</v>
      </c>
      <c r="J8" s="35"/>
      <c r="K8" s="35"/>
      <c r="L8" s="41"/>
    </row>
    <row r="9" spans="1:12" s="38" customFormat="1" ht="25.5">
      <c r="A9" s="4"/>
      <c r="B9" s="3" t="str">
        <f t="shared" si="0"/>
        <v>0x1006</v>
      </c>
      <c r="C9" s="3" t="str">
        <f t="shared" si="1"/>
        <v>0x1006</v>
      </c>
      <c r="D9" s="3">
        <f t="shared" si="3"/>
        <v>4102</v>
      </c>
      <c r="E9" s="3">
        <f t="shared" si="2"/>
        <v>4102</v>
      </c>
      <c r="F9" s="36" t="s">
        <v>130</v>
      </c>
      <c r="G9" s="36"/>
      <c r="H9" s="35"/>
      <c r="I9" s="35">
        <v>1</v>
      </c>
      <c r="J9" s="35"/>
      <c r="K9" s="35"/>
      <c r="L9" s="41"/>
    </row>
    <row r="10" spans="1:12" s="38" customFormat="1" ht="25.5">
      <c r="A10" s="4"/>
      <c r="B10" s="3" t="str">
        <f t="shared" si="0"/>
        <v>0x1007</v>
      </c>
      <c r="C10" s="3" t="str">
        <f t="shared" si="1"/>
        <v>0x1007</v>
      </c>
      <c r="D10" s="3">
        <f t="shared" si="3"/>
        <v>4103</v>
      </c>
      <c r="E10" s="3">
        <f t="shared" si="2"/>
        <v>4103</v>
      </c>
      <c r="F10" s="36" t="s">
        <v>131</v>
      </c>
      <c r="G10" s="36"/>
      <c r="H10" s="35"/>
      <c r="I10" s="35">
        <v>1</v>
      </c>
      <c r="J10" s="35"/>
      <c r="K10" s="35"/>
      <c r="L10" s="41"/>
    </row>
    <row r="11" spans="1:12" s="38" customFormat="1" ht="25.5">
      <c r="A11" s="4"/>
      <c r="B11" s="3" t="str">
        <f t="shared" si="0"/>
        <v>0x1008</v>
      </c>
      <c r="C11" s="3" t="str">
        <f t="shared" si="1"/>
        <v>0x1008</v>
      </c>
      <c r="D11" s="3">
        <f t="shared" si="3"/>
        <v>4104</v>
      </c>
      <c r="E11" s="3">
        <f t="shared" si="2"/>
        <v>4104</v>
      </c>
      <c r="F11" s="36" t="s">
        <v>132</v>
      </c>
      <c r="G11" s="36"/>
      <c r="H11" s="35"/>
      <c r="I11" s="35">
        <v>1</v>
      </c>
      <c r="J11" s="35"/>
      <c r="K11" s="35"/>
      <c r="L11" s="41"/>
    </row>
    <row r="12" spans="1:12" s="38" customFormat="1" ht="25.5">
      <c r="A12" s="4"/>
      <c r="B12" s="3" t="str">
        <f t="shared" si="0"/>
        <v>0x1009</v>
      </c>
      <c r="C12" s="3" t="str">
        <f t="shared" si="1"/>
        <v>0x1009</v>
      </c>
      <c r="D12" s="3">
        <f t="shared" si="3"/>
        <v>4105</v>
      </c>
      <c r="E12" s="3">
        <f t="shared" si="2"/>
        <v>4105</v>
      </c>
      <c r="F12" s="36" t="s">
        <v>133</v>
      </c>
      <c r="G12" s="36"/>
      <c r="H12" s="35"/>
      <c r="I12" s="35">
        <v>1</v>
      </c>
      <c r="J12" s="35"/>
      <c r="K12" s="35"/>
      <c r="L12" s="41"/>
    </row>
    <row r="13" spans="1:12" s="38" customFormat="1" ht="25.5">
      <c r="A13" s="4"/>
      <c r="B13" s="3" t="str">
        <f t="shared" si="0"/>
        <v>0x100A</v>
      </c>
      <c r="C13" s="3" t="str">
        <f t="shared" si="1"/>
        <v>0x100A</v>
      </c>
      <c r="D13" s="3">
        <f t="shared" si="3"/>
        <v>4106</v>
      </c>
      <c r="E13" s="3">
        <f t="shared" si="2"/>
        <v>4106</v>
      </c>
      <c r="F13" s="36" t="s">
        <v>134</v>
      </c>
      <c r="G13" s="36"/>
      <c r="H13" s="35"/>
      <c r="I13" s="35">
        <v>1</v>
      </c>
      <c r="J13" s="35"/>
      <c r="K13" s="35"/>
      <c r="L13" s="41"/>
    </row>
    <row r="14" spans="1:12" s="38" customFormat="1" ht="25.5">
      <c r="A14" s="4"/>
      <c r="B14" s="3" t="str">
        <f t="shared" si="0"/>
        <v>0x100B</v>
      </c>
      <c r="C14" s="3" t="str">
        <f t="shared" si="1"/>
        <v>0x100B</v>
      </c>
      <c r="D14" s="3">
        <f t="shared" si="3"/>
        <v>4107</v>
      </c>
      <c r="E14" s="3">
        <f t="shared" si="2"/>
        <v>4107</v>
      </c>
      <c r="F14" s="36" t="s">
        <v>135</v>
      </c>
      <c r="G14" s="36"/>
      <c r="H14" s="35"/>
      <c r="I14" s="35">
        <v>1</v>
      </c>
      <c r="J14" s="35"/>
      <c r="K14" s="35"/>
      <c r="L14" s="41"/>
    </row>
    <row r="15" spans="1:12" s="38" customFormat="1" ht="25.5">
      <c r="A15" s="4"/>
      <c r="B15" s="3" t="str">
        <f t="shared" si="0"/>
        <v>0x100C</v>
      </c>
      <c r="C15" s="3" t="str">
        <f t="shared" si="1"/>
        <v>0x100C</v>
      </c>
      <c r="D15" s="3">
        <f t="shared" si="3"/>
        <v>4108</v>
      </c>
      <c r="E15" s="3">
        <f t="shared" si="2"/>
        <v>4108</v>
      </c>
      <c r="F15" s="36" t="s">
        <v>136</v>
      </c>
      <c r="G15" s="36"/>
      <c r="H15" s="35"/>
      <c r="I15" s="35">
        <v>1</v>
      </c>
      <c r="J15" s="35"/>
      <c r="K15" s="35"/>
      <c r="L15" s="41"/>
    </row>
    <row r="16" spans="1:12" s="38" customFormat="1" ht="25.5">
      <c r="A16" s="4"/>
      <c r="B16" s="3" t="str">
        <f t="shared" si="0"/>
        <v>0x100D</v>
      </c>
      <c r="C16" s="3" t="str">
        <f t="shared" si="1"/>
        <v>0x100D</v>
      </c>
      <c r="D16" s="3">
        <f t="shared" si="3"/>
        <v>4109</v>
      </c>
      <c r="E16" s="3">
        <f t="shared" si="2"/>
        <v>4109</v>
      </c>
      <c r="F16" s="36" t="s">
        <v>137</v>
      </c>
      <c r="G16" s="36"/>
      <c r="H16" s="35"/>
      <c r="I16" s="35">
        <v>1</v>
      </c>
      <c r="J16" s="35"/>
      <c r="K16" s="35"/>
      <c r="L16" s="41"/>
    </row>
    <row r="17" spans="1:12" s="38" customFormat="1" ht="25.5">
      <c r="A17" s="4"/>
      <c r="B17" s="3" t="str">
        <f t="shared" si="0"/>
        <v>0x100E</v>
      </c>
      <c r="C17" s="3" t="str">
        <f t="shared" si="1"/>
        <v>0x100E</v>
      </c>
      <c r="D17" s="3">
        <f t="shared" si="3"/>
        <v>4110</v>
      </c>
      <c r="E17" s="3">
        <f t="shared" si="2"/>
        <v>4110</v>
      </c>
      <c r="F17" s="36" t="s">
        <v>138</v>
      </c>
      <c r="G17" s="36"/>
      <c r="H17" s="35"/>
      <c r="I17" s="35">
        <v>1</v>
      </c>
      <c r="J17" s="35"/>
      <c r="K17" s="35"/>
      <c r="L17" s="41"/>
    </row>
    <row r="18" spans="1:12">
      <c r="B18" s="3" t="str">
        <f t="shared" si="0"/>
        <v>0x100F</v>
      </c>
      <c r="C18" s="3" t="str">
        <f t="shared" si="1"/>
        <v>0x100F</v>
      </c>
      <c r="D18" s="3">
        <f t="shared" si="3"/>
        <v>4111</v>
      </c>
      <c r="E18" s="3">
        <f t="shared" si="2"/>
        <v>4111</v>
      </c>
      <c r="F18" s="3" t="s">
        <v>139</v>
      </c>
      <c r="G18" s="13" t="s">
        <v>100</v>
      </c>
      <c r="H18" s="13" t="s">
        <v>95</v>
      </c>
      <c r="I18" s="3">
        <v>1</v>
      </c>
      <c r="J18" s="13" t="s">
        <v>140</v>
      </c>
      <c r="K18" s="3">
        <v>1</v>
      </c>
    </row>
    <row r="19" spans="1:12">
      <c r="B19" s="3" t="str">
        <f t="shared" si="0"/>
        <v>0x1010</v>
      </c>
      <c r="C19" s="3" t="str">
        <f t="shared" si="1"/>
        <v>0x1010</v>
      </c>
      <c r="D19" s="3">
        <f t="shared" si="3"/>
        <v>4112</v>
      </c>
      <c r="E19" s="3">
        <f t="shared" si="2"/>
        <v>4112</v>
      </c>
      <c r="F19" s="35" t="s">
        <v>141</v>
      </c>
      <c r="G19" s="36"/>
      <c r="H19" s="35"/>
      <c r="I19" s="35">
        <v>1</v>
      </c>
      <c r="J19" s="36"/>
      <c r="K19" s="35"/>
    </row>
    <row r="20" spans="1:12" s="38" customFormat="1" ht="12.75">
      <c r="A20" s="4"/>
      <c r="B20" s="3" t="str">
        <f t="shared" si="0"/>
        <v>0x1011</v>
      </c>
      <c r="C20" s="3" t="str">
        <f t="shared" si="1"/>
        <v>0x1011</v>
      </c>
      <c r="D20" s="3">
        <f t="shared" si="3"/>
        <v>4113</v>
      </c>
      <c r="E20" s="3">
        <f t="shared" si="2"/>
        <v>4113</v>
      </c>
      <c r="F20" s="35" t="s">
        <v>142</v>
      </c>
      <c r="G20" s="36"/>
      <c r="H20" s="35"/>
      <c r="I20" s="35">
        <v>1</v>
      </c>
      <c r="J20" s="36"/>
      <c r="K20" s="35"/>
      <c r="L20" s="41"/>
    </row>
    <row r="21" spans="1:12" s="38" customFormat="1" ht="12.75">
      <c r="A21" s="4"/>
      <c r="B21" s="3" t="str">
        <f t="shared" si="0"/>
        <v>0x1012</v>
      </c>
      <c r="C21" s="3" t="str">
        <f t="shared" si="1"/>
        <v>0x1012</v>
      </c>
      <c r="D21" s="3">
        <f t="shared" si="3"/>
        <v>4114</v>
      </c>
      <c r="E21" s="3">
        <f t="shared" si="2"/>
        <v>4114</v>
      </c>
      <c r="F21" s="35" t="s">
        <v>143</v>
      </c>
      <c r="G21" s="36"/>
      <c r="H21" s="35"/>
      <c r="I21" s="35">
        <v>1</v>
      </c>
      <c r="J21" s="36"/>
      <c r="K21" s="35"/>
      <c r="L21" s="41"/>
    </row>
    <row r="22" spans="1:12" s="38" customFormat="1" ht="12.75">
      <c r="A22" s="4"/>
      <c r="B22" s="3" t="str">
        <f t="shared" si="0"/>
        <v>0x1013</v>
      </c>
      <c r="C22" s="3" t="str">
        <f t="shared" si="1"/>
        <v>0x1013</v>
      </c>
      <c r="D22" s="3">
        <f t="shared" si="3"/>
        <v>4115</v>
      </c>
      <c r="E22" s="3">
        <f t="shared" si="2"/>
        <v>4115</v>
      </c>
      <c r="F22" s="43" t="s">
        <v>144</v>
      </c>
      <c r="G22" s="36"/>
      <c r="H22" s="44"/>
      <c r="I22" s="44">
        <v>1</v>
      </c>
      <c r="J22" s="44"/>
      <c r="K22" s="44"/>
      <c r="L22" s="41"/>
    </row>
    <row r="23" spans="1:12" s="38" customFormat="1" ht="12.75">
      <c r="A23" s="4"/>
      <c r="B23" s="3" t="str">
        <f t="shared" si="0"/>
        <v>0x1014</v>
      </c>
      <c r="C23" s="3" t="str">
        <f t="shared" si="1"/>
        <v>0x1014</v>
      </c>
      <c r="D23" s="3">
        <f t="shared" si="3"/>
        <v>4116</v>
      </c>
      <c r="E23" s="3">
        <f t="shared" si="2"/>
        <v>4116</v>
      </c>
      <c r="F23" s="43" t="s">
        <v>145</v>
      </c>
      <c r="G23" s="36"/>
      <c r="H23" s="44"/>
      <c r="I23" s="44">
        <v>1</v>
      </c>
      <c r="J23" s="44"/>
      <c r="K23" s="36"/>
      <c r="L23" s="41"/>
    </row>
    <row r="24" spans="1:12" s="38" customFormat="1" ht="12.75">
      <c r="A24" s="4"/>
      <c r="B24" s="3" t="str">
        <f t="shared" si="0"/>
        <v>0x1015</v>
      </c>
      <c r="C24" s="3" t="str">
        <f t="shared" si="1"/>
        <v>0x1016</v>
      </c>
      <c r="D24" s="3">
        <f t="shared" si="3"/>
        <v>4117</v>
      </c>
      <c r="E24" s="3">
        <f t="shared" si="2"/>
        <v>4118</v>
      </c>
      <c r="F24" s="43" t="s">
        <v>146</v>
      </c>
      <c r="G24" s="36"/>
      <c r="H24" s="44"/>
      <c r="I24" s="44">
        <v>2</v>
      </c>
      <c r="J24" s="45"/>
      <c r="K24" s="36"/>
      <c r="L24" s="41"/>
    </row>
    <row r="25" spans="1:12" s="38" customFormat="1" ht="12.75">
      <c r="A25" s="4"/>
      <c r="B25" s="3" t="str">
        <f t="shared" si="0"/>
        <v>0x1017</v>
      </c>
      <c r="C25" s="3" t="str">
        <f t="shared" si="1"/>
        <v>0x1017</v>
      </c>
      <c r="D25" s="3">
        <f t="shared" si="3"/>
        <v>4119</v>
      </c>
      <c r="E25" s="3">
        <f t="shared" si="2"/>
        <v>4119</v>
      </c>
      <c r="F25" s="44" t="s">
        <v>147</v>
      </c>
      <c r="G25" s="36"/>
      <c r="H25" s="44"/>
      <c r="I25" s="44">
        <v>1</v>
      </c>
      <c r="J25" s="44"/>
      <c r="K25" s="36"/>
      <c r="L25" s="41"/>
    </row>
    <row r="26" spans="1:12">
      <c r="B26" s="3" t="str">
        <f t="shared" si="0"/>
        <v>0x1018</v>
      </c>
      <c r="C26" s="3" t="str">
        <f t="shared" si="1"/>
        <v>0x1018</v>
      </c>
      <c r="D26" s="3">
        <f t="shared" si="3"/>
        <v>4120</v>
      </c>
      <c r="E26" s="3">
        <f t="shared" si="2"/>
        <v>4120</v>
      </c>
      <c r="F26" s="13" t="s">
        <v>148</v>
      </c>
      <c r="G26" s="13" t="s">
        <v>100</v>
      </c>
      <c r="H26" s="13" t="s">
        <v>95</v>
      </c>
      <c r="I26" s="13">
        <v>1</v>
      </c>
      <c r="J26" s="13" t="s">
        <v>149</v>
      </c>
      <c r="K26" s="13">
        <v>1</v>
      </c>
    </row>
    <row r="27" spans="1:12">
      <c r="B27" s="3" t="str">
        <f t="shared" si="0"/>
        <v>0x1019</v>
      </c>
      <c r="C27" s="3" t="str">
        <f t="shared" si="1"/>
        <v>0x101A</v>
      </c>
      <c r="D27" s="3">
        <f t="shared" si="3"/>
        <v>4121</v>
      </c>
      <c r="E27" s="3">
        <f t="shared" si="2"/>
        <v>4122</v>
      </c>
      <c r="F27" s="13" t="s">
        <v>150</v>
      </c>
      <c r="G27" s="13" t="s">
        <v>151</v>
      </c>
      <c r="H27" s="14" t="s">
        <v>75</v>
      </c>
      <c r="I27" s="13">
        <v>2</v>
      </c>
      <c r="J27" s="13" t="s">
        <v>152</v>
      </c>
      <c r="K27" s="13">
        <v>0</v>
      </c>
    </row>
    <row r="28" spans="1:12">
      <c r="B28" s="3" t="str">
        <f t="shared" si="0"/>
        <v>0x101B</v>
      </c>
      <c r="C28" s="3" t="str">
        <f t="shared" si="1"/>
        <v>0x101C</v>
      </c>
      <c r="D28" s="3">
        <f t="shared" si="3"/>
        <v>4123</v>
      </c>
      <c r="E28" s="3">
        <f t="shared" si="2"/>
        <v>4124</v>
      </c>
      <c r="F28" s="13" t="s">
        <v>153</v>
      </c>
      <c r="G28" s="13" t="s">
        <v>151</v>
      </c>
      <c r="H28" s="14" t="s">
        <v>75</v>
      </c>
      <c r="I28" s="13">
        <v>2</v>
      </c>
      <c r="J28" s="13" t="s">
        <v>152</v>
      </c>
      <c r="K28" s="13">
        <v>0</v>
      </c>
    </row>
    <row r="29" spans="1:12">
      <c r="B29" s="3" t="str">
        <f t="shared" si="0"/>
        <v>0x101D</v>
      </c>
      <c r="C29" s="3" t="str">
        <f t="shared" si="1"/>
        <v>0x101D</v>
      </c>
      <c r="D29" s="3">
        <f t="shared" si="3"/>
        <v>4125</v>
      </c>
      <c r="E29" s="3">
        <f t="shared" si="2"/>
        <v>4125</v>
      </c>
      <c r="F29" s="36" t="s">
        <v>154</v>
      </c>
      <c r="G29" s="36"/>
      <c r="H29" s="36"/>
      <c r="I29" s="36">
        <v>1</v>
      </c>
      <c r="J29" s="36"/>
      <c r="K29" s="36"/>
    </row>
    <row r="30" spans="1:12">
      <c r="B30" s="5" t="str">
        <f t="shared" si="0"/>
        <v>0x101E</v>
      </c>
      <c r="C30" s="5" t="str">
        <f t="shared" si="1"/>
        <v>0x101E</v>
      </c>
      <c r="D30" s="5">
        <f t="shared" si="3"/>
        <v>4126</v>
      </c>
      <c r="E30" s="5">
        <f t="shared" si="2"/>
        <v>4126</v>
      </c>
      <c r="F30" s="36" t="s">
        <v>155</v>
      </c>
      <c r="G30" s="36"/>
      <c r="H30" s="36"/>
      <c r="I30" s="36">
        <v>1</v>
      </c>
      <c r="J30" s="36"/>
      <c r="K30" s="36"/>
    </row>
    <row r="31" spans="1:12">
      <c r="B31" s="3" t="str">
        <f t="shared" si="0"/>
        <v>0x101F</v>
      </c>
      <c r="C31" s="3" t="str">
        <f t="shared" si="1"/>
        <v>0x101F</v>
      </c>
      <c r="D31" s="3">
        <f t="shared" si="3"/>
        <v>4127</v>
      </c>
      <c r="E31" s="3">
        <f t="shared" si="2"/>
        <v>4127</v>
      </c>
      <c r="F31" s="3" t="s">
        <v>156</v>
      </c>
      <c r="G31" s="13" t="s">
        <v>100</v>
      </c>
      <c r="H31" s="3" t="s">
        <v>95</v>
      </c>
      <c r="I31" s="3">
        <v>1</v>
      </c>
      <c r="J31" s="3" t="s">
        <v>157</v>
      </c>
      <c r="K31" s="3">
        <v>1</v>
      </c>
    </row>
    <row r="32" spans="1:12">
      <c r="B32" s="3" t="str">
        <f t="shared" si="0"/>
        <v>0x1020</v>
      </c>
      <c r="C32" s="3" t="str">
        <f t="shared" si="1"/>
        <v>0x1020</v>
      </c>
      <c r="D32" s="3">
        <f t="shared" si="3"/>
        <v>4128</v>
      </c>
      <c r="E32" s="3">
        <f t="shared" si="2"/>
        <v>4128</v>
      </c>
      <c r="F32" s="3" t="s">
        <v>158</v>
      </c>
      <c r="G32" s="13" t="s">
        <v>100</v>
      </c>
      <c r="H32" s="3" t="s">
        <v>95</v>
      </c>
      <c r="I32" s="3">
        <v>1</v>
      </c>
      <c r="J32" s="3" t="s">
        <v>159</v>
      </c>
      <c r="K32" s="3">
        <v>2024</v>
      </c>
    </row>
    <row r="33" spans="1:11">
      <c r="B33" s="3" t="str">
        <f t="shared" si="0"/>
        <v>0x1021</v>
      </c>
      <c r="C33" s="3" t="str">
        <f t="shared" si="1"/>
        <v>0x1021</v>
      </c>
      <c r="D33" s="3">
        <f t="shared" si="3"/>
        <v>4129</v>
      </c>
      <c r="E33" s="3">
        <f t="shared" si="2"/>
        <v>4129</v>
      </c>
      <c r="F33" s="3" t="s">
        <v>160</v>
      </c>
      <c r="G33" s="13" t="s">
        <v>100</v>
      </c>
      <c r="H33" s="3" t="s">
        <v>95</v>
      </c>
      <c r="I33" s="3">
        <v>1</v>
      </c>
      <c r="J33" s="3" t="s">
        <v>161</v>
      </c>
      <c r="K33" s="3">
        <v>1</v>
      </c>
    </row>
    <row r="34" spans="1:11">
      <c r="B34" s="3" t="str">
        <f t="shared" si="0"/>
        <v>0x1022</v>
      </c>
      <c r="C34" s="3" t="str">
        <f t="shared" si="1"/>
        <v>0x1022</v>
      </c>
      <c r="D34" s="3">
        <f t="shared" si="3"/>
        <v>4130</v>
      </c>
      <c r="E34" s="3">
        <f t="shared" si="2"/>
        <v>4130</v>
      </c>
      <c r="F34" s="3" t="s">
        <v>162</v>
      </c>
      <c r="G34" s="13" t="s">
        <v>100</v>
      </c>
      <c r="H34" s="3" t="s">
        <v>95</v>
      </c>
      <c r="I34" s="3">
        <v>1</v>
      </c>
      <c r="J34" s="3" t="s">
        <v>163</v>
      </c>
      <c r="K34" s="3">
        <v>1</v>
      </c>
    </row>
    <row r="35" spans="1:11">
      <c r="B35" s="3" t="str">
        <f t="shared" si="0"/>
        <v>0x1023</v>
      </c>
      <c r="C35" s="3" t="str">
        <f t="shared" si="1"/>
        <v>0x1023</v>
      </c>
      <c r="D35" s="3">
        <f t="shared" si="3"/>
        <v>4131</v>
      </c>
      <c r="E35" s="3">
        <f t="shared" si="2"/>
        <v>4131</v>
      </c>
      <c r="F35" s="3" t="s">
        <v>164</v>
      </c>
      <c r="G35" s="13" t="s">
        <v>100</v>
      </c>
      <c r="H35" s="3" t="s">
        <v>95</v>
      </c>
      <c r="I35" s="3">
        <v>1</v>
      </c>
      <c r="J35" s="3" t="s">
        <v>165</v>
      </c>
      <c r="K35" s="3">
        <v>0</v>
      </c>
    </row>
    <row r="36" spans="1:11">
      <c r="B36" s="3" t="str">
        <f t="shared" si="0"/>
        <v>0x1024</v>
      </c>
      <c r="C36" s="3" t="str">
        <f t="shared" si="1"/>
        <v>0x1024</v>
      </c>
      <c r="D36" s="3">
        <f t="shared" si="3"/>
        <v>4132</v>
      </c>
      <c r="E36" s="3">
        <f t="shared" si="2"/>
        <v>4132</v>
      </c>
      <c r="F36" s="3" t="s">
        <v>166</v>
      </c>
      <c r="G36" s="13" t="s">
        <v>100</v>
      </c>
      <c r="H36" s="3" t="s">
        <v>95</v>
      </c>
      <c r="I36" s="3">
        <v>1</v>
      </c>
      <c r="J36" s="3" t="s">
        <v>167</v>
      </c>
      <c r="K36" s="3">
        <v>0</v>
      </c>
    </row>
    <row r="37" spans="1:11">
      <c r="B37" s="3" t="str">
        <f t="shared" si="0"/>
        <v>0x1025</v>
      </c>
      <c r="C37" s="3" t="str">
        <f t="shared" si="1"/>
        <v>0x1025</v>
      </c>
      <c r="D37" s="3">
        <f t="shared" si="3"/>
        <v>4133</v>
      </c>
      <c r="E37" s="3">
        <f t="shared" si="2"/>
        <v>4133</v>
      </c>
      <c r="F37" s="3" t="s">
        <v>168</v>
      </c>
      <c r="G37" s="13" t="s">
        <v>100</v>
      </c>
      <c r="H37" s="3" t="s">
        <v>95</v>
      </c>
      <c r="I37" s="3">
        <v>1</v>
      </c>
      <c r="J37" s="3" t="s">
        <v>167</v>
      </c>
      <c r="K37" s="3">
        <v>0</v>
      </c>
    </row>
    <row r="38" spans="1:11">
      <c r="B38" s="3" t="str">
        <f t="shared" si="0"/>
        <v>0x1026</v>
      </c>
      <c r="C38" s="3" t="str">
        <f>"0x"&amp;DEC2HEX(E38,4)</f>
        <v>0x1026</v>
      </c>
      <c r="D38" s="3">
        <f t="shared" si="3"/>
        <v>4134</v>
      </c>
      <c r="E38" s="3">
        <f>D38+I38-1</f>
        <v>4134</v>
      </c>
      <c r="F38" s="3" t="s">
        <v>169</v>
      </c>
      <c r="G38" s="13" t="s">
        <v>100</v>
      </c>
      <c r="H38" s="3" t="s">
        <v>95</v>
      </c>
      <c r="I38" s="3">
        <v>1</v>
      </c>
      <c r="J38" s="3"/>
      <c r="K38" s="3"/>
    </row>
    <row r="39" spans="1:11" ht="25.5">
      <c r="B39" s="3" t="str">
        <f t="shared" ref="B39:B40" si="4">"0x"&amp;DEC2HEX(D39,4)</f>
        <v>0x1027</v>
      </c>
      <c r="C39" s="3" t="str">
        <f t="shared" ref="C39:C40" si="5">"0x"&amp;DEC2HEX(E39,4)</f>
        <v>0x1027</v>
      </c>
      <c r="D39" s="3">
        <f t="shared" ref="D39:D40" si="6">D38+I38</f>
        <v>4135</v>
      </c>
      <c r="E39" s="3">
        <f t="shared" ref="E39:E40" si="7">D39+I39-1</f>
        <v>4135</v>
      </c>
      <c r="F39" s="13" t="s">
        <v>170</v>
      </c>
      <c r="G39" s="13" t="s">
        <v>100</v>
      </c>
      <c r="H39" s="13" t="s">
        <v>95</v>
      </c>
      <c r="I39" s="13">
        <v>1</v>
      </c>
      <c r="J39" s="13" t="s">
        <v>123</v>
      </c>
      <c r="K39" s="13">
        <v>19200</v>
      </c>
    </row>
    <row r="40" spans="1:11" ht="51">
      <c r="B40" s="3" t="str">
        <f t="shared" si="4"/>
        <v>0x1028</v>
      </c>
      <c r="C40" s="3" t="str">
        <f t="shared" si="5"/>
        <v>0x1028</v>
      </c>
      <c r="D40" s="3">
        <f t="shared" si="6"/>
        <v>4136</v>
      </c>
      <c r="E40" s="3">
        <f t="shared" si="7"/>
        <v>4136</v>
      </c>
      <c r="F40" s="13" t="s">
        <v>171</v>
      </c>
      <c r="G40" s="13" t="s">
        <v>100</v>
      </c>
      <c r="H40" s="13" t="s">
        <v>95</v>
      </c>
      <c r="I40" s="13">
        <v>1</v>
      </c>
      <c r="J40" s="13" t="s">
        <v>125</v>
      </c>
      <c r="K40" s="13" t="s">
        <v>126</v>
      </c>
    </row>
    <row r="41" spans="1:11" ht="28.5">
      <c r="B41" s="16" t="str">
        <f t="shared" ref="B41" si="8">"0x"&amp;DEC2HEX(D41,4)</f>
        <v>0x1029</v>
      </c>
      <c r="C41" s="16" t="str">
        <f t="shared" ref="C41" si="9">"0x"&amp;DEC2HEX(E41,4)</f>
        <v>0x102A</v>
      </c>
      <c r="D41" s="16">
        <f t="shared" ref="D41" si="10">D40+I40</f>
        <v>4137</v>
      </c>
      <c r="E41" s="16">
        <f t="shared" ref="E41" si="11">D41+I41-1</f>
        <v>4138</v>
      </c>
      <c r="F41" s="89" t="s">
        <v>172</v>
      </c>
      <c r="G41" s="90" t="s">
        <v>151</v>
      </c>
      <c r="H41" s="90" t="s">
        <v>75</v>
      </c>
      <c r="I41" s="90">
        <v>2</v>
      </c>
      <c r="J41" s="91" t="s">
        <v>173</v>
      </c>
      <c r="K41" s="90">
        <v>0</v>
      </c>
    </row>
    <row r="43" spans="1:11">
      <c r="A43" t="s">
        <v>174</v>
      </c>
    </row>
    <row r="44" spans="1:11" ht="25.5">
      <c r="B44" s="3" t="str">
        <f t="shared" ref="B44:B79" si="12">"0x"&amp;DEC2HEX(D44,4)</f>
        <v>0x1040</v>
      </c>
      <c r="C44" s="3" t="str">
        <f t="shared" ref="C44:C78" si="13">"0x"&amp;DEC2HEX(E44,4)</f>
        <v>0x1040</v>
      </c>
      <c r="D44" s="3">
        <v>4160</v>
      </c>
      <c r="E44" s="3">
        <f t="shared" ref="E44:E78" si="14">D44+I44-1</f>
        <v>4160</v>
      </c>
      <c r="F44" s="3" t="s">
        <v>175</v>
      </c>
      <c r="G44" s="13" t="s">
        <v>100</v>
      </c>
      <c r="H44" s="13" t="s">
        <v>75</v>
      </c>
      <c r="I44" s="13">
        <v>1</v>
      </c>
      <c r="J44" s="13" t="s">
        <v>176</v>
      </c>
      <c r="K44" s="13"/>
    </row>
    <row r="45" spans="1:11" ht="25.5">
      <c r="B45" s="3" t="str">
        <f t="shared" si="12"/>
        <v>0x1041</v>
      </c>
      <c r="C45" s="3" t="str">
        <f t="shared" si="13"/>
        <v>0x1041</v>
      </c>
      <c r="D45" s="3">
        <f t="shared" ref="D45:D79" si="15">D44+I44</f>
        <v>4161</v>
      </c>
      <c r="E45" s="3">
        <f t="shared" si="14"/>
        <v>4161</v>
      </c>
      <c r="F45" s="3" t="s">
        <v>177</v>
      </c>
      <c r="G45" s="13" t="s">
        <v>100</v>
      </c>
      <c r="H45" s="13" t="s">
        <v>95</v>
      </c>
      <c r="I45" s="13">
        <v>1</v>
      </c>
      <c r="J45" s="15" t="s">
        <v>178</v>
      </c>
      <c r="K45" s="13">
        <v>1</v>
      </c>
    </row>
    <row r="46" spans="1:11" ht="57.75" customHeight="1">
      <c r="B46" s="3" t="str">
        <f t="shared" si="12"/>
        <v>0x1042</v>
      </c>
      <c r="C46" s="3" t="str">
        <f t="shared" si="13"/>
        <v>0x1042</v>
      </c>
      <c r="D46" s="3">
        <f t="shared" si="15"/>
        <v>4162</v>
      </c>
      <c r="E46" s="3">
        <f t="shared" si="14"/>
        <v>4162</v>
      </c>
      <c r="F46" s="3" t="s">
        <v>179</v>
      </c>
      <c r="G46" s="13" t="s">
        <v>100</v>
      </c>
      <c r="H46" s="13" t="s">
        <v>95</v>
      </c>
      <c r="I46" s="13">
        <v>1</v>
      </c>
      <c r="J46" s="15" t="s">
        <v>180</v>
      </c>
      <c r="K46" s="13">
        <v>2</v>
      </c>
    </row>
    <row r="47" spans="1:11">
      <c r="B47" s="3" t="str">
        <f t="shared" si="12"/>
        <v>0x1043</v>
      </c>
      <c r="C47" s="3" t="str">
        <f t="shared" si="13"/>
        <v>0x1044</v>
      </c>
      <c r="D47" s="3">
        <f t="shared" si="15"/>
        <v>4163</v>
      </c>
      <c r="E47" s="3">
        <f t="shared" si="14"/>
        <v>4164</v>
      </c>
      <c r="F47" s="35" t="s">
        <v>181</v>
      </c>
      <c r="G47" s="36"/>
      <c r="H47" s="36"/>
      <c r="I47" s="35">
        <v>2</v>
      </c>
      <c r="J47" s="35"/>
      <c r="K47" s="47"/>
    </row>
    <row r="48" spans="1:11">
      <c r="B48" s="3" t="str">
        <f t="shared" si="12"/>
        <v>0x1045</v>
      </c>
      <c r="C48" s="3" t="str">
        <f t="shared" si="13"/>
        <v>0x1045</v>
      </c>
      <c r="D48" s="3">
        <f t="shared" si="15"/>
        <v>4165</v>
      </c>
      <c r="E48" s="3">
        <f t="shared" si="14"/>
        <v>4165</v>
      </c>
      <c r="F48" s="35" t="s">
        <v>182</v>
      </c>
      <c r="G48" s="36"/>
      <c r="H48" s="36"/>
      <c r="I48" s="35">
        <v>1</v>
      </c>
      <c r="J48" s="47"/>
      <c r="K48" s="47"/>
    </row>
    <row r="49" spans="1:12">
      <c r="B49" s="3" t="str">
        <f t="shared" si="12"/>
        <v>0x1046</v>
      </c>
      <c r="C49" s="3" t="str">
        <f t="shared" si="13"/>
        <v>0x1046</v>
      </c>
      <c r="D49" s="3">
        <f t="shared" si="15"/>
        <v>4166</v>
      </c>
      <c r="E49" s="3">
        <f t="shared" si="14"/>
        <v>4166</v>
      </c>
      <c r="F49" s="35" t="s">
        <v>183</v>
      </c>
      <c r="G49" s="36"/>
      <c r="H49" s="36"/>
      <c r="I49" s="35">
        <v>1</v>
      </c>
      <c r="J49" s="36"/>
      <c r="K49" s="35"/>
    </row>
    <row r="50" spans="1:12">
      <c r="B50" s="3" t="str">
        <f t="shared" si="12"/>
        <v>0x1047</v>
      </c>
      <c r="C50" s="3" t="str">
        <f t="shared" si="13"/>
        <v>0x1047</v>
      </c>
      <c r="D50" s="3">
        <f t="shared" si="15"/>
        <v>4167</v>
      </c>
      <c r="E50" s="3">
        <f t="shared" si="14"/>
        <v>4167</v>
      </c>
      <c r="F50" s="3" t="s">
        <v>184</v>
      </c>
      <c r="G50" s="13" t="s">
        <v>100</v>
      </c>
      <c r="H50" s="13" t="s">
        <v>95</v>
      </c>
      <c r="I50" s="3">
        <v>1</v>
      </c>
      <c r="J50" s="48" t="s">
        <v>185</v>
      </c>
      <c r="K50" s="3">
        <v>1</v>
      </c>
    </row>
    <row r="51" spans="1:12" ht="25.5">
      <c r="B51" s="3" t="str">
        <f t="shared" si="12"/>
        <v>0x1048</v>
      </c>
      <c r="C51" s="3" t="str">
        <f t="shared" si="13"/>
        <v>0x1048</v>
      </c>
      <c r="D51" s="3">
        <f t="shared" si="15"/>
        <v>4168</v>
      </c>
      <c r="E51" s="3">
        <f t="shared" si="14"/>
        <v>4168</v>
      </c>
      <c r="F51" s="3" t="s">
        <v>186</v>
      </c>
      <c r="G51" s="13" t="s">
        <v>100</v>
      </c>
      <c r="H51" s="13" t="s">
        <v>95</v>
      </c>
      <c r="I51" s="3">
        <v>1</v>
      </c>
      <c r="J51" s="13" t="s">
        <v>187</v>
      </c>
      <c r="K51" s="3">
        <v>0</v>
      </c>
    </row>
    <row r="52" spans="1:12">
      <c r="B52" s="3" t="str">
        <f t="shared" si="12"/>
        <v>0x1049</v>
      </c>
      <c r="C52" s="3" t="str">
        <f t="shared" si="13"/>
        <v>0x1049</v>
      </c>
      <c r="D52" s="3">
        <f t="shared" si="15"/>
        <v>4169</v>
      </c>
      <c r="E52" s="3">
        <f t="shared" si="14"/>
        <v>4169</v>
      </c>
      <c r="F52" s="3" t="s">
        <v>188</v>
      </c>
      <c r="G52" s="13" t="s">
        <v>100</v>
      </c>
      <c r="H52" s="13" t="s">
        <v>95</v>
      </c>
      <c r="I52" s="3">
        <v>1</v>
      </c>
      <c r="J52" s="13" t="s">
        <v>189</v>
      </c>
      <c r="K52" s="13" t="s">
        <v>190</v>
      </c>
    </row>
    <row r="53" spans="1:12">
      <c r="B53" s="3" t="str">
        <f t="shared" si="12"/>
        <v>0x104A</v>
      </c>
      <c r="C53" s="3" t="str">
        <f t="shared" si="13"/>
        <v>0x104A</v>
      </c>
      <c r="D53" s="3">
        <f t="shared" si="15"/>
        <v>4170</v>
      </c>
      <c r="E53" s="3">
        <f t="shared" si="14"/>
        <v>4170</v>
      </c>
      <c r="F53" s="3" t="s">
        <v>191</v>
      </c>
      <c r="G53" s="13" t="s">
        <v>192</v>
      </c>
      <c r="H53" s="13" t="s">
        <v>193</v>
      </c>
      <c r="I53" s="3">
        <v>1</v>
      </c>
      <c r="J53" s="13" t="s">
        <v>194</v>
      </c>
      <c r="K53" s="3">
        <v>200</v>
      </c>
    </row>
    <row r="54" spans="1:12">
      <c r="B54" s="3" t="str">
        <f t="shared" si="12"/>
        <v>0x104B</v>
      </c>
      <c r="C54" s="3" t="str">
        <f t="shared" si="13"/>
        <v>0x104B</v>
      </c>
      <c r="D54" s="3">
        <f t="shared" si="15"/>
        <v>4171</v>
      </c>
      <c r="E54" s="3">
        <f t="shared" si="14"/>
        <v>4171</v>
      </c>
      <c r="F54" s="3" t="s">
        <v>195</v>
      </c>
      <c r="G54" s="13" t="s">
        <v>100</v>
      </c>
      <c r="H54" s="13" t="s">
        <v>95</v>
      </c>
      <c r="I54" s="3">
        <v>1</v>
      </c>
      <c r="J54" s="48" t="s">
        <v>196</v>
      </c>
      <c r="K54" s="3">
        <v>2</v>
      </c>
    </row>
    <row r="55" spans="1:12" ht="25.5">
      <c r="B55" s="3" t="str">
        <f t="shared" si="12"/>
        <v>0x104C</v>
      </c>
      <c r="C55" s="3" t="str">
        <f t="shared" si="13"/>
        <v>0x104C</v>
      </c>
      <c r="D55" s="3">
        <f t="shared" si="15"/>
        <v>4172</v>
      </c>
      <c r="E55" s="3">
        <f t="shared" si="14"/>
        <v>4172</v>
      </c>
      <c r="F55" s="3" t="s">
        <v>197</v>
      </c>
      <c r="G55" s="13" t="s">
        <v>100</v>
      </c>
      <c r="H55" s="13" t="s">
        <v>95</v>
      </c>
      <c r="I55" s="3">
        <v>1</v>
      </c>
      <c r="J55" s="13" t="s">
        <v>187</v>
      </c>
      <c r="K55" s="3">
        <v>0</v>
      </c>
    </row>
    <row r="56" spans="1:12">
      <c r="B56" s="3" t="str">
        <f t="shared" si="12"/>
        <v>0x104D</v>
      </c>
      <c r="C56" s="3" t="str">
        <f t="shared" si="13"/>
        <v>0x104D</v>
      </c>
      <c r="D56" s="3">
        <f t="shared" si="15"/>
        <v>4173</v>
      </c>
      <c r="E56" s="3">
        <f t="shared" si="14"/>
        <v>4173</v>
      </c>
      <c r="F56" s="3" t="s">
        <v>198</v>
      </c>
      <c r="G56" s="13" t="s">
        <v>100</v>
      </c>
      <c r="H56" s="13" t="s">
        <v>95</v>
      </c>
      <c r="I56" s="3">
        <v>1</v>
      </c>
      <c r="J56" s="13" t="s">
        <v>189</v>
      </c>
      <c r="K56" s="13" t="s">
        <v>190</v>
      </c>
    </row>
    <row r="57" spans="1:12">
      <c r="B57" s="3" t="str">
        <f t="shared" si="12"/>
        <v>0x104E</v>
      </c>
      <c r="C57" s="3" t="str">
        <f t="shared" si="13"/>
        <v>0x104E</v>
      </c>
      <c r="D57" s="3">
        <f t="shared" si="15"/>
        <v>4174</v>
      </c>
      <c r="E57" s="3">
        <f t="shared" si="14"/>
        <v>4174</v>
      </c>
      <c r="F57" s="3" t="s">
        <v>199</v>
      </c>
      <c r="G57" s="13" t="s">
        <v>192</v>
      </c>
      <c r="H57" s="13" t="s">
        <v>193</v>
      </c>
      <c r="I57" s="3">
        <v>1</v>
      </c>
      <c r="J57" s="13" t="s">
        <v>194</v>
      </c>
      <c r="K57" s="16">
        <v>400</v>
      </c>
    </row>
    <row r="58" spans="1:12">
      <c r="B58" s="3" t="str">
        <f t="shared" si="12"/>
        <v>0x104F</v>
      </c>
      <c r="C58" s="3" t="str">
        <f t="shared" si="13"/>
        <v>0x104F</v>
      </c>
      <c r="D58" s="3">
        <f t="shared" si="15"/>
        <v>4175</v>
      </c>
      <c r="E58" s="3">
        <f t="shared" si="14"/>
        <v>4175</v>
      </c>
      <c r="F58" s="3" t="s">
        <v>200</v>
      </c>
      <c r="G58" s="13" t="s">
        <v>100</v>
      </c>
      <c r="H58" s="13" t="s">
        <v>95</v>
      </c>
      <c r="I58" s="3">
        <v>1</v>
      </c>
      <c r="J58" s="48" t="s">
        <v>196</v>
      </c>
      <c r="K58" s="3">
        <v>3</v>
      </c>
    </row>
    <row r="59" spans="1:12" ht="25.5">
      <c r="B59" s="3" t="str">
        <f t="shared" si="12"/>
        <v>0x1050</v>
      </c>
      <c r="C59" s="3" t="str">
        <f t="shared" si="13"/>
        <v>0x1050</v>
      </c>
      <c r="D59" s="3">
        <f t="shared" si="15"/>
        <v>4176</v>
      </c>
      <c r="E59" s="3">
        <f t="shared" si="14"/>
        <v>4176</v>
      </c>
      <c r="F59" s="3" t="s">
        <v>201</v>
      </c>
      <c r="G59" s="13" t="s">
        <v>100</v>
      </c>
      <c r="H59" s="13" t="s">
        <v>95</v>
      </c>
      <c r="I59" s="3">
        <v>1</v>
      </c>
      <c r="J59" s="13" t="s">
        <v>187</v>
      </c>
      <c r="K59" s="3">
        <v>0</v>
      </c>
    </row>
    <row r="60" spans="1:12">
      <c r="B60" s="3" t="str">
        <f t="shared" si="12"/>
        <v>0x1051</v>
      </c>
      <c r="C60" s="3" t="str">
        <f t="shared" si="13"/>
        <v>0x1051</v>
      </c>
      <c r="D60" s="3">
        <f t="shared" si="15"/>
        <v>4177</v>
      </c>
      <c r="E60" s="3">
        <f t="shared" si="14"/>
        <v>4177</v>
      </c>
      <c r="F60" s="3" t="s">
        <v>202</v>
      </c>
      <c r="G60" s="13" t="s">
        <v>100</v>
      </c>
      <c r="H60" s="13" t="s">
        <v>95</v>
      </c>
      <c r="I60" s="3">
        <v>1</v>
      </c>
      <c r="J60" s="13" t="s">
        <v>189</v>
      </c>
      <c r="K60" s="13" t="s">
        <v>190</v>
      </c>
    </row>
    <row r="61" spans="1:12">
      <c r="B61" s="3" t="str">
        <f t="shared" si="12"/>
        <v>0x1052</v>
      </c>
      <c r="C61" s="3" t="str">
        <f t="shared" si="13"/>
        <v>0x1052</v>
      </c>
      <c r="D61" s="3">
        <f t="shared" si="15"/>
        <v>4178</v>
      </c>
      <c r="E61" s="3">
        <f t="shared" si="14"/>
        <v>4178</v>
      </c>
      <c r="F61" s="3" t="s">
        <v>203</v>
      </c>
      <c r="G61" s="13" t="s">
        <v>192</v>
      </c>
      <c r="H61" s="13" t="s">
        <v>193</v>
      </c>
      <c r="I61" s="3">
        <v>1</v>
      </c>
      <c r="J61" s="13" t="s">
        <v>194</v>
      </c>
      <c r="K61" s="3">
        <v>200</v>
      </c>
    </row>
    <row r="62" spans="1:12" s="38" customFormat="1">
      <c r="A62" s="4"/>
      <c r="B62" s="3" t="str">
        <f t="shared" si="12"/>
        <v>0x1053</v>
      </c>
      <c r="C62" s="3" t="str">
        <f t="shared" si="13"/>
        <v>0x1053</v>
      </c>
      <c r="D62" s="3">
        <f t="shared" si="15"/>
        <v>4179</v>
      </c>
      <c r="E62" s="3">
        <f t="shared" si="14"/>
        <v>4179</v>
      </c>
      <c r="F62" s="35" t="s">
        <v>204</v>
      </c>
      <c r="G62" s="36"/>
      <c r="H62" s="36"/>
      <c r="I62" s="35">
        <v>1</v>
      </c>
      <c r="J62" s="50"/>
      <c r="K62" s="35"/>
      <c r="L62" s="49"/>
    </row>
    <row r="63" spans="1:12" s="38" customFormat="1">
      <c r="A63" s="4"/>
      <c r="B63" s="3" t="str">
        <f t="shared" si="12"/>
        <v>0x1054</v>
      </c>
      <c r="C63" s="3" t="str">
        <f t="shared" si="13"/>
        <v>0x1054</v>
      </c>
      <c r="D63" s="3">
        <f t="shared" si="15"/>
        <v>4180</v>
      </c>
      <c r="E63" s="3">
        <f t="shared" si="14"/>
        <v>4180</v>
      </c>
      <c r="F63" s="35" t="s">
        <v>205</v>
      </c>
      <c r="G63" s="36"/>
      <c r="H63" s="36"/>
      <c r="I63" s="35">
        <v>1</v>
      </c>
      <c r="J63" s="36"/>
      <c r="K63" s="35"/>
      <c r="L63" s="49"/>
    </row>
    <row r="64" spans="1:12" s="38" customFormat="1">
      <c r="A64" s="4"/>
      <c r="B64" s="3" t="str">
        <f t="shared" si="12"/>
        <v>0x1055</v>
      </c>
      <c r="C64" s="3" t="str">
        <f t="shared" si="13"/>
        <v>0x1055</v>
      </c>
      <c r="D64" s="3">
        <f t="shared" si="15"/>
        <v>4181</v>
      </c>
      <c r="E64" s="3">
        <f t="shared" si="14"/>
        <v>4181</v>
      </c>
      <c r="F64" s="35" t="s">
        <v>206</v>
      </c>
      <c r="G64" s="36"/>
      <c r="H64" s="36"/>
      <c r="I64" s="35">
        <v>1</v>
      </c>
      <c r="J64" s="36"/>
      <c r="K64" s="36"/>
      <c r="L64" s="49"/>
    </row>
    <row r="65" spans="1:12" s="38" customFormat="1">
      <c r="A65" s="4"/>
      <c r="B65" s="3" t="str">
        <f t="shared" si="12"/>
        <v>0x1056</v>
      </c>
      <c r="C65" s="3" t="str">
        <f t="shared" si="13"/>
        <v>0x1056</v>
      </c>
      <c r="D65" s="3">
        <f t="shared" si="15"/>
        <v>4182</v>
      </c>
      <c r="E65" s="3">
        <f t="shared" si="14"/>
        <v>4182</v>
      </c>
      <c r="F65" s="35" t="s">
        <v>207</v>
      </c>
      <c r="G65" s="36"/>
      <c r="H65" s="36"/>
      <c r="I65" s="35">
        <v>1</v>
      </c>
      <c r="J65" s="36"/>
      <c r="K65" s="35"/>
      <c r="L65" s="49"/>
    </row>
    <row r="66" spans="1:12" ht="25.5">
      <c r="B66" s="3" t="str">
        <f t="shared" si="12"/>
        <v>0x1057</v>
      </c>
      <c r="C66" s="3" t="str">
        <f t="shared" si="13"/>
        <v>0x1057</v>
      </c>
      <c r="D66" s="3">
        <f t="shared" si="15"/>
        <v>4183</v>
      </c>
      <c r="E66" s="3">
        <f t="shared" si="14"/>
        <v>4183</v>
      </c>
      <c r="F66" s="3" t="s">
        <v>208</v>
      </c>
      <c r="G66" s="13" t="s">
        <v>100</v>
      </c>
      <c r="H66" s="13" t="s">
        <v>95</v>
      </c>
      <c r="I66" s="3">
        <v>1</v>
      </c>
      <c r="J66" s="13" t="s">
        <v>209</v>
      </c>
      <c r="K66" s="3">
        <v>0</v>
      </c>
    </row>
    <row r="67" spans="1:12" ht="25.5">
      <c r="B67" s="3" t="str">
        <f t="shared" si="12"/>
        <v>0x1058</v>
      </c>
      <c r="C67" s="3" t="str">
        <f t="shared" si="13"/>
        <v>0x1058</v>
      </c>
      <c r="D67" s="3">
        <f t="shared" si="15"/>
        <v>4184</v>
      </c>
      <c r="E67" s="3">
        <f t="shared" si="14"/>
        <v>4184</v>
      </c>
      <c r="F67" s="3" t="s">
        <v>210</v>
      </c>
      <c r="G67" s="13" t="s">
        <v>100</v>
      </c>
      <c r="H67" s="13" t="s">
        <v>95</v>
      </c>
      <c r="I67" s="3">
        <v>1</v>
      </c>
      <c r="J67" s="13" t="s">
        <v>211</v>
      </c>
      <c r="K67" s="3">
        <v>0</v>
      </c>
    </row>
    <row r="68" spans="1:12" s="38" customFormat="1">
      <c r="A68" s="4"/>
      <c r="B68" s="3" t="str">
        <f t="shared" si="12"/>
        <v>0x1059</v>
      </c>
      <c r="C68" s="3" t="str">
        <f t="shared" si="13"/>
        <v>0x1059</v>
      </c>
      <c r="D68" s="3">
        <f t="shared" si="15"/>
        <v>4185</v>
      </c>
      <c r="E68" s="3">
        <f t="shared" si="14"/>
        <v>4185</v>
      </c>
      <c r="F68" s="35" t="s">
        <v>212</v>
      </c>
      <c r="G68" s="36"/>
      <c r="H68" s="36"/>
      <c r="I68" s="35">
        <v>1</v>
      </c>
      <c r="J68" s="36"/>
      <c r="K68" s="35"/>
      <c r="L68" s="49"/>
    </row>
    <row r="69" spans="1:12" s="38" customFormat="1">
      <c r="A69" s="4"/>
      <c r="B69" s="3" t="str">
        <f t="shared" si="12"/>
        <v>0x105A</v>
      </c>
      <c r="C69" s="3" t="str">
        <f t="shared" si="13"/>
        <v>0x105A</v>
      </c>
      <c r="D69" s="3">
        <f t="shared" si="15"/>
        <v>4186</v>
      </c>
      <c r="E69" s="3">
        <f t="shared" si="14"/>
        <v>4186</v>
      </c>
      <c r="F69" s="35" t="s">
        <v>213</v>
      </c>
      <c r="G69" s="36"/>
      <c r="H69" s="36"/>
      <c r="I69" s="35">
        <v>1</v>
      </c>
      <c r="J69" s="36"/>
      <c r="K69" s="36"/>
      <c r="L69" s="49"/>
    </row>
    <row r="70" spans="1:12" s="38" customFormat="1">
      <c r="A70" s="4"/>
      <c r="B70" s="3" t="str">
        <f t="shared" si="12"/>
        <v>0x105B</v>
      </c>
      <c r="C70" s="3" t="str">
        <f t="shared" si="13"/>
        <v>0x105B</v>
      </c>
      <c r="D70" s="3">
        <f t="shared" si="15"/>
        <v>4187</v>
      </c>
      <c r="E70" s="3">
        <f t="shared" si="14"/>
        <v>4187</v>
      </c>
      <c r="F70" s="35" t="s">
        <v>214</v>
      </c>
      <c r="G70" s="36"/>
      <c r="H70" s="36"/>
      <c r="I70" s="35">
        <v>1</v>
      </c>
      <c r="J70" s="36"/>
      <c r="K70" s="36"/>
      <c r="L70" s="49"/>
    </row>
    <row r="71" spans="1:12" s="38" customFormat="1" ht="12.75">
      <c r="A71" s="4"/>
      <c r="B71" s="3" t="str">
        <f t="shared" si="12"/>
        <v>0x105C</v>
      </c>
      <c r="C71" s="3" t="str">
        <f t="shared" si="13"/>
        <v>0x105C</v>
      </c>
      <c r="D71" s="3">
        <f t="shared" si="15"/>
        <v>4188</v>
      </c>
      <c r="E71" s="3">
        <f t="shared" si="14"/>
        <v>4188</v>
      </c>
      <c r="F71" s="35" t="s">
        <v>215</v>
      </c>
      <c r="G71" s="36"/>
      <c r="H71" s="36"/>
      <c r="I71" s="36">
        <v>1</v>
      </c>
      <c r="J71" s="51"/>
      <c r="K71" s="36"/>
      <c r="L71" s="41"/>
    </row>
    <row r="72" spans="1:12" s="38" customFormat="1" ht="12.75">
      <c r="A72" s="4"/>
      <c r="B72" s="3" t="str">
        <f t="shared" si="12"/>
        <v>0x105D</v>
      </c>
      <c r="C72" s="3" t="str">
        <f t="shared" si="13"/>
        <v>0x105E</v>
      </c>
      <c r="D72" s="3">
        <f t="shared" si="15"/>
        <v>4189</v>
      </c>
      <c r="E72" s="3">
        <f t="shared" si="14"/>
        <v>4190</v>
      </c>
      <c r="F72" s="35" t="s">
        <v>216</v>
      </c>
      <c r="G72" s="36"/>
      <c r="H72" s="36"/>
      <c r="I72" s="36">
        <v>2</v>
      </c>
      <c r="J72" s="51"/>
      <c r="K72" s="36"/>
      <c r="L72" s="41"/>
    </row>
    <row r="73" spans="1:12" s="38" customFormat="1" ht="12.75">
      <c r="A73" s="4"/>
      <c r="B73" s="3" t="str">
        <f t="shared" si="12"/>
        <v>0x105F</v>
      </c>
      <c r="C73" s="3" t="str">
        <f t="shared" si="13"/>
        <v>0x105F</v>
      </c>
      <c r="D73" s="3">
        <f t="shared" si="15"/>
        <v>4191</v>
      </c>
      <c r="E73" s="3">
        <f t="shared" si="14"/>
        <v>4191</v>
      </c>
      <c r="F73" s="35" t="s">
        <v>217</v>
      </c>
      <c r="G73" s="36"/>
      <c r="H73" s="36"/>
      <c r="I73" s="36">
        <v>1</v>
      </c>
      <c r="J73" s="51"/>
      <c r="K73" s="36"/>
      <c r="L73" s="41"/>
    </row>
    <row r="74" spans="1:12" s="38" customFormat="1" ht="12.75">
      <c r="A74" s="4"/>
      <c r="B74" s="3" t="str">
        <f t="shared" si="12"/>
        <v>0x1060</v>
      </c>
      <c r="C74" s="3" t="str">
        <f t="shared" si="13"/>
        <v>0x1062</v>
      </c>
      <c r="D74" s="3">
        <f t="shared" si="15"/>
        <v>4192</v>
      </c>
      <c r="E74" s="3">
        <f t="shared" si="14"/>
        <v>4194</v>
      </c>
      <c r="F74" s="35" t="s">
        <v>218</v>
      </c>
      <c r="G74" s="36"/>
      <c r="H74" s="36"/>
      <c r="I74" s="36">
        <v>3</v>
      </c>
      <c r="J74" s="51"/>
      <c r="K74" s="36"/>
      <c r="L74" s="41"/>
    </row>
    <row r="75" spans="1:12" ht="25.5">
      <c r="B75" s="3" t="str">
        <f t="shared" si="12"/>
        <v>0x1063</v>
      </c>
      <c r="C75" s="3" t="str">
        <f t="shared" si="13"/>
        <v>0x1063</v>
      </c>
      <c r="D75" s="3">
        <f t="shared" si="15"/>
        <v>4195</v>
      </c>
      <c r="E75" s="3">
        <f t="shared" si="14"/>
        <v>4195</v>
      </c>
      <c r="F75" s="3" t="s">
        <v>219</v>
      </c>
      <c r="G75" s="13" t="s">
        <v>100</v>
      </c>
      <c r="H75" s="13" t="s">
        <v>95</v>
      </c>
      <c r="I75" s="3">
        <v>1</v>
      </c>
      <c r="J75" s="17" t="s">
        <v>220</v>
      </c>
      <c r="K75" s="3">
        <v>0</v>
      </c>
    </row>
    <row r="76" spans="1:12">
      <c r="B76" s="3" t="str">
        <f t="shared" si="12"/>
        <v>0x1064</v>
      </c>
      <c r="C76" s="3" t="str">
        <f t="shared" si="13"/>
        <v>0x1064</v>
      </c>
      <c r="D76" s="3">
        <f t="shared" si="15"/>
        <v>4196</v>
      </c>
      <c r="E76" s="3">
        <f t="shared" si="14"/>
        <v>4196</v>
      </c>
      <c r="F76" s="3" t="s">
        <v>221</v>
      </c>
      <c r="G76" s="13" t="s">
        <v>100</v>
      </c>
      <c r="H76" s="13" t="s">
        <v>95</v>
      </c>
      <c r="I76" s="13">
        <v>1</v>
      </c>
      <c r="J76" s="17" t="s">
        <v>222</v>
      </c>
      <c r="K76" s="3">
        <v>0</v>
      </c>
    </row>
    <row r="77" spans="1:12" ht="25.5">
      <c r="B77" s="3" t="str">
        <f t="shared" si="12"/>
        <v>0x1065</v>
      </c>
      <c r="C77" s="3" t="str">
        <f t="shared" si="13"/>
        <v>0x1065</v>
      </c>
      <c r="D77" s="3">
        <f t="shared" si="15"/>
        <v>4197</v>
      </c>
      <c r="E77" s="3">
        <f t="shared" si="14"/>
        <v>4197</v>
      </c>
      <c r="F77" s="3" t="s">
        <v>223</v>
      </c>
      <c r="G77" s="13" t="s">
        <v>100</v>
      </c>
      <c r="H77" s="13" t="s">
        <v>95</v>
      </c>
      <c r="I77" s="13">
        <v>1</v>
      </c>
      <c r="J77" s="13" t="s">
        <v>224</v>
      </c>
      <c r="K77" s="3">
        <v>0</v>
      </c>
    </row>
    <row r="78" spans="1:12" ht="38.25">
      <c r="B78" s="3" t="str">
        <f t="shared" si="12"/>
        <v>0x1066</v>
      </c>
      <c r="C78" s="3" t="str">
        <f t="shared" si="13"/>
        <v>0x1067</v>
      </c>
      <c r="D78" s="3">
        <f t="shared" si="15"/>
        <v>4198</v>
      </c>
      <c r="E78" s="3">
        <f t="shared" si="14"/>
        <v>4199</v>
      </c>
      <c r="F78" s="3" t="s">
        <v>225</v>
      </c>
      <c r="G78" s="13" t="s">
        <v>151</v>
      </c>
      <c r="H78" s="3" t="s">
        <v>95</v>
      </c>
      <c r="I78" s="3">
        <v>2</v>
      </c>
      <c r="J78" s="85" t="s">
        <v>226</v>
      </c>
      <c r="K78" s="88" t="s">
        <v>227</v>
      </c>
    </row>
    <row r="79" spans="1:12">
      <c r="B79" s="3" t="str">
        <f t="shared" si="12"/>
        <v>0x1068</v>
      </c>
      <c r="C79" s="3" t="str">
        <f>"0x"&amp;DEC2HEX(E79,4)</f>
        <v>0x1068</v>
      </c>
      <c r="D79" s="3">
        <f t="shared" si="15"/>
        <v>4200</v>
      </c>
      <c r="E79" s="3">
        <f>D79+I79-1</f>
        <v>4200</v>
      </c>
      <c r="F79" s="3" t="s">
        <v>228</v>
      </c>
      <c r="G79" s="13" t="s">
        <v>100</v>
      </c>
      <c r="H79" s="3" t="s">
        <v>95</v>
      </c>
      <c r="I79" s="13">
        <v>1</v>
      </c>
      <c r="J79" s="13">
        <v>20</v>
      </c>
      <c r="K79" s="3" t="s">
        <v>229</v>
      </c>
    </row>
    <row r="80" spans="1:12" ht="38.25">
      <c r="B80" s="3" t="str">
        <f t="shared" ref="B80" si="16">"0x"&amp;DEC2HEX(D80,4)</f>
        <v>0x1069</v>
      </c>
      <c r="C80" s="3" t="str">
        <f t="shared" ref="C80" si="17">"0x"&amp;DEC2HEX(E80,4)</f>
        <v>0x106A</v>
      </c>
      <c r="D80" s="3">
        <f t="shared" ref="D80" si="18">D79+I79</f>
        <v>4201</v>
      </c>
      <c r="E80" s="3">
        <f>D80+I80-1</f>
        <v>4202</v>
      </c>
      <c r="F80" s="3" t="s">
        <v>230</v>
      </c>
      <c r="G80" s="13" t="s">
        <v>151</v>
      </c>
      <c r="H80" s="3" t="s">
        <v>95</v>
      </c>
      <c r="I80" s="13">
        <v>2</v>
      </c>
      <c r="J80" s="85" t="s">
        <v>226</v>
      </c>
      <c r="K80" s="88" t="s">
        <v>231</v>
      </c>
    </row>
    <row r="82" spans="1:16">
      <c r="A82" t="s">
        <v>232</v>
      </c>
    </row>
    <row r="83" spans="1:16" ht="25.5">
      <c r="B83" s="3" t="str">
        <f t="shared" ref="B83:B107" si="19">"0x"&amp;DEC2HEX(D83,4)</f>
        <v>0x1130</v>
      </c>
      <c r="C83" s="3" t="str">
        <f t="shared" ref="C83:C107" si="20">"0x"&amp;DEC2HEX(E83,4)</f>
        <v>0x1130</v>
      </c>
      <c r="D83" s="3">
        <v>4400</v>
      </c>
      <c r="E83" s="3">
        <f t="shared" ref="E83:E107" si="21">D83+I83-1</f>
        <v>4400</v>
      </c>
      <c r="F83" s="3" t="s">
        <v>233</v>
      </c>
      <c r="G83" s="3" t="s">
        <v>100</v>
      </c>
      <c r="H83" s="3" t="s">
        <v>95</v>
      </c>
      <c r="I83" s="3">
        <v>1</v>
      </c>
      <c r="J83" s="13" t="s">
        <v>234</v>
      </c>
      <c r="K83" s="13">
        <v>0</v>
      </c>
    </row>
    <row r="84" spans="1:16" s="38" customFormat="1" ht="12.75">
      <c r="A84" s="4"/>
      <c r="B84" s="3" t="str">
        <f t="shared" si="19"/>
        <v>0x1131</v>
      </c>
      <c r="C84" s="3" t="str">
        <f t="shared" si="20"/>
        <v>0x1131</v>
      </c>
      <c r="D84" s="3">
        <f t="shared" ref="D84:D107" si="22">E83+1</f>
        <v>4401</v>
      </c>
      <c r="E84" s="3">
        <f t="shared" si="21"/>
        <v>4401</v>
      </c>
      <c r="F84" s="35" t="s">
        <v>235</v>
      </c>
      <c r="G84" s="35"/>
      <c r="H84" s="35"/>
      <c r="I84" s="35">
        <v>1</v>
      </c>
      <c r="J84" s="36"/>
      <c r="K84" s="36"/>
      <c r="L84" s="41"/>
    </row>
    <row r="85" spans="1:16" s="38" customFormat="1" ht="12.75">
      <c r="A85" s="4"/>
      <c r="B85" s="3" t="str">
        <f t="shared" si="19"/>
        <v>0x1132</v>
      </c>
      <c r="C85" s="3" t="str">
        <f t="shared" si="20"/>
        <v>0x1132</v>
      </c>
      <c r="D85" s="3">
        <f t="shared" si="22"/>
        <v>4402</v>
      </c>
      <c r="E85" s="3">
        <f t="shared" si="21"/>
        <v>4402</v>
      </c>
      <c r="F85" s="36" t="s">
        <v>236</v>
      </c>
      <c r="G85" s="35"/>
      <c r="H85" s="35"/>
      <c r="I85" s="35">
        <v>1</v>
      </c>
      <c r="J85" s="36"/>
      <c r="K85" s="36"/>
      <c r="L85" s="41"/>
    </row>
    <row r="86" spans="1:16" s="38" customFormat="1" ht="12.75">
      <c r="A86" s="4"/>
      <c r="B86" s="3" t="str">
        <f t="shared" si="19"/>
        <v>0x1133</v>
      </c>
      <c r="C86" s="3" t="str">
        <f t="shared" si="20"/>
        <v>0x1133</v>
      </c>
      <c r="D86" s="3">
        <f t="shared" si="22"/>
        <v>4403</v>
      </c>
      <c r="E86" s="3">
        <f t="shared" si="21"/>
        <v>4403</v>
      </c>
      <c r="F86" s="35" t="s">
        <v>237</v>
      </c>
      <c r="G86" s="35"/>
      <c r="H86" s="35"/>
      <c r="I86" s="35">
        <v>1</v>
      </c>
      <c r="J86" s="36"/>
      <c r="K86" s="36"/>
      <c r="L86" s="41"/>
    </row>
    <row r="87" spans="1:16" ht="25.5">
      <c r="B87" s="3" t="str">
        <f t="shared" si="19"/>
        <v>0x1134</v>
      </c>
      <c r="C87" s="3" t="str">
        <f t="shared" si="20"/>
        <v>0x1134</v>
      </c>
      <c r="D87" s="3">
        <f t="shared" si="22"/>
        <v>4404</v>
      </c>
      <c r="E87" s="3">
        <f t="shared" si="21"/>
        <v>4404</v>
      </c>
      <c r="F87" s="3" t="s">
        <v>238</v>
      </c>
      <c r="G87" s="3" t="s">
        <v>100</v>
      </c>
      <c r="H87" s="3" t="s">
        <v>95</v>
      </c>
      <c r="I87" s="3">
        <v>1</v>
      </c>
      <c r="J87" s="13" t="s">
        <v>234</v>
      </c>
      <c r="K87" s="13">
        <v>0</v>
      </c>
    </row>
    <row r="88" spans="1:16" ht="25.5">
      <c r="B88" s="3" t="str">
        <f t="shared" si="19"/>
        <v>0x1135</v>
      </c>
      <c r="C88" s="3" t="str">
        <f t="shared" si="20"/>
        <v>0x1135</v>
      </c>
      <c r="D88" s="3">
        <f t="shared" si="22"/>
        <v>4405</v>
      </c>
      <c r="E88" s="3">
        <f t="shared" si="21"/>
        <v>4405</v>
      </c>
      <c r="F88" s="3" t="s">
        <v>239</v>
      </c>
      <c r="G88" s="3" t="s">
        <v>100</v>
      </c>
      <c r="H88" s="3" t="s">
        <v>95</v>
      </c>
      <c r="I88" s="3">
        <v>1</v>
      </c>
      <c r="J88" s="13" t="s">
        <v>240</v>
      </c>
      <c r="K88" s="13">
        <v>0</v>
      </c>
    </row>
    <row r="89" spans="1:16" ht="25.5">
      <c r="B89" s="3" t="str">
        <f t="shared" si="19"/>
        <v>0x1136</v>
      </c>
      <c r="C89" s="3" t="str">
        <f t="shared" si="20"/>
        <v>0x1136</v>
      </c>
      <c r="D89" s="3">
        <f t="shared" si="22"/>
        <v>4406</v>
      </c>
      <c r="E89" s="3">
        <f t="shared" si="21"/>
        <v>4406</v>
      </c>
      <c r="F89" s="13" t="s">
        <v>241</v>
      </c>
      <c r="G89" s="3" t="s">
        <v>100</v>
      </c>
      <c r="H89" s="3" t="s">
        <v>95</v>
      </c>
      <c r="I89" s="3">
        <v>1</v>
      </c>
      <c r="J89" s="13" t="s">
        <v>242</v>
      </c>
      <c r="K89" s="13">
        <v>0</v>
      </c>
    </row>
    <row r="90" spans="1:16" s="38" customFormat="1" ht="12.75">
      <c r="A90" s="4"/>
      <c r="B90" s="3" t="str">
        <f t="shared" si="19"/>
        <v>0x1137</v>
      </c>
      <c r="C90" s="3" t="str">
        <f t="shared" si="20"/>
        <v>0x1137</v>
      </c>
      <c r="D90" s="3">
        <f t="shared" si="22"/>
        <v>4407</v>
      </c>
      <c r="E90" s="3">
        <f t="shared" si="21"/>
        <v>4407</v>
      </c>
      <c r="F90" s="36" t="s">
        <v>243</v>
      </c>
      <c r="G90" s="35"/>
      <c r="H90" s="35"/>
      <c r="I90" s="35">
        <v>1</v>
      </c>
      <c r="J90" s="36"/>
      <c r="K90" s="32"/>
      <c r="L90" s="41"/>
    </row>
    <row r="91" spans="1:16" s="38" customFormat="1" ht="12.75">
      <c r="A91" s="4"/>
      <c r="B91" s="3" t="str">
        <f t="shared" si="19"/>
        <v>0x1138</v>
      </c>
      <c r="C91" s="3" t="str">
        <f t="shared" si="20"/>
        <v>0x1138</v>
      </c>
      <c r="D91" s="3">
        <f t="shared" si="22"/>
        <v>4408</v>
      </c>
      <c r="E91" s="3">
        <f t="shared" si="21"/>
        <v>4408</v>
      </c>
      <c r="F91" s="35" t="s">
        <v>244</v>
      </c>
      <c r="G91" s="35"/>
      <c r="H91" s="35"/>
      <c r="I91" s="35">
        <v>1</v>
      </c>
      <c r="J91" s="36"/>
      <c r="K91" s="36"/>
      <c r="L91" s="41"/>
    </row>
    <row r="92" spans="1:16" s="38" customFormat="1" ht="12.75">
      <c r="A92" s="4"/>
      <c r="B92" s="3" t="str">
        <f t="shared" si="19"/>
        <v>0x1139</v>
      </c>
      <c r="C92" s="3" t="str">
        <f t="shared" si="20"/>
        <v>0x1139</v>
      </c>
      <c r="D92" s="3">
        <f t="shared" si="22"/>
        <v>4409</v>
      </c>
      <c r="E92" s="3">
        <f t="shared" si="21"/>
        <v>4409</v>
      </c>
      <c r="F92" s="35" t="s">
        <v>245</v>
      </c>
      <c r="G92" s="35"/>
      <c r="H92" s="35"/>
      <c r="I92" s="35">
        <v>1</v>
      </c>
      <c r="J92" s="36"/>
      <c r="K92" s="36"/>
      <c r="L92" s="41"/>
    </row>
    <row r="93" spans="1:16" s="38" customFormat="1" ht="12.75">
      <c r="A93" s="4"/>
      <c r="B93" s="3" t="str">
        <f t="shared" si="19"/>
        <v>0x113A</v>
      </c>
      <c r="C93" s="3" t="str">
        <f t="shared" si="20"/>
        <v>0x113A</v>
      </c>
      <c r="D93" s="3">
        <f t="shared" si="22"/>
        <v>4410</v>
      </c>
      <c r="E93" s="3">
        <f t="shared" si="21"/>
        <v>4410</v>
      </c>
      <c r="F93" s="35" t="s">
        <v>246</v>
      </c>
      <c r="G93" s="35"/>
      <c r="H93" s="35"/>
      <c r="I93" s="35">
        <v>1</v>
      </c>
      <c r="J93" s="36"/>
      <c r="K93" s="36"/>
      <c r="L93" s="41"/>
    </row>
    <row r="94" spans="1:16" s="38" customFormat="1" ht="13.5">
      <c r="A94" s="2"/>
      <c r="B94" s="3" t="str">
        <f t="shared" si="19"/>
        <v>0x113B</v>
      </c>
      <c r="C94" s="3" t="str">
        <f t="shared" si="20"/>
        <v>0x113B</v>
      </c>
      <c r="D94" s="3">
        <f t="shared" si="22"/>
        <v>4411</v>
      </c>
      <c r="E94" s="3">
        <f t="shared" si="21"/>
        <v>4411</v>
      </c>
      <c r="F94" s="36" t="s">
        <v>247</v>
      </c>
      <c r="G94" s="35"/>
      <c r="H94" s="35"/>
      <c r="I94" s="35">
        <v>1</v>
      </c>
      <c r="J94" s="36"/>
      <c r="K94" s="36"/>
      <c r="L94" s="53"/>
      <c r="M94" s="53"/>
      <c r="N94" s="53"/>
      <c r="O94" s="53"/>
      <c r="P94" s="53"/>
    </row>
    <row r="95" spans="1:16" s="38" customFormat="1" ht="12.75">
      <c r="A95" s="4"/>
      <c r="B95" s="3" t="str">
        <f t="shared" si="19"/>
        <v>0x113C</v>
      </c>
      <c r="C95" s="3" t="str">
        <f t="shared" si="20"/>
        <v>0x113C</v>
      </c>
      <c r="D95" s="3">
        <f t="shared" si="22"/>
        <v>4412</v>
      </c>
      <c r="E95" s="3">
        <f t="shared" si="21"/>
        <v>4412</v>
      </c>
      <c r="F95" s="35" t="s">
        <v>248</v>
      </c>
      <c r="G95" s="35"/>
      <c r="H95" s="35"/>
      <c r="I95" s="35">
        <v>1</v>
      </c>
      <c r="J95" s="36"/>
      <c r="K95" s="36"/>
    </row>
    <row r="96" spans="1:16" s="38" customFormat="1" ht="12.75">
      <c r="A96" s="4"/>
      <c r="B96" s="3" t="str">
        <f t="shared" si="19"/>
        <v>0x113D</v>
      </c>
      <c r="C96" s="3" t="str">
        <f t="shared" si="20"/>
        <v>0x113D</v>
      </c>
      <c r="D96" s="3">
        <f t="shared" si="22"/>
        <v>4413</v>
      </c>
      <c r="E96" s="3">
        <f t="shared" si="21"/>
        <v>4413</v>
      </c>
      <c r="F96" s="35" t="s">
        <v>249</v>
      </c>
      <c r="G96" s="35"/>
      <c r="H96" s="35"/>
      <c r="I96" s="35">
        <v>1</v>
      </c>
      <c r="J96" s="36"/>
      <c r="K96" s="36"/>
    </row>
    <row r="97" spans="1:11" s="38" customFormat="1" ht="12.75">
      <c r="A97" s="4"/>
      <c r="B97" s="3" t="str">
        <f t="shared" si="19"/>
        <v>0x113E</v>
      </c>
      <c r="C97" s="3" t="str">
        <f t="shared" si="20"/>
        <v>0x113E</v>
      </c>
      <c r="D97" s="3">
        <f t="shared" si="22"/>
        <v>4414</v>
      </c>
      <c r="E97" s="3">
        <f t="shared" si="21"/>
        <v>4414</v>
      </c>
      <c r="F97" s="35" t="s">
        <v>250</v>
      </c>
      <c r="G97" s="35"/>
      <c r="H97" s="35"/>
      <c r="I97" s="35">
        <v>1</v>
      </c>
      <c r="J97" s="36"/>
      <c r="K97" s="36"/>
    </row>
    <row r="98" spans="1:11" s="38" customFormat="1" ht="12.75">
      <c r="A98" s="4"/>
      <c r="B98" s="3" t="str">
        <f t="shared" si="19"/>
        <v>0x113F</v>
      </c>
      <c r="C98" s="3" t="str">
        <f t="shared" si="20"/>
        <v>0x113F</v>
      </c>
      <c r="D98" s="3">
        <f t="shared" si="22"/>
        <v>4415</v>
      </c>
      <c r="E98" s="3">
        <f t="shared" si="21"/>
        <v>4415</v>
      </c>
      <c r="F98" s="35" t="s">
        <v>251</v>
      </c>
      <c r="G98" s="35"/>
      <c r="H98" s="35"/>
      <c r="I98" s="35">
        <v>1</v>
      </c>
      <c r="J98" s="36"/>
      <c r="K98" s="36"/>
    </row>
    <row r="99" spans="1:11" s="38" customFormat="1" ht="12.75">
      <c r="A99" s="4"/>
      <c r="B99" s="3" t="str">
        <f t="shared" si="19"/>
        <v>0x1140</v>
      </c>
      <c r="C99" s="3" t="str">
        <f t="shared" si="20"/>
        <v>0x1140</v>
      </c>
      <c r="D99" s="3">
        <f t="shared" si="22"/>
        <v>4416</v>
      </c>
      <c r="E99" s="3">
        <f t="shared" si="21"/>
        <v>4416</v>
      </c>
      <c r="F99" s="35" t="s">
        <v>252</v>
      </c>
      <c r="G99" s="35"/>
      <c r="H99" s="35"/>
      <c r="I99" s="35">
        <v>1</v>
      </c>
      <c r="J99" s="36"/>
      <c r="K99" s="36"/>
    </row>
    <row r="100" spans="1:11" s="38" customFormat="1" ht="12.75">
      <c r="A100" s="39"/>
      <c r="B100" s="3" t="str">
        <f t="shared" si="19"/>
        <v>0x1141</v>
      </c>
      <c r="C100" s="3" t="str">
        <f t="shared" si="20"/>
        <v>0x1141</v>
      </c>
      <c r="D100" s="3">
        <f t="shared" si="22"/>
        <v>4417</v>
      </c>
      <c r="E100" s="3">
        <f t="shared" si="21"/>
        <v>4417</v>
      </c>
      <c r="F100" s="35" t="s">
        <v>253</v>
      </c>
      <c r="G100" s="35"/>
      <c r="H100" s="35"/>
      <c r="I100" s="35">
        <v>1</v>
      </c>
      <c r="J100" s="36"/>
      <c r="K100" s="36"/>
    </row>
    <row r="101" spans="1:11" s="38" customFormat="1" ht="12.75">
      <c r="A101" s="4"/>
      <c r="B101" s="3" t="str">
        <f t="shared" si="19"/>
        <v>0x1142</v>
      </c>
      <c r="C101" s="3" t="str">
        <f t="shared" si="20"/>
        <v>0x1142</v>
      </c>
      <c r="D101" s="3">
        <f t="shared" si="22"/>
        <v>4418</v>
      </c>
      <c r="E101" s="3">
        <f t="shared" si="21"/>
        <v>4418</v>
      </c>
      <c r="F101" s="35" t="s">
        <v>254</v>
      </c>
      <c r="G101" s="35"/>
      <c r="H101" s="35"/>
      <c r="I101" s="35">
        <v>1</v>
      </c>
      <c r="J101" s="36"/>
      <c r="K101" s="36"/>
    </row>
    <row r="102" spans="1:11" s="38" customFormat="1" ht="12.75">
      <c r="A102" s="4"/>
      <c r="B102" s="3" t="str">
        <f t="shared" si="19"/>
        <v>0x1143</v>
      </c>
      <c r="C102" s="3" t="str">
        <f t="shared" si="20"/>
        <v>0x1143</v>
      </c>
      <c r="D102" s="3">
        <f t="shared" si="22"/>
        <v>4419</v>
      </c>
      <c r="E102" s="3">
        <f t="shared" si="21"/>
        <v>4419</v>
      </c>
      <c r="F102" s="35" t="s">
        <v>255</v>
      </c>
      <c r="G102" s="35"/>
      <c r="H102" s="35"/>
      <c r="I102" s="35">
        <v>1</v>
      </c>
      <c r="J102" s="36"/>
      <c r="K102" s="35"/>
    </row>
    <row r="103" spans="1:11" s="38" customFormat="1" ht="12.75">
      <c r="A103" s="4"/>
      <c r="B103" s="3" t="str">
        <f t="shared" si="19"/>
        <v>0x1144</v>
      </c>
      <c r="C103" s="3" t="str">
        <f t="shared" si="20"/>
        <v>0x1144</v>
      </c>
      <c r="D103" s="3">
        <f t="shared" si="22"/>
        <v>4420</v>
      </c>
      <c r="E103" s="3">
        <f t="shared" si="21"/>
        <v>4420</v>
      </c>
      <c r="F103" s="35" t="s">
        <v>256</v>
      </c>
      <c r="G103" s="35"/>
      <c r="H103" s="35"/>
      <c r="I103" s="35">
        <v>1</v>
      </c>
      <c r="J103" s="36"/>
      <c r="K103" s="35"/>
    </row>
    <row r="104" spans="1:11" s="52" customFormat="1">
      <c r="A104" s="18"/>
      <c r="B104" s="5" t="str">
        <f t="shared" si="19"/>
        <v>0x1145</v>
      </c>
      <c r="C104" s="5" t="str">
        <f t="shared" si="20"/>
        <v>0x1145</v>
      </c>
      <c r="D104" s="5">
        <f t="shared" si="22"/>
        <v>4421</v>
      </c>
      <c r="E104" s="5">
        <f t="shared" si="21"/>
        <v>4421</v>
      </c>
      <c r="F104" s="33" t="s">
        <v>257</v>
      </c>
      <c r="G104" s="33"/>
      <c r="H104" s="33"/>
      <c r="I104" s="33">
        <v>1</v>
      </c>
      <c r="J104" s="42"/>
      <c r="K104" s="42"/>
    </row>
    <row r="105" spans="1:11" s="52" customFormat="1">
      <c r="A105" s="18"/>
      <c r="B105" s="5" t="str">
        <f t="shared" si="19"/>
        <v>0x1146</v>
      </c>
      <c r="C105" s="5" t="str">
        <f t="shared" si="20"/>
        <v>0x1146</v>
      </c>
      <c r="D105" s="5">
        <f t="shared" si="22"/>
        <v>4422</v>
      </c>
      <c r="E105" s="5">
        <f t="shared" si="21"/>
        <v>4422</v>
      </c>
      <c r="F105" s="33" t="s">
        <v>258</v>
      </c>
      <c r="G105" s="33"/>
      <c r="H105" s="33"/>
      <c r="I105" s="33">
        <v>1</v>
      </c>
      <c r="J105" s="42"/>
      <c r="K105" s="42"/>
    </row>
    <row r="106" spans="1:11" ht="25.5">
      <c r="B106" s="5" t="str">
        <f t="shared" si="19"/>
        <v>0x1147</v>
      </c>
      <c r="C106" s="5" t="str">
        <f t="shared" si="20"/>
        <v>0x1147</v>
      </c>
      <c r="D106" s="5">
        <f t="shared" si="22"/>
        <v>4423</v>
      </c>
      <c r="E106" s="5">
        <f t="shared" si="21"/>
        <v>4423</v>
      </c>
      <c r="F106" s="5" t="s">
        <v>259</v>
      </c>
      <c r="G106" s="5" t="s">
        <v>100</v>
      </c>
      <c r="H106" s="5" t="s">
        <v>95</v>
      </c>
      <c r="I106" s="5">
        <v>1</v>
      </c>
      <c r="J106" s="15" t="s">
        <v>240</v>
      </c>
      <c r="K106" s="3">
        <v>0</v>
      </c>
    </row>
    <row r="107" spans="1:11" s="78" customFormat="1" ht="25.5">
      <c r="B107" s="3" t="str">
        <f t="shared" si="19"/>
        <v>0x1148</v>
      </c>
      <c r="C107" s="3" t="str">
        <f t="shared" si="20"/>
        <v>0x1148</v>
      </c>
      <c r="D107" s="3">
        <f t="shared" si="22"/>
        <v>4424</v>
      </c>
      <c r="E107" s="3">
        <f t="shared" si="21"/>
        <v>4424</v>
      </c>
      <c r="F107" s="13" t="s">
        <v>260</v>
      </c>
      <c r="G107" s="3" t="s">
        <v>100</v>
      </c>
      <c r="H107" s="3" t="s">
        <v>95</v>
      </c>
      <c r="I107" s="3">
        <v>1</v>
      </c>
      <c r="J107" s="13" t="s">
        <v>240</v>
      </c>
      <c r="K107" s="3">
        <v>0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0BE73-7CB6-4DC5-A53A-5F2A8F53EC94}">
  <dimension ref="A1:L18"/>
  <sheetViews>
    <sheetView tabSelected="1" zoomScaleNormal="100" workbookViewId="0">
      <pane ySplit="1" topLeftCell="A2" activePane="bottomLeft" state="frozen"/>
      <selection pane="bottomLeft" activeCell="J5" sqref="J5"/>
    </sheetView>
  </sheetViews>
  <sheetFormatPr defaultRowHeight="14.25"/>
  <cols>
    <col min="1" max="1" width="20.375" customWidth="1"/>
    <col min="2" max="2" width="8.375" style="78" bestFit="1" customWidth="1"/>
    <col min="3" max="3" width="7.75" style="78" bestFit="1" customWidth="1"/>
    <col min="4" max="4" width="8.25" style="78" bestFit="1" customWidth="1"/>
    <col min="5" max="5" width="7.625" style="78" bestFit="1" customWidth="1"/>
    <col min="6" max="6" width="32.125" bestFit="1" customWidth="1"/>
    <col min="7" max="7" width="7.75" bestFit="1" customWidth="1"/>
    <col min="8" max="8" width="4.125" bestFit="1" customWidth="1"/>
    <col min="9" max="9" width="7.375" bestFit="1" customWidth="1"/>
    <col min="10" max="10" width="52.25" customWidth="1"/>
    <col min="11" max="11" width="6.125" bestFit="1" customWidth="1"/>
  </cols>
  <sheetData>
    <row r="1" spans="1:12" ht="38.25">
      <c r="A1" s="11" t="s">
        <v>118</v>
      </c>
      <c r="B1" s="1" t="s">
        <v>17</v>
      </c>
      <c r="C1" s="1" t="s">
        <v>18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</row>
    <row r="2" spans="1:12" ht="25.5">
      <c r="A2" t="s">
        <v>43</v>
      </c>
      <c r="B2" s="3" t="str">
        <f t="shared" ref="B2:B12" si="0">"0x"&amp;DEC2HEX(D2,4)</f>
        <v>0x3000</v>
      </c>
      <c r="C2" s="3" t="str">
        <f t="shared" ref="C2:C12" si="1">"0x"&amp;DEC2HEX(E2,4)</f>
        <v>0x3000</v>
      </c>
      <c r="D2" s="3">
        <v>12288</v>
      </c>
      <c r="E2" s="3">
        <f t="shared" ref="E2:E18" si="2">D2+I2-1</f>
        <v>12288</v>
      </c>
      <c r="F2" s="5" t="s">
        <v>261</v>
      </c>
      <c r="G2" s="5" t="s">
        <v>100</v>
      </c>
      <c r="H2" s="5" t="s">
        <v>95</v>
      </c>
      <c r="I2" s="5">
        <v>1</v>
      </c>
      <c r="J2" s="15" t="s">
        <v>262</v>
      </c>
      <c r="K2" s="14">
        <v>0</v>
      </c>
    </row>
    <row r="3" spans="1:12" ht="38.25">
      <c r="B3" s="93" t="str">
        <f t="shared" si="0"/>
        <v>0x3001</v>
      </c>
      <c r="C3" s="93" t="str">
        <f t="shared" si="1"/>
        <v>0x3001</v>
      </c>
      <c r="D3" s="93">
        <f t="shared" ref="D3:D12" si="3">E2+1</f>
        <v>12289</v>
      </c>
      <c r="E3" s="3">
        <f t="shared" si="2"/>
        <v>12289</v>
      </c>
      <c r="F3" s="83" t="s">
        <v>263</v>
      </c>
      <c r="G3" s="83" t="s">
        <v>100</v>
      </c>
      <c r="H3" s="83" t="s">
        <v>75</v>
      </c>
      <c r="I3" s="83">
        <v>1</v>
      </c>
      <c r="J3" s="94" t="s">
        <v>264</v>
      </c>
      <c r="K3" s="77"/>
      <c r="L3" s="77"/>
    </row>
    <row r="4" spans="1:12" ht="114.75">
      <c r="B4" s="3" t="str">
        <f t="shared" si="0"/>
        <v>0x3002</v>
      </c>
      <c r="C4" s="3" t="str">
        <f t="shared" si="1"/>
        <v>0x3002</v>
      </c>
      <c r="D4" s="3">
        <f t="shared" si="3"/>
        <v>12290</v>
      </c>
      <c r="E4" s="3">
        <f t="shared" si="2"/>
        <v>12290</v>
      </c>
      <c r="F4" s="5" t="s">
        <v>265</v>
      </c>
      <c r="G4" s="5" t="s">
        <v>100</v>
      </c>
      <c r="H4" s="5" t="s">
        <v>75</v>
      </c>
      <c r="I4" s="5">
        <v>1</v>
      </c>
      <c r="J4" s="15" t="s">
        <v>266</v>
      </c>
    </row>
    <row r="5" spans="1:12" ht="114.75">
      <c r="B5" s="3" t="str">
        <f t="shared" si="0"/>
        <v>0x3003</v>
      </c>
      <c r="C5" s="3" t="str">
        <f t="shared" si="1"/>
        <v>0x3003</v>
      </c>
      <c r="D5" s="3">
        <f t="shared" si="3"/>
        <v>12291</v>
      </c>
      <c r="E5" s="3">
        <f t="shared" si="2"/>
        <v>12291</v>
      </c>
      <c r="F5" s="5" t="s">
        <v>267</v>
      </c>
      <c r="G5" s="5" t="s">
        <v>100</v>
      </c>
      <c r="H5" s="5" t="s">
        <v>75</v>
      </c>
      <c r="I5" s="5">
        <v>1</v>
      </c>
      <c r="J5" s="14" t="s">
        <v>268</v>
      </c>
    </row>
    <row r="6" spans="1:12">
      <c r="B6" s="3" t="str">
        <f t="shared" si="0"/>
        <v>0x3004</v>
      </c>
      <c r="C6" s="3" t="str">
        <f t="shared" si="1"/>
        <v>0x3005</v>
      </c>
      <c r="D6" s="3">
        <f t="shared" si="3"/>
        <v>12292</v>
      </c>
      <c r="E6" s="3">
        <f t="shared" si="2"/>
        <v>12293</v>
      </c>
      <c r="F6" s="5" t="s">
        <v>269</v>
      </c>
      <c r="G6" s="5" t="s">
        <v>270</v>
      </c>
      <c r="H6" s="5" t="s">
        <v>75</v>
      </c>
      <c r="I6" s="75">
        <v>2</v>
      </c>
      <c r="J6" s="15"/>
    </row>
    <row r="7" spans="1:12">
      <c r="B7" s="3" t="str">
        <f t="shared" si="0"/>
        <v>0x3006</v>
      </c>
      <c r="C7" s="3" t="str">
        <f t="shared" si="1"/>
        <v>0x3007</v>
      </c>
      <c r="D7" s="3">
        <f t="shared" si="3"/>
        <v>12294</v>
      </c>
      <c r="E7" s="3">
        <f t="shared" si="2"/>
        <v>12295</v>
      </c>
      <c r="F7" s="5" t="s">
        <v>271</v>
      </c>
      <c r="G7" s="5" t="s">
        <v>270</v>
      </c>
      <c r="H7" s="5" t="s">
        <v>75</v>
      </c>
      <c r="I7" s="75">
        <v>2</v>
      </c>
      <c r="J7" s="15"/>
    </row>
    <row r="8" spans="1:12">
      <c r="B8" s="3" t="str">
        <f t="shared" si="0"/>
        <v>0x3008</v>
      </c>
      <c r="C8" s="3" t="str">
        <f t="shared" si="1"/>
        <v>0x3009</v>
      </c>
      <c r="D8" s="3">
        <f t="shared" si="3"/>
        <v>12296</v>
      </c>
      <c r="E8" s="3">
        <f t="shared" si="2"/>
        <v>12297</v>
      </c>
      <c r="F8" s="5" t="s">
        <v>272</v>
      </c>
      <c r="G8" s="5" t="s">
        <v>270</v>
      </c>
      <c r="H8" s="5" t="s">
        <v>75</v>
      </c>
      <c r="I8" s="75">
        <v>2</v>
      </c>
      <c r="J8" s="15"/>
    </row>
    <row r="9" spans="1:12">
      <c r="A9" s="78"/>
      <c r="B9" s="3" t="str">
        <f t="shared" si="0"/>
        <v>0x300A</v>
      </c>
      <c r="C9" s="3" t="str">
        <f t="shared" si="1"/>
        <v>0x300B</v>
      </c>
      <c r="D9" s="3">
        <f t="shared" si="3"/>
        <v>12298</v>
      </c>
      <c r="E9" s="3">
        <f t="shared" si="2"/>
        <v>12299</v>
      </c>
      <c r="F9" s="3" t="s">
        <v>273</v>
      </c>
      <c r="G9" s="3" t="s">
        <v>270</v>
      </c>
      <c r="H9" s="3" t="s">
        <v>75</v>
      </c>
      <c r="I9" s="96">
        <v>2</v>
      </c>
      <c r="J9" s="15"/>
    </row>
    <row r="10" spans="1:12">
      <c r="A10" s="78"/>
      <c r="B10" s="3" t="str">
        <f t="shared" si="0"/>
        <v>0x300C</v>
      </c>
      <c r="C10" s="3" t="str">
        <f t="shared" si="1"/>
        <v>0x300D</v>
      </c>
      <c r="D10" s="3">
        <f t="shared" si="3"/>
        <v>12300</v>
      </c>
      <c r="E10" s="3">
        <f t="shared" si="2"/>
        <v>12301</v>
      </c>
      <c r="F10" s="3" t="s">
        <v>274</v>
      </c>
      <c r="G10" s="3" t="s">
        <v>270</v>
      </c>
      <c r="H10" s="3" t="s">
        <v>75</v>
      </c>
      <c r="I10" s="96">
        <v>2</v>
      </c>
      <c r="J10" s="76"/>
    </row>
    <row r="11" spans="1:12">
      <c r="A11" s="78"/>
      <c r="B11" s="3" t="str">
        <f t="shared" si="0"/>
        <v>0x300E</v>
      </c>
      <c r="C11" s="3" t="str">
        <f t="shared" si="1"/>
        <v>0x300F</v>
      </c>
      <c r="D11" s="3">
        <f t="shared" si="3"/>
        <v>12302</v>
      </c>
      <c r="E11" s="3">
        <f t="shared" si="2"/>
        <v>12303</v>
      </c>
      <c r="F11" s="3" t="s">
        <v>275</v>
      </c>
      <c r="G11" s="3" t="s">
        <v>270</v>
      </c>
      <c r="H11" s="3" t="s">
        <v>75</v>
      </c>
      <c r="I11" s="96">
        <v>2</v>
      </c>
      <c r="J11" s="76"/>
    </row>
    <row r="12" spans="1:12">
      <c r="A12" s="78"/>
      <c r="B12" s="3" t="str">
        <f t="shared" si="0"/>
        <v>0x3010</v>
      </c>
      <c r="C12" s="3" t="str">
        <f t="shared" si="1"/>
        <v>0x3011</v>
      </c>
      <c r="D12" s="3">
        <f t="shared" si="3"/>
        <v>12304</v>
      </c>
      <c r="E12" s="3">
        <f t="shared" si="2"/>
        <v>12305</v>
      </c>
      <c r="F12" s="3" t="s">
        <v>276</v>
      </c>
      <c r="G12" s="96" t="s">
        <v>151</v>
      </c>
      <c r="H12" s="3" t="s">
        <v>75</v>
      </c>
      <c r="I12" s="96">
        <v>2</v>
      </c>
      <c r="J12" s="95" t="s">
        <v>277</v>
      </c>
    </row>
    <row r="13" spans="1:12">
      <c r="A13" s="78"/>
      <c r="B13" s="3" t="str">
        <f t="shared" ref="B13:C18" si="4">"0x"&amp;DEC2HEX(D13,4)</f>
        <v>0x3012</v>
      </c>
      <c r="C13" s="3" t="str">
        <f t="shared" si="4"/>
        <v>0x3013</v>
      </c>
      <c r="D13" s="3">
        <f t="shared" ref="D13:D18" si="5">E12+1</f>
        <v>12306</v>
      </c>
      <c r="E13" s="3">
        <f t="shared" si="2"/>
        <v>12307</v>
      </c>
      <c r="F13" s="96" t="s">
        <v>278</v>
      </c>
      <c r="G13" s="3" t="s">
        <v>270</v>
      </c>
      <c r="H13" s="3" t="s">
        <v>75</v>
      </c>
      <c r="I13" s="96">
        <v>2</v>
      </c>
      <c r="J13" s="14"/>
    </row>
    <row r="14" spans="1:12">
      <c r="A14" s="78"/>
      <c r="B14" s="3" t="str">
        <f t="shared" si="4"/>
        <v>0x3014</v>
      </c>
      <c r="C14" s="3" t="str">
        <f t="shared" si="4"/>
        <v>0x3015</v>
      </c>
      <c r="D14" s="3">
        <f t="shared" si="5"/>
        <v>12308</v>
      </c>
      <c r="E14" s="3">
        <f t="shared" si="2"/>
        <v>12309</v>
      </c>
      <c r="F14" s="96" t="s">
        <v>279</v>
      </c>
      <c r="G14" s="3" t="s">
        <v>270</v>
      </c>
      <c r="H14" s="3" t="s">
        <v>75</v>
      </c>
      <c r="I14" s="96">
        <v>2</v>
      </c>
      <c r="J14" s="14"/>
    </row>
    <row r="15" spans="1:12">
      <c r="A15" s="78"/>
      <c r="B15" s="3" t="str">
        <f t="shared" si="4"/>
        <v>0x3016</v>
      </c>
      <c r="C15" s="3" t="str">
        <f t="shared" si="4"/>
        <v>0x3017</v>
      </c>
      <c r="D15" s="3">
        <f t="shared" si="5"/>
        <v>12310</v>
      </c>
      <c r="E15" s="3">
        <f t="shared" si="2"/>
        <v>12311</v>
      </c>
      <c r="F15" s="96" t="s">
        <v>280</v>
      </c>
      <c r="G15" s="3" t="s">
        <v>270</v>
      </c>
      <c r="H15" s="3" t="s">
        <v>75</v>
      </c>
      <c r="I15" s="96">
        <v>2</v>
      </c>
      <c r="J15" s="14"/>
    </row>
    <row r="16" spans="1:12">
      <c r="A16" s="78"/>
      <c r="B16" s="3" t="str">
        <f t="shared" si="4"/>
        <v>0x3018</v>
      </c>
      <c r="C16" s="3" t="str">
        <f t="shared" si="4"/>
        <v>0x3019</v>
      </c>
      <c r="D16" s="3">
        <f t="shared" si="5"/>
        <v>12312</v>
      </c>
      <c r="E16" s="3">
        <f t="shared" si="2"/>
        <v>12313</v>
      </c>
      <c r="F16" s="96" t="s">
        <v>281</v>
      </c>
      <c r="G16" s="3" t="s">
        <v>270</v>
      </c>
      <c r="H16" s="3" t="s">
        <v>75</v>
      </c>
      <c r="I16" s="96">
        <v>2</v>
      </c>
      <c r="J16" s="14"/>
    </row>
    <row r="17" spans="1:10">
      <c r="A17" s="78"/>
      <c r="B17" s="3" t="str">
        <f t="shared" si="4"/>
        <v>0x301A</v>
      </c>
      <c r="C17" s="3" t="str">
        <f t="shared" si="4"/>
        <v>0x301B</v>
      </c>
      <c r="D17" s="3">
        <f t="shared" si="5"/>
        <v>12314</v>
      </c>
      <c r="E17" s="3">
        <f t="shared" si="2"/>
        <v>12315</v>
      </c>
      <c r="F17" s="96" t="s">
        <v>282</v>
      </c>
      <c r="G17" s="3" t="s">
        <v>270</v>
      </c>
      <c r="H17" s="3" t="s">
        <v>75</v>
      </c>
      <c r="I17" s="96">
        <v>2</v>
      </c>
      <c r="J17" s="14"/>
    </row>
    <row r="18" spans="1:10">
      <c r="A18" s="78"/>
      <c r="B18" s="3" t="str">
        <f t="shared" si="4"/>
        <v>0x301C</v>
      </c>
      <c r="C18" s="3" t="str">
        <f t="shared" si="4"/>
        <v>0x301D</v>
      </c>
      <c r="D18" s="3">
        <f t="shared" si="5"/>
        <v>12316</v>
      </c>
      <c r="E18" s="3">
        <f t="shared" si="2"/>
        <v>12317</v>
      </c>
      <c r="F18" s="96" t="s">
        <v>283</v>
      </c>
      <c r="G18" s="3" t="s">
        <v>270</v>
      </c>
      <c r="H18" s="3" t="s">
        <v>75</v>
      </c>
      <c r="I18" s="96">
        <v>2</v>
      </c>
      <c r="J18" s="14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3"/>
  <sheetViews>
    <sheetView zoomScale="130" zoomScaleNormal="130" workbookViewId="0">
      <pane ySplit="1" topLeftCell="A2" activePane="bottomLeft" state="frozen"/>
      <selection pane="bottomLeft" activeCell="F20" sqref="F20"/>
    </sheetView>
  </sheetViews>
  <sheetFormatPr defaultRowHeight="14.25"/>
  <cols>
    <col min="1" max="1" width="35.75" customWidth="1"/>
    <col min="2" max="2" width="8.375" bestFit="1" customWidth="1"/>
    <col min="3" max="3" width="7.75" bestFit="1" customWidth="1"/>
    <col min="4" max="4" width="8.25" bestFit="1" customWidth="1"/>
    <col min="5" max="5" width="7.625" bestFit="1" customWidth="1"/>
    <col min="6" max="6" width="63.125" customWidth="1"/>
    <col min="7" max="7" width="7.75" bestFit="1" customWidth="1"/>
    <col min="8" max="8" width="3.75" bestFit="1" customWidth="1"/>
    <col min="9" max="9" width="7.375" bestFit="1" customWidth="1"/>
    <col min="10" max="10" width="24.375" customWidth="1"/>
    <col min="11" max="11" width="6.125" bestFit="1" customWidth="1"/>
  </cols>
  <sheetData>
    <row r="1" spans="1:32">
      <c r="A1" s="1" t="s">
        <v>284</v>
      </c>
      <c r="B1" s="1" t="s">
        <v>285</v>
      </c>
      <c r="C1" s="1" t="s">
        <v>286</v>
      </c>
      <c r="D1" s="1" t="s">
        <v>287</v>
      </c>
      <c r="E1" s="1" t="s">
        <v>288</v>
      </c>
      <c r="F1" s="1" t="s">
        <v>289</v>
      </c>
      <c r="G1" s="1" t="s">
        <v>290</v>
      </c>
      <c r="H1" s="1" t="s">
        <v>291</v>
      </c>
      <c r="I1" s="1" t="s">
        <v>119</v>
      </c>
      <c r="J1" s="1" t="s">
        <v>69</v>
      </c>
      <c r="K1" s="1" t="s">
        <v>70</v>
      </c>
    </row>
    <row r="2" spans="1:32">
      <c r="A2" s="2" t="s">
        <v>47</v>
      </c>
    </row>
    <row r="3" spans="1:32">
      <c r="A3" s="2"/>
      <c r="B3" s="56" t="str">
        <f>"0x"&amp;DEC2HEX(D3,4)</f>
        <v>0x9050</v>
      </c>
      <c r="C3" s="56" t="str">
        <f>"0x"&amp;DEC2HEX(E3,4)</f>
        <v>0x9053</v>
      </c>
      <c r="D3" s="56">
        <v>36944</v>
      </c>
      <c r="E3" s="56">
        <f>D3+I3-1</f>
        <v>36947</v>
      </c>
      <c r="F3" s="55" t="s">
        <v>292</v>
      </c>
      <c r="G3" s="56" t="s">
        <v>293</v>
      </c>
      <c r="H3" s="56" t="s">
        <v>75</v>
      </c>
      <c r="I3" s="56">
        <v>4</v>
      </c>
      <c r="J3" s="56"/>
      <c r="K3" s="35"/>
    </row>
    <row r="4" spans="1:32">
      <c r="A4" s="2"/>
      <c r="B4" s="54" t="str">
        <f>"0x"&amp;DEC2HEX(D4,4)</f>
        <v>0x9054</v>
      </c>
      <c r="C4" s="54" t="str">
        <f>"0x"&amp;DEC2HEX(E4,4)</f>
        <v>0x9055</v>
      </c>
      <c r="D4" s="54">
        <f>D3+I3</f>
        <v>36948</v>
      </c>
      <c r="E4" s="54">
        <f t="shared" ref="E4:E43" si="0">D4+I4-1</f>
        <v>36949</v>
      </c>
      <c r="F4" s="6" t="s">
        <v>294</v>
      </c>
      <c r="G4" s="6" t="s">
        <v>270</v>
      </c>
      <c r="H4" s="54" t="s">
        <v>75</v>
      </c>
      <c r="I4" s="54">
        <v>2</v>
      </c>
      <c r="J4" s="59"/>
      <c r="K4" s="54"/>
    </row>
    <row r="5" spans="1:32">
      <c r="A5" s="4"/>
      <c r="B5" s="54" t="str">
        <f t="shared" ref="B5:C33" si="1">"0x"&amp;DEC2HEX(D5,4)</f>
        <v>0x9056</v>
      </c>
      <c r="C5" s="54" t="str">
        <f t="shared" si="1"/>
        <v>0x9057</v>
      </c>
      <c r="D5" s="54">
        <f>D4+I4</f>
        <v>36950</v>
      </c>
      <c r="E5" s="54">
        <f t="shared" si="0"/>
        <v>36951</v>
      </c>
      <c r="F5" s="6" t="s">
        <v>295</v>
      </c>
      <c r="G5" s="6" t="s">
        <v>270</v>
      </c>
      <c r="H5" s="54" t="s">
        <v>75</v>
      </c>
      <c r="I5" s="54">
        <v>2</v>
      </c>
      <c r="J5" s="59"/>
      <c r="K5" s="3"/>
    </row>
    <row r="6" spans="1:32">
      <c r="A6" s="4"/>
      <c r="B6" s="54" t="str">
        <f t="shared" si="1"/>
        <v>0x9058</v>
      </c>
      <c r="C6" s="54" t="str">
        <f t="shared" si="1"/>
        <v>0x9059</v>
      </c>
      <c r="D6" s="54">
        <f t="shared" ref="D6:D33" si="2">D5+I5</f>
        <v>36952</v>
      </c>
      <c r="E6" s="54">
        <f t="shared" si="0"/>
        <v>36953</v>
      </c>
      <c r="F6" s="6" t="s">
        <v>296</v>
      </c>
      <c r="G6" s="6" t="s">
        <v>270</v>
      </c>
      <c r="H6" s="54" t="s">
        <v>75</v>
      </c>
      <c r="I6" s="54">
        <v>2</v>
      </c>
      <c r="J6" s="59"/>
      <c r="K6" s="3"/>
    </row>
    <row r="7" spans="1:32">
      <c r="A7" s="4"/>
      <c r="B7" s="54" t="str">
        <f t="shared" si="1"/>
        <v>0x905A</v>
      </c>
      <c r="C7" s="54" t="str">
        <f t="shared" si="1"/>
        <v>0x905B</v>
      </c>
      <c r="D7" s="54">
        <f t="shared" si="2"/>
        <v>36954</v>
      </c>
      <c r="E7" s="54">
        <f t="shared" si="0"/>
        <v>36955</v>
      </c>
      <c r="F7" s="6" t="s">
        <v>297</v>
      </c>
      <c r="G7" s="6" t="s">
        <v>270</v>
      </c>
      <c r="H7" s="54" t="s">
        <v>75</v>
      </c>
      <c r="I7" s="54">
        <v>2</v>
      </c>
      <c r="J7" s="59"/>
      <c r="K7" s="3"/>
    </row>
    <row r="8" spans="1:32" s="77" customFormat="1">
      <c r="A8" s="4"/>
      <c r="B8" s="54" t="str">
        <f t="shared" si="1"/>
        <v>0x905C</v>
      </c>
      <c r="C8" s="54" t="str">
        <f t="shared" si="1"/>
        <v>0x905D</v>
      </c>
      <c r="D8" s="54">
        <f t="shared" si="2"/>
        <v>36956</v>
      </c>
      <c r="E8" s="54">
        <f t="shared" si="0"/>
        <v>36957</v>
      </c>
      <c r="F8" s="6" t="s">
        <v>298</v>
      </c>
      <c r="G8" s="6" t="s">
        <v>270</v>
      </c>
      <c r="H8" s="54" t="s">
        <v>75</v>
      </c>
      <c r="I8" s="54">
        <v>2</v>
      </c>
      <c r="J8" s="59"/>
      <c r="K8" s="3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 spans="1:32" s="77" customFormat="1">
      <c r="A9" s="4"/>
      <c r="B9" s="54" t="str">
        <f t="shared" si="1"/>
        <v>0x905E</v>
      </c>
      <c r="C9" s="54" t="str">
        <f t="shared" si="1"/>
        <v>0x905F</v>
      </c>
      <c r="D9" s="54">
        <f t="shared" si="2"/>
        <v>36958</v>
      </c>
      <c r="E9" s="54">
        <f t="shared" si="0"/>
        <v>36959</v>
      </c>
      <c r="F9" s="6" t="s">
        <v>299</v>
      </c>
      <c r="G9" s="6" t="s">
        <v>270</v>
      </c>
      <c r="H9" s="54" t="s">
        <v>75</v>
      </c>
      <c r="I9" s="54">
        <v>2</v>
      </c>
      <c r="J9" s="59"/>
      <c r="K9" s="3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 spans="1:32" s="77" customFormat="1">
      <c r="A10" s="4"/>
      <c r="B10" s="54" t="str">
        <f t="shared" si="1"/>
        <v>0x9060</v>
      </c>
      <c r="C10" s="54" t="str">
        <f t="shared" si="1"/>
        <v>0x9061</v>
      </c>
      <c r="D10" s="54">
        <f t="shared" si="2"/>
        <v>36960</v>
      </c>
      <c r="E10" s="54">
        <f t="shared" si="0"/>
        <v>36961</v>
      </c>
      <c r="F10" s="6" t="s">
        <v>300</v>
      </c>
      <c r="G10" s="6" t="s">
        <v>270</v>
      </c>
      <c r="H10" s="54" t="s">
        <v>75</v>
      </c>
      <c r="I10" s="54">
        <v>2</v>
      </c>
      <c r="J10" s="59"/>
      <c r="K10" s="3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 spans="1:32">
      <c r="A11" s="4"/>
      <c r="B11" s="54" t="str">
        <f t="shared" si="1"/>
        <v>0x9062</v>
      </c>
      <c r="C11" s="54" t="str">
        <f t="shared" si="1"/>
        <v>0x9063</v>
      </c>
      <c r="D11" s="54">
        <f t="shared" si="2"/>
        <v>36962</v>
      </c>
      <c r="E11" s="54">
        <f t="shared" si="0"/>
        <v>36963</v>
      </c>
      <c r="F11" s="6" t="s">
        <v>301</v>
      </c>
      <c r="G11" s="6" t="s">
        <v>270</v>
      </c>
      <c r="H11" s="54" t="s">
        <v>75</v>
      </c>
      <c r="I11" s="54">
        <v>2</v>
      </c>
      <c r="J11" s="59"/>
      <c r="K11" s="3"/>
    </row>
    <row r="12" spans="1:32">
      <c r="A12" s="4"/>
      <c r="B12" s="54" t="str">
        <f t="shared" si="1"/>
        <v>0x9064</v>
      </c>
      <c r="C12" s="54" t="str">
        <f t="shared" si="1"/>
        <v>0x9065</v>
      </c>
      <c r="D12" s="54">
        <f t="shared" si="2"/>
        <v>36964</v>
      </c>
      <c r="E12" s="54">
        <f t="shared" si="0"/>
        <v>36965</v>
      </c>
      <c r="F12" s="6" t="s">
        <v>302</v>
      </c>
      <c r="G12" s="6" t="s">
        <v>270</v>
      </c>
      <c r="H12" s="54" t="s">
        <v>75</v>
      </c>
      <c r="I12" s="54">
        <v>2</v>
      </c>
      <c r="J12" s="59"/>
      <c r="K12" s="3"/>
    </row>
    <row r="13" spans="1:32">
      <c r="A13" s="4"/>
      <c r="B13" s="54" t="str">
        <f t="shared" si="1"/>
        <v>0x9066</v>
      </c>
      <c r="C13" s="54" t="str">
        <f t="shared" si="1"/>
        <v>0x9067</v>
      </c>
      <c r="D13" s="54">
        <f t="shared" si="2"/>
        <v>36966</v>
      </c>
      <c r="E13" s="54">
        <f t="shared" si="0"/>
        <v>36967</v>
      </c>
      <c r="F13" s="6" t="s">
        <v>303</v>
      </c>
      <c r="G13" s="6" t="s">
        <v>270</v>
      </c>
      <c r="H13" s="54" t="s">
        <v>75</v>
      </c>
      <c r="I13" s="54">
        <v>2</v>
      </c>
      <c r="J13" s="59"/>
      <c r="K13" s="3"/>
    </row>
    <row r="14" spans="1:32">
      <c r="A14" s="4"/>
      <c r="B14" s="54" t="str">
        <f t="shared" si="1"/>
        <v>0x9068</v>
      </c>
      <c r="C14" s="54" t="str">
        <f t="shared" si="1"/>
        <v>0x9069</v>
      </c>
      <c r="D14" s="54">
        <f t="shared" si="2"/>
        <v>36968</v>
      </c>
      <c r="E14" s="54">
        <f t="shared" si="0"/>
        <v>36969</v>
      </c>
      <c r="F14" s="6" t="s">
        <v>304</v>
      </c>
      <c r="G14" s="6" t="s">
        <v>270</v>
      </c>
      <c r="H14" s="54" t="s">
        <v>75</v>
      </c>
      <c r="I14" s="54">
        <v>2</v>
      </c>
      <c r="J14" s="59"/>
      <c r="K14" s="3"/>
    </row>
    <row r="15" spans="1:32">
      <c r="A15" s="4"/>
      <c r="B15" s="54" t="str">
        <f t="shared" si="1"/>
        <v>0x906A</v>
      </c>
      <c r="C15" s="54" t="str">
        <f t="shared" si="1"/>
        <v>0x906B</v>
      </c>
      <c r="D15" s="54">
        <f t="shared" si="2"/>
        <v>36970</v>
      </c>
      <c r="E15" s="54">
        <f t="shared" si="0"/>
        <v>36971</v>
      </c>
      <c r="F15" s="6" t="s">
        <v>305</v>
      </c>
      <c r="G15" s="6" t="s">
        <v>270</v>
      </c>
      <c r="H15" s="54" t="s">
        <v>75</v>
      </c>
      <c r="I15" s="54">
        <v>2</v>
      </c>
      <c r="J15" s="59"/>
      <c r="K15" s="3"/>
    </row>
    <row r="16" spans="1:32">
      <c r="A16" s="4"/>
      <c r="B16" s="54" t="str">
        <f t="shared" si="1"/>
        <v>0x906C</v>
      </c>
      <c r="C16" s="54" t="str">
        <f t="shared" si="1"/>
        <v>0x906D</v>
      </c>
      <c r="D16" s="54">
        <f t="shared" si="2"/>
        <v>36972</v>
      </c>
      <c r="E16" s="54">
        <f t="shared" si="0"/>
        <v>36973</v>
      </c>
      <c r="F16" s="6" t="s">
        <v>306</v>
      </c>
      <c r="G16" s="6" t="s">
        <v>270</v>
      </c>
      <c r="H16" s="54" t="s">
        <v>75</v>
      </c>
      <c r="I16" s="54">
        <v>2</v>
      </c>
      <c r="J16" s="59"/>
      <c r="K16" s="3"/>
    </row>
    <row r="17" spans="1:11">
      <c r="A17" s="4"/>
      <c r="B17" s="54" t="str">
        <f t="shared" si="1"/>
        <v>0x906E</v>
      </c>
      <c r="C17" s="54" t="str">
        <f t="shared" si="1"/>
        <v>0x906F</v>
      </c>
      <c r="D17" s="54">
        <f t="shared" si="2"/>
        <v>36974</v>
      </c>
      <c r="E17" s="54">
        <f t="shared" si="0"/>
        <v>36975</v>
      </c>
      <c r="F17" s="6" t="s">
        <v>307</v>
      </c>
      <c r="G17" s="6" t="s">
        <v>270</v>
      </c>
      <c r="H17" s="54" t="s">
        <v>75</v>
      </c>
      <c r="I17" s="54">
        <v>2</v>
      </c>
      <c r="J17" s="59"/>
      <c r="K17" s="3"/>
    </row>
    <row r="18" spans="1:11">
      <c r="A18" s="4"/>
      <c r="B18" s="54" t="str">
        <f t="shared" si="1"/>
        <v>0x9070</v>
      </c>
      <c r="C18" s="54" t="str">
        <f t="shared" si="1"/>
        <v>0x9071</v>
      </c>
      <c r="D18" s="54">
        <f>D17+I17</f>
        <v>36976</v>
      </c>
      <c r="E18" s="54">
        <f t="shared" si="0"/>
        <v>36977</v>
      </c>
      <c r="F18" s="6" t="s">
        <v>308</v>
      </c>
      <c r="G18" s="6" t="s">
        <v>270</v>
      </c>
      <c r="H18" s="54" t="s">
        <v>75</v>
      </c>
      <c r="I18" s="54">
        <v>2</v>
      </c>
      <c r="J18" s="59"/>
      <c r="K18" s="3"/>
    </row>
    <row r="19" spans="1:11">
      <c r="A19" s="4"/>
      <c r="B19" s="54" t="str">
        <f t="shared" si="1"/>
        <v>0x9072</v>
      </c>
      <c r="C19" s="54" t="str">
        <f t="shared" si="1"/>
        <v>0x9073</v>
      </c>
      <c r="D19" s="54">
        <f t="shared" si="2"/>
        <v>36978</v>
      </c>
      <c r="E19" s="54">
        <f t="shared" si="0"/>
        <v>36979</v>
      </c>
      <c r="F19" s="6" t="s">
        <v>309</v>
      </c>
      <c r="G19" s="6" t="s">
        <v>270</v>
      </c>
      <c r="H19" s="54" t="s">
        <v>75</v>
      </c>
      <c r="I19" s="54">
        <v>2</v>
      </c>
      <c r="J19" s="59"/>
      <c r="K19" s="3"/>
    </row>
    <row r="20" spans="1:11">
      <c r="A20" s="4"/>
      <c r="B20" s="54" t="str">
        <f t="shared" si="1"/>
        <v>0x9074</v>
      </c>
      <c r="C20" s="54" t="str">
        <f t="shared" si="1"/>
        <v>0x9075</v>
      </c>
      <c r="D20" s="54">
        <f t="shared" si="2"/>
        <v>36980</v>
      </c>
      <c r="E20" s="54">
        <f t="shared" si="0"/>
        <v>36981</v>
      </c>
      <c r="F20" s="6" t="s">
        <v>310</v>
      </c>
      <c r="G20" s="6" t="s">
        <v>270</v>
      </c>
      <c r="H20" s="54" t="s">
        <v>75</v>
      </c>
      <c r="I20" s="54">
        <v>2</v>
      </c>
      <c r="J20" s="59"/>
      <c r="K20" s="3"/>
    </row>
    <row r="21" spans="1:11">
      <c r="A21" s="4"/>
      <c r="B21" s="54" t="str">
        <f t="shared" si="1"/>
        <v>0x9076</v>
      </c>
      <c r="C21" s="54" t="str">
        <f t="shared" si="1"/>
        <v>0x9077</v>
      </c>
      <c r="D21" s="54">
        <f t="shared" si="2"/>
        <v>36982</v>
      </c>
      <c r="E21" s="54">
        <f t="shared" si="0"/>
        <v>36983</v>
      </c>
      <c r="F21" s="6" t="s">
        <v>282</v>
      </c>
      <c r="G21" s="6" t="s">
        <v>270</v>
      </c>
      <c r="H21" s="54" t="s">
        <v>75</v>
      </c>
      <c r="I21" s="54">
        <v>2</v>
      </c>
      <c r="J21" s="59"/>
      <c r="K21" s="3"/>
    </row>
    <row r="22" spans="1:11">
      <c r="A22" s="4"/>
      <c r="B22" s="56" t="str">
        <f t="shared" si="1"/>
        <v>0x9078</v>
      </c>
      <c r="C22" s="56" t="str">
        <f t="shared" si="1"/>
        <v>0x9079</v>
      </c>
      <c r="D22" s="56">
        <f t="shared" si="2"/>
        <v>36984</v>
      </c>
      <c r="E22" s="56">
        <f t="shared" si="0"/>
        <v>36985</v>
      </c>
      <c r="F22" s="55" t="s">
        <v>311</v>
      </c>
      <c r="G22" s="55" t="s">
        <v>270</v>
      </c>
      <c r="H22" s="56" t="s">
        <v>75</v>
      </c>
      <c r="I22" s="56">
        <v>2</v>
      </c>
      <c r="J22" s="63"/>
      <c r="K22" s="35"/>
    </row>
    <row r="23" spans="1:11">
      <c r="A23" s="4"/>
      <c r="B23" s="54" t="str">
        <f t="shared" si="1"/>
        <v>0x907A</v>
      </c>
      <c r="C23" s="54" t="str">
        <f t="shared" si="1"/>
        <v>0x907B</v>
      </c>
      <c r="D23" s="54">
        <f t="shared" si="2"/>
        <v>36986</v>
      </c>
      <c r="E23" s="54">
        <f t="shared" si="0"/>
        <v>36987</v>
      </c>
      <c r="F23" s="6" t="s">
        <v>312</v>
      </c>
      <c r="G23" s="6" t="s">
        <v>270</v>
      </c>
      <c r="H23" s="54" t="s">
        <v>75</v>
      </c>
      <c r="I23" s="54">
        <v>2</v>
      </c>
      <c r="J23" s="59"/>
      <c r="K23" s="3"/>
    </row>
    <row r="24" spans="1:11">
      <c r="A24" s="4"/>
      <c r="B24" s="54" t="str">
        <f t="shared" si="1"/>
        <v>0x907C</v>
      </c>
      <c r="C24" s="54" t="str">
        <f t="shared" si="1"/>
        <v>0x907D</v>
      </c>
      <c r="D24" s="54">
        <f t="shared" si="2"/>
        <v>36988</v>
      </c>
      <c r="E24" s="54">
        <f t="shared" si="0"/>
        <v>36989</v>
      </c>
      <c r="F24" s="6" t="s">
        <v>313</v>
      </c>
      <c r="G24" s="6" t="s">
        <v>270</v>
      </c>
      <c r="H24" s="54" t="s">
        <v>75</v>
      </c>
      <c r="I24" s="54">
        <v>2</v>
      </c>
      <c r="J24" s="59"/>
      <c r="K24" s="3"/>
    </row>
    <row r="25" spans="1:11">
      <c r="A25" s="4"/>
      <c r="B25" s="54" t="str">
        <f t="shared" si="1"/>
        <v>0x907E</v>
      </c>
      <c r="C25" s="54" t="str">
        <f t="shared" si="1"/>
        <v>0x907F</v>
      </c>
      <c r="D25" s="54">
        <f t="shared" si="2"/>
        <v>36990</v>
      </c>
      <c r="E25" s="54">
        <f t="shared" si="0"/>
        <v>36991</v>
      </c>
      <c r="F25" s="6" t="s">
        <v>314</v>
      </c>
      <c r="G25" s="6" t="s">
        <v>270</v>
      </c>
      <c r="H25" s="54" t="s">
        <v>75</v>
      </c>
      <c r="I25" s="54">
        <v>2</v>
      </c>
      <c r="J25" s="59"/>
      <c r="K25" s="3"/>
    </row>
    <row r="26" spans="1:11">
      <c r="A26" s="4"/>
      <c r="B26" s="56" t="str">
        <f t="shared" si="1"/>
        <v>0x9080</v>
      </c>
      <c r="C26" s="56" t="str">
        <f t="shared" si="1"/>
        <v>0x9081</v>
      </c>
      <c r="D26" s="56">
        <f t="shared" si="2"/>
        <v>36992</v>
      </c>
      <c r="E26" s="56">
        <f t="shared" si="0"/>
        <v>36993</v>
      </c>
      <c r="F26" s="55" t="s">
        <v>315</v>
      </c>
      <c r="G26" s="55" t="s">
        <v>270</v>
      </c>
      <c r="H26" s="56" t="s">
        <v>75</v>
      </c>
      <c r="I26" s="56">
        <v>2</v>
      </c>
      <c r="J26" s="63"/>
      <c r="K26" s="35"/>
    </row>
    <row r="27" spans="1:11">
      <c r="A27" s="4"/>
      <c r="B27" s="54" t="str">
        <f t="shared" si="1"/>
        <v>0x9082</v>
      </c>
      <c r="C27" s="54" t="str">
        <f t="shared" si="1"/>
        <v>0x9083</v>
      </c>
      <c r="D27" s="54">
        <f>D26+I26</f>
        <v>36994</v>
      </c>
      <c r="E27" s="54">
        <f t="shared" si="0"/>
        <v>36995</v>
      </c>
      <c r="F27" s="6" t="s">
        <v>316</v>
      </c>
      <c r="G27" s="6" t="s">
        <v>270</v>
      </c>
      <c r="H27" s="54" t="s">
        <v>75</v>
      </c>
      <c r="I27" s="54">
        <v>2</v>
      </c>
      <c r="J27" s="59"/>
      <c r="K27" s="3"/>
    </row>
    <row r="28" spans="1:11">
      <c r="A28" s="4"/>
      <c r="B28" s="54" t="str">
        <f t="shared" si="1"/>
        <v>0x9084</v>
      </c>
      <c r="C28" s="54" t="str">
        <f t="shared" si="1"/>
        <v>0x9085</v>
      </c>
      <c r="D28" s="54">
        <f t="shared" si="2"/>
        <v>36996</v>
      </c>
      <c r="E28" s="54">
        <f t="shared" si="0"/>
        <v>36997</v>
      </c>
      <c r="F28" s="6" t="s">
        <v>317</v>
      </c>
      <c r="G28" s="6" t="s">
        <v>270</v>
      </c>
      <c r="H28" s="54" t="s">
        <v>75</v>
      </c>
      <c r="I28" s="54">
        <v>2</v>
      </c>
      <c r="J28" s="59"/>
      <c r="K28" s="3"/>
    </row>
    <row r="29" spans="1:11">
      <c r="A29" s="4"/>
      <c r="B29" s="54" t="str">
        <f t="shared" si="1"/>
        <v>0x9086</v>
      </c>
      <c r="C29" s="54" t="str">
        <f t="shared" si="1"/>
        <v>0x9087</v>
      </c>
      <c r="D29" s="54">
        <f t="shared" si="2"/>
        <v>36998</v>
      </c>
      <c r="E29" s="54">
        <f t="shared" si="0"/>
        <v>36999</v>
      </c>
      <c r="F29" s="6" t="s">
        <v>318</v>
      </c>
      <c r="G29" s="6" t="s">
        <v>270</v>
      </c>
      <c r="H29" s="54" t="s">
        <v>75</v>
      </c>
      <c r="I29" s="54">
        <v>2</v>
      </c>
      <c r="J29" s="59"/>
      <c r="K29" s="3"/>
    </row>
    <row r="30" spans="1:11">
      <c r="A30" s="4"/>
      <c r="B30" s="54" t="str">
        <f t="shared" si="1"/>
        <v>0x9088</v>
      </c>
      <c r="C30" s="54" t="str">
        <f t="shared" si="1"/>
        <v>0x9089</v>
      </c>
      <c r="D30" s="54">
        <f t="shared" si="2"/>
        <v>37000</v>
      </c>
      <c r="E30" s="54">
        <f t="shared" si="0"/>
        <v>37001</v>
      </c>
      <c r="F30" s="6" t="s">
        <v>319</v>
      </c>
      <c r="G30" s="6" t="s">
        <v>270</v>
      </c>
      <c r="H30" s="54" t="s">
        <v>75</v>
      </c>
      <c r="I30" s="54">
        <v>2</v>
      </c>
      <c r="J30" s="59"/>
      <c r="K30" s="3"/>
    </row>
    <row r="31" spans="1:11">
      <c r="A31" s="4"/>
      <c r="B31" s="54" t="str">
        <f t="shared" si="1"/>
        <v>0x908A</v>
      </c>
      <c r="C31" s="54" t="str">
        <f t="shared" si="1"/>
        <v>0x908B</v>
      </c>
      <c r="D31" s="54">
        <f t="shared" si="2"/>
        <v>37002</v>
      </c>
      <c r="E31" s="54">
        <f t="shared" si="0"/>
        <v>37003</v>
      </c>
      <c r="F31" s="6" t="s">
        <v>320</v>
      </c>
      <c r="G31" s="6" t="s">
        <v>270</v>
      </c>
      <c r="H31" s="54" t="s">
        <v>75</v>
      </c>
      <c r="I31" s="54">
        <v>2</v>
      </c>
      <c r="J31" s="59"/>
      <c r="K31" s="3"/>
    </row>
    <row r="32" spans="1:11">
      <c r="A32" s="4"/>
      <c r="B32" s="54" t="str">
        <f t="shared" si="1"/>
        <v>0x908C</v>
      </c>
      <c r="C32" s="54" t="str">
        <f t="shared" si="1"/>
        <v>0x908D</v>
      </c>
      <c r="D32" s="54">
        <f t="shared" si="2"/>
        <v>37004</v>
      </c>
      <c r="E32" s="54">
        <f t="shared" si="0"/>
        <v>37005</v>
      </c>
      <c r="F32" s="6" t="s">
        <v>321</v>
      </c>
      <c r="G32" s="6" t="s">
        <v>270</v>
      </c>
      <c r="H32" s="54" t="s">
        <v>75</v>
      </c>
      <c r="I32" s="54">
        <v>2</v>
      </c>
      <c r="J32" s="59"/>
      <c r="K32" s="3"/>
    </row>
    <row r="33" spans="1:11">
      <c r="A33" s="4"/>
      <c r="B33" s="54" t="str">
        <f t="shared" si="1"/>
        <v>0x908E</v>
      </c>
      <c r="C33" s="54" t="str">
        <f t="shared" si="1"/>
        <v>0x908F</v>
      </c>
      <c r="D33" s="54">
        <f t="shared" si="2"/>
        <v>37006</v>
      </c>
      <c r="E33" s="54">
        <f t="shared" si="0"/>
        <v>37007</v>
      </c>
      <c r="F33" s="6" t="s">
        <v>322</v>
      </c>
      <c r="G33" s="6" t="s">
        <v>270</v>
      </c>
      <c r="H33" s="54" t="s">
        <v>75</v>
      </c>
      <c r="I33" s="54">
        <v>2</v>
      </c>
      <c r="J33" s="59"/>
      <c r="K33" s="3"/>
    </row>
    <row r="34" spans="1:11">
      <c r="A34" s="4"/>
      <c r="B34" s="54" t="str">
        <f t="shared" ref="B34:B39" si="3">"0x"&amp;DEC2HEX(D34,4)</f>
        <v>0x9090</v>
      </c>
      <c r="C34" s="54" t="str">
        <f t="shared" ref="C34:C39" si="4">"0x"&amp;DEC2HEX(E34,4)</f>
        <v>0x9091</v>
      </c>
      <c r="D34" s="54">
        <f t="shared" ref="D34" si="5">D33+I33</f>
        <v>37008</v>
      </c>
      <c r="E34" s="54">
        <f t="shared" si="0"/>
        <v>37009</v>
      </c>
      <c r="F34" s="57" t="s">
        <v>323</v>
      </c>
      <c r="G34" s="6" t="s">
        <v>270</v>
      </c>
      <c r="H34" s="54" t="s">
        <v>75</v>
      </c>
      <c r="I34" s="54">
        <v>2</v>
      </c>
      <c r="J34" s="59"/>
      <c r="K34" s="4"/>
    </row>
    <row r="35" spans="1:11">
      <c r="A35" s="4"/>
      <c r="B35" s="54" t="str">
        <f t="shared" si="3"/>
        <v>0x9092</v>
      </c>
      <c r="C35" s="54" t="str">
        <f t="shared" si="4"/>
        <v>0x9093</v>
      </c>
      <c r="D35" s="54">
        <f t="shared" ref="D35:D39" si="6">D34+I34</f>
        <v>37010</v>
      </c>
      <c r="E35" s="54">
        <f t="shared" si="0"/>
        <v>37011</v>
      </c>
      <c r="F35" s="58" t="s">
        <v>324</v>
      </c>
      <c r="G35" s="6" t="s">
        <v>270</v>
      </c>
      <c r="H35" s="54" t="s">
        <v>75</v>
      </c>
      <c r="I35" s="54">
        <v>2</v>
      </c>
      <c r="J35" s="59"/>
      <c r="K35" s="4"/>
    </row>
    <row r="36" spans="1:11">
      <c r="A36" s="4"/>
      <c r="B36" s="54" t="str">
        <f t="shared" si="3"/>
        <v>0x9094</v>
      </c>
      <c r="C36" s="54" t="str">
        <f t="shared" si="4"/>
        <v>0x9095</v>
      </c>
      <c r="D36" s="54">
        <f t="shared" si="6"/>
        <v>37012</v>
      </c>
      <c r="E36" s="54">
        <f t="shared" si="0"/>
        <v>37013</v>
      </c>
      <c r="F36" s="58" t="s">
        <v>325</v>
      </c>
      <c r="G36" s="6" t="s">
        <v>270</v>
      </c>
      <c r="H36" s="54" t="s">
        <v>75</v>
      </c>
      <c r="I36" s="54">
        <v>2</v>
      </c>
      <c r="J36" s="59"/>
      <c r="K36" s="4"/>
    </row>
    <row r="37" spans="1:11">
      <c r="A37" s="4"/>
      <c r="B37" s="54" t="str">
        <f t="shared" si="3"/>
        <v>0x9096</v>
      </c>
      <c r="C37" s="54" t="str">
        <f t="shared" si="4"/>
        <v>0x9097</v>
      </c>
      <c r="D37" s="54">
        <f t="shared" si="6"/>
        <v>37014</v>
      </c>
      <c r="E37" s="54">
        <f t="shared" si="0"/>
        <v>37015</v>
      </c>
      <c r="F37" s="58" t="s">
        <v>326</v>
      </c>
      <c r="G37" s="6" t="s">
        <v>270</v>
      </c>
      <c r="H37" s="54" t="s">
        <v>75</v>
      </c>
      <c r="I37" s="54">
        <v>2</v>
      </c>
      <c r="J37" s="59"/>
      <c r="K37" s="7"/>
    </row>
    <row r="38" spans="1:11">
      <c r="A38" s="4"/>
      <c r="B38" s="54" t="str">
        <f t="shared" si="3"/>
        <v>0x9098</v>
      </c>
      <c r="C38" s="54" t="str">
        <f t="shared" si="4"/>
        <v>0x9099</v>
      </c>
      <c r="D38" s="54">
        <f t="shared" si="6"/>
        <v>37016</v>
      </c>
      <c r="E38" s="54">
        <f t="shared" si="0"/>
        <v>37017</v>
      </c>
      <c r="F38" s="15" t="s">
        <v>327</v>
      </c>
      <c r="G38" s="6" t="s">
        <v>270</v>
      </c>
      <c r="H38" s="54" t="s">
        <v>75</v>
      </c>
      <c r="I38" s="54">
        <v>2</v>
      </c>
      <c r="J38" s="59"/>
      <c r="K38" s="7"/>
    </row>
    <row r="39" spans="1:11">
      <c r="A39" s="4"/>
      <c r="B39" s="54" t="str">
        <f t="shared" si="3"/>
        <v>0x909A</v>
      </c>
      <c r="C39" s="54" t="str">
        <f t="shared" si="4"/>
        <v>0x909B</v>
      </c>
      <c r="D39" s="54">
        <f t="shared" si="6"/>
        <v>37018</v>
      </c>
      <c r="E39" s="54">
        <f t="shared" si="0"/>
        <v>37019</v>
      </c>
      <c r="F39" s="15" t="s">
        <v>328</v>
      </c>
      <c r="G39" s="6" t="s">
        <v>270</v>
      </c>
      <c r="H39" s="54" t="s">
        <v>75</v>
      </c>
      <c r="I39" s="54">
        <v>2</v>
      </c>
      <c r="J39" s="59"/>
      <c r="K39" s="7"/>
    </row>
    <row r="40" spans="1:11">
      <c r="B40" s="54" t="str">
        <f t="shared" ref="B40:C43" si="7">"0x"&amp;DEC2HEX(D40,4)</f>
        <v>0x909C</v>
      </c>
      <c r="C40" s="54" t="str">
        <f t="shared" si="7"/>
        <v>0x909D</v>
      </c>
      <c r="D40" s="54">
        <f>D39+I39</f>
        <v>37020</v>
      </c>
      <c r="E40" s="54">
        <f t="shared" si="0"/>
        <v>37021</v>
      </c>
      <c r="F40" s="15" t="s">
        <v>329</v>
      </c>
      <c r="G40" s="6" t="s">
        <v>270</v>
      </c>
      <c r="H40" s="54" t="s">
        <v>75</v>
      </c>
      <c r="I40" s="54">
        <v>2</v>
      </c>
      <c r="J40" s="59"/>
    </row>
    <row r="41" spans="1:11">
      <c r="B41" s="54" t="str">
        <f t="shared" si="7"/>
        <v>0x909E</v>
      </c>
      <c r="C41" s="54" t="str">
        <f t="shared" si="7"/>
        <v>0x909F</v>
      </c>
      <c r="D41" s="54">
        <f>D40+I40</f>
        <v>37022</v>
      </c>
      <c r="E41" s="54">
        <f t="shared" si="0"/>
        <v>37023</v>
      </c>
      <c r="F41" s="15" t="s">
        <v>330</v>
      </c>
      <c r="G41" s="6" t="s">
        <v>270</v>
      </c>
      <c r="H41" s="54" t="s">
        <v>75</v>
      </c>
      <c r="I41" s="54">
        <v>2</v>
      </c>
      <c r="J41" s="59"/>
    </row>
    <row r="42" spans="1:11">
      <c r="B42" s="54" t="str">
        <f t="shared" si="7"/>
        <v>0x90A0</v>
      </c>
      <c r="C42" s="54" t="str">
        <f t="shared" si="7"/>
        <v>0x90A1</v>
      </c>
      <c r="D42" s="54">
        <f>D41+I41</f>
        <v>37024</v>
      </c>
      <c r="E42" s="54">
        <f t="shared" si="0"/>
        <v>37025</v>
      </c>
      <c r="F42" s="15" t="s">
        <v>331</v>
      </c>
      <c r="G42" s="6" t="s">
        <v>270</v>
      </c>
      <c r="H42" s="54" t="s">
        <v>75</v>
      </c>
      <c r="I42" s="54">
        <v>2</v>
      </c>
      <c r="J42" s="59"/>
    </row>
    <row r="43" spans="1:11">
      <c r="B43" s="54" t="str">
        <f t="shared" si="7"/>
        <v>0x90A2</v>
      </c>
      <c r="C43" s="54" t="str">
        <f t="shared" si="7"/>
        <v>0x90A3</v>
      </c>
      <c r="D43" s="54">
        <f>D42+I42</f>
        <v>37026</v>
      </c>
      <c r="E43" s="54">
        <f t="shared" si="0"/>
        <v>37027</v>
      </c>
      <c r="F43" s="15" t="s">
        <v>332</v>
      </c>
      <c r="G43" s="6" t="s">
        <v>270</v>
      </c>
      <c r="H43" s="54" t="s">
        <v>75</v>
      </c>
      <c r="I43" s="54">
        <v>2</v>
      </c>
      <c r="J43" s="59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74C72-0D4B-4E18-8750-A6F5AADC3F2F}">
  <dimension ref="A1:L38"/>
  <sheetViews>
    <sheetView zoomScale="115" zoomScaleNormal="115" workbookViewId="0">
      <pane ySplit="1" topLeftCell="A2" activePane="bottomLeft" state="frozen"/>
      <selection pane="bottomLeft" activeCell="F18" sqref="F18"/>
    </sheetView>
  </sheetViews>
  <sheetFormatPr defaultRowHeight="14.25"/>
  <cols>
    <col min="1" max="1" width="20.75" bestFit="1" customWidth="1"/>
    <col min="2" max="2" width="8.375" bestFit="1" customWidth="1"/>
    <col min="3" max="3" width="7.75" bestFit="1" customWidth="1"/>
    <col min="4" max="4" width="8.25" bestFit="1" customWidth="1"/>
    <col min="5" max="5" width="7.625" bestFit="1" customWidth="1"/>
    <col min="6" max="6" width="22.25" bestFit="1" customWidth="1"/>
    <col min="7" max="7" width="7.75" customWidth="1"/>
    <col min="8" max="8" width="3.75" bestFit="1" customWidth="1"/>
    <col min="9" max="9" width="7.375" bestFit="1" customWidth="1"/>
    <col min="10" max="10" width="16.375" bestFit="1" customWidth="1"/>
    <col min="11" max="11" width="5.375" bestFit="1" customWidth="1"/>
    <col min="12" max="12" width="6.125" bestFit="1" customWidth="1"/>
  </cols>
  <sheetData>
    <row r="1" spans="1:12">
      <c r="A1" s="1" t="s">
        <v>14</v>
      </c>
      <c r="B1" s="1" t="s">
        <v>17</v>
      </c>
      <c r="C1" s="1" t="s">
        <v>18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333</v>
      </c>
      <c r="K1" s="8" t="s">
        <v>69</v>
      </c>
      <c r="L1" s="1" t="s">
        <v>70</v>
      </c>
    </row>
    <row r="2" spans="1:12">
      <c r="A2" s="9" t="s">
        <v>334</v>
      </c>
      <c r="B2" s="10"/>
      <c r="C2" s="10"/>
      <c r="D2" s="10"/>
      <c r="E2" s="3"/>
      <c r="F2" s="10"/>
      <c r="G2" s="10"/>
      <c r="H2" s="10"/>
      <c r="I2" s="10"/>
      <c r="J2" s="10"/>
      <c r="K2" s="5"/>
      <c r="L2" s="10"/>
    </row>
    <row r="3" spans="1:12">
      <c r="A3" s="4" t="s">
        <v>335</v>
      </c>
      <c r="B3" s="5" t="str">
        <f>"0x"&amp;DEC2HEX(D3,4)</f>
        <v>0x4A00</v>
      </c>
      <c r="C3" s="5" t="str">
        <f t="shared" ref="B3:C18" si="0">"0x"&amp;DEC2HEX(E3,4)</f>
        <v>0x4A01</v>
      </c>
      <c r="D3" s="5">
        <v>18944</v>
      </c>
      <c r="E3" s="5">
        <f t="shared" ref="E3:E38" si="1">D3+I3-1</f>
        <v>18945</v>
      </c>
      <c r="F3" s="5" t="s">
        <v>336</v>
      </c>
      <c r="G3" s="5" t="s">
        <v>337</v>
      </c>
      <c r="H3" s="5" t="s">
        <v>75</v>
      </c>
      <c r="I3" s="5">
        <v>2</v>
      </c>
      <c r="J3" s="5">
        <v>1</v>
      </c>
      <c r="K3" s="16"/>
      <c r="L3" s="4"/>
    </row>
    <row r="4" spans="1:12">
      <c r="A4" s="4"/>
      <c r="B4" s="5" t="str">
        <f t="shared" si="0"/>
        <v>0x4A02</v>
      </c>
      <c r="C4" s="5" t="str">
        <f t="shared" si="0"/>
        <v>0x4A03</v>
      </c>
      <c r="D4" s="5">
        <f t="shared" ref="D4:D38" si="2">E3+1</f>
        <v>18946</v>
      </c>
      <c r="E4" s="5">
        <f t="shared" si="1"/>
        <v>18947</v>
      </c>
      <c r="F4" s="5" t="s">
        <v>338</v>
      </c>
      <c r="G4" s="5" t="s">
        <v>337</v>
      </c>
      <c r="H4" s="5" t="s">
        <v>75</v>
      </c>
      <c r="I4" s="5">
        <v>2</v>
      </c>
      <c r="J4" s="5">
        <v>2</v>
      </c>
      <c r="K4" s="16"/>
      <c r="L4" s="4"/>
    </row>
    <row r="5" spans="1:12">
      <c r="A5" s="4"/>
      <c r="B5" s="5" t="str">
        <f t="shared" si="0"/>
        <v>0x4A04</v>
      </c>
      <c r="C5" s="5" t="str">
        <f t="shared" si="0"/>
        <v>0x4A05</v>
      </c>
      <c r="D5" s="5">
        <f t="shared" si="2"/>
        <v>18948</v>
      </c>
      <c r="E5" s="5">
        <f t="shared" si="1"/>
        <v>18949</v>
      </c>
      <c r="F5" s="5" t="s">
        <v>339</v>
      </c>
      <c r="G5" s="5" t="s">
        <v>337</v>
      </c>
      <c r="H5" s="5" t="s">
        <v>75</v>
      </c>
      <c r="I5" s="5">
        <v>2</v>
      </c>
      <c r="J5" s="5">
        <v>3</v>
      </c>
      <c r="K5" s="60"/>
      <c r="L5" s="4"/>
    </row>
    <row r="6" spans="1:12">
      <c r="A6" s="4"/>
      <c r="B6" s="5" t="str">
        <f t="shared" si="0"/>
        <v>0x4A06</v>
      </c>
      <c r="C6" s="5" t="str">
        <f t="shared" si="0"/>
        <v>0x4A07</v>
      </c>
      <c r="D6" s="5">
        <f t="shared" si="2"/>
        <v>18950</v>
      </c>
      <c r="E6" s="5">
        <f t="shared" si="1"/>
        <v>18951</v>
      </c>
      <c r="F6" s="5" t="s">
        <v>340</v>
      </c>
      <c r="G6" s="5" t="s">
        <v>337</v>
      </c>
      <c r="H6" s="5" t="s">
        <v>75</v>
      </c>
      <c r="I6" s="5">
        <v>2</v>
      </c>
      <c r="J6" s="5">
        <v>4</v>
      </c>
      <c r="K6" s="16"/>
      <c r="L6" s="4"/>
    </row>
    <row r="7" spans="1:12">
      <c r="A7" s="4"/>
      <c r="B7" s="5" t="str">
        <f t="shared" si="0"/>
        <v>0x4A08</v>
      </c>
      <c r="C7" s="5" t="str">
        <f t="shared" si="0"/>
        <v>0x4A09</v>
      </c>
      <c r="D7" s="5">
        <f t="shared" si="2"/>
        <v>18952</v>
      </c>
      <c r="E7" s="5">
        <f t="shared" si="1"/>
        <v>18953</v>
      </c>
      <c r="F7" s="5" t="s">
        <v>341</v>
      </c>
      <c r="G7" s="5" t="s">
        <v>337</v>
      </c>
      <c r="H7" s="5" t="s">
        <v>75</v>
      </c>
      <c r="I7" s="5">
        <v>2</v>
      </c>
      <c r="J7" s="5">
        <v>5</v>
      </c>
      <c r="K7" s="16"/>
      <c r="L7" s="4"/>
    </row>
    <row r="8" spans="1:12">
      <c r="A8" s="4"/>
      <c r="B8" s="5" t="str">
        <f t="shared" si="0"/>
        <v>0x4A0A</v>
      </c>
      <c r="C8" s="5" t="str">
        <f t="shared" si="0"/>
        <v>0x4A0B</v>
      </c>
      <c r="D8" s="5">
        <f t="shared" si="2"/>
        <v>18954</v>
      </c>
      <c r="E8" s="5">
        <f t="shared" si="1"/>
        <v>18955</v>
      </c>
      <c r="F8" s="5" t="s">
        <v>342</v>
      </c>
      <c r="G8" s="5" t="s">
        <v>337</v>
      </c>
      <c r="H8" s="5" t="s">
        <v>75</v>
      </c>
      <c r="I8" s="5">
        <v>2</v>
      </c>
      <c r="J8" s="5">
        <v>6</v>
      </c>
      <c r="K8" s="16"/>
      <c r="L8" s="4"/>
    </row>
    <row r="9" spans="1:12">
      <c r="A9" s="4"/>
      <c r="B9" s="5" t="str">
        <f t="shared" si="0"/>
        <v>0x4A0C</v>
      </c>
      <c r="C9" s="5" t="str">
        <f t="shared" si="0"/>
        <v>0x4A0D</v>
      </c>
      <c r="D9" s="5">
        <f t="shared" si="2"/>
        <v>18956</v>
      </c>
      <c r="E9" s="5">
        <f t="shared" si="1"/>
        <v>18957</v>
      </c>
      <c r="F9" s="5" t="s">
        <v>343</v>
      </c>
      <c r="G9" s="5" t="s">
        <v>337</v>
      </c>
      <c r="H9" s="5" t="s">
        <v>75</v>
      </c>
      <c r="I9" s="5">
        <v>2</v>
      </c>
      <c r="J9" s="5">
        <v>7</v>
      </c>
      <c r="K9" s="60"/>
      <c r="L9" s="4"/>
    </row>
    <row r="10" spans="1:12">
      <c r="A10" s="4"/>
      <c r="B10" s="5" t="str">
        <f t="shared" si="0"/>
        <v>0x4A0E</v>
      </c>
      <c r="C10" s="5" t="str">
        <f t="shared" si="0"/>
        <v>0x4A0F</v>
      </c>
      <c r="D10" s="5">
        <f t="shared" si="2"/>
        <v>18958</v>
      </c>
      <c r="E10" s="5">
        <f t="shared" si="1"/>
        <v>18959</v>
      </c>
      <c r="F10" s="5" t="s">
        <v>344</v>
      </c>
      <c r="G10" s="5" t="s">
        <v>337</v>
      </c>
      <c r="H10" s="5" t="s">
        <v>75</v>
      </c>
      <c r="I10" s="5">
        <v>2</v>
      </c>
      <c r="J10" s="5">
        <v>8</v>
      </c>
      <c r="K10" s="16"/>
      <c r="L10" s="4"/>
    </row>
    <row r="11" spans="1:12">
      <c r="A11" s="4"/>
      <c r="B11" s="5" t="str">
        <f t="shared" si="0"/>
        <v>0x4A10</v>
      </c>
      <c r="C11" s="5" t="str">
        <f t="shared" si="0"/>
        <v>0x4A11</v>
      </c>
      <c r="D11" s="5">
        <f t="shared" si="2"/>
        <v>18960</v>
      </c>
      <c r="E11" s="5">
        <f t="shared" si="1"/>
        <v>18961</v>
      </c>
      <c r="F11" s="5" t="s">
        <v>345</v>
      </c>
      <c r="G11" s="5" t="s">
        <v>337</v>
      </c>
      <c r="H11" s="5" t="s">
        <v>75</v>
      </c>
      <c r="I11" s="5">
        <v>2</v>
      </c>
      <c r="J11" s="5">
        <v>9</v>
      </c>
      <c r="K11" s="16"/>
      <c r="L11" s="4"/>
    </row>
    <row r="12" spans="1:12">
      <c r="A12" s="4"/>
      <c r="B12" s="5" t="str">
        <f t="shared" si="0"/>
        <v>0x4A12</v>
      </c>
      <c r="C12" s="5" t="str">
        <f t="shared" si="0"/>
        <v>0x4A13</v>
      </c>
      <c r="D12" s="5">
        <f t="shared" si="2"/>
        <v>18962</v>
      </c>
      <c r="E12" s="5">
        <f t="shared" si="1"/>
        <v>18963</v>
      </c>
      <c r="F12" s="5" t="s">
        <v>346</v>
      </c>
      <c r="G12" s="5" t="s">
        <v>337</v>
      </c>
      <c r="H12" s="5" t="s">
        <v>75</v>
      </c>
      <c r="I12" s="5">
        <v>2</v>
      </c>
      <c r="J12" s="5">
        <v>10</v>
      </c>
      <c r="K12" s="16"/>
      <c r="L12" s="4"/>
    </row>
    <row r="13" spans="1:12">
      <c r="A13" s="4"/>
      <c r="B13" s="5" t="str">
        <f t="shared" si="0"/>
        <v>0x4A14</v>
      </c>
      <c r="C13" s="5" t="str">
        <f t="shared" si="0"/>
        <v>0x4A15</v>
      </c>
      <c r="D13" s="5">
        <f t="shared" si="2"/>
        <v>18964</v>
      </c>
      <c r="E13" s="5">
        <f t="shared" si="1"/>
        <v>18965</v>
      </c>
      <c r="F13" s="5" t="s">
        <v>347</v>
      </c>
      <c r="G13" s="5" t="s">
        <v>337</v>
      </c>
      <c r="H13" s="5" t="s">
        <v>75</v>
      </c>
      <c r="I13" s="5">
        <v>2</v>
      </c>
      <c r="J13" s="5">
        <v>11</v>
      </c>
      <c r="K13" s="16"/>
      <c r="L13" s="4"/>
    </row>
    <row r="14" spans="1:12">
      <c r="A14" s="4"/>
      <c r="B14" s="5" t="str">
        <f t="shared" si="0"/>
        <v>0x4A16</v>
      </c>
      <c r="C14" s="5" t="str">
        <f t="shared" si="0"/>
        <v>0x4A17</v>
      </c>
      <c r="D14" s="5">
        <f t="shared" si="2"/>
        <v>18966</v>
      </c>
      <c r="E14" s="5">
        <f t="shared" si="1"/>
        <v>18967</v>
      </c>
      <c r="F14" s="5" t="s">
        <v>348</v>
      </c>
      <c r="G14" s="5" t="s">
        <v>337</v>
      </c>
      <c r="H14" s="5" t="s">
        <v>75</v>
      </c>
      <c r="I14" s="5">
        <v>2</v>
      </c>
      <c r="J14" s="5">
        <v>12</v>
      </c>
      <c r="K14" s="60"/>
      <c r="L14" s="4"/>
    </row>
    <row r="15" spans="1:12">
      <c r="A15" s="4"/>
      <c r="B15" s="5" t="str">
        <f t="shared" si="0"/>
        <v>0x4A18</v>
      </c>
      <c r="C15" s="5" t="str">
        <f t="shared" si="0"/>
        <v>0x4A19</v>
      </c>
      <c r="D15" s="5">
        <f t="shared" si="2"/>
        <v>18968</v>
      </c>
      <c r="E15" s="5">
        <f t="shared" si="1"/>
        <v>18969</v>
      </c>
      <c r="F15" s="5" t="s">
        <v>349</v>
      </c>
      <c r="G15" s="5" t="s">
        <v>350</v>
      </c>
      <c r="H15" s="5" t="s">
        <v>75</v>
      </c>
      <c r="I15" s="5">
        <v>2</v>
      </c>
      <c r="J15" s="5">
        <v>13</v>
      </c>
      <c r="K15" s="16"/>
      <c r="L15" s="4"/>
    </row>
    <row r="16" spans="1:12">
      <c r="A16" s="4"/>
      <c r="B16" s="5" t="str">
        <f t="shared" si="0"/>
        <v>0x4A1A</v>
      </c>
      <c r="C16" s="5" t="str">
        <f t="shared" si="0"/>
        <v>0x4A1B</v>
      </c>
      <c r="D16" s="5">
        <f t="shared" si="2"/>
        <v>18970</v>
      </c>
      <c r="E16" s="5">
        <f t="shared" si="1"/>
        <v>18971</v>
      </c>
      <c r="F16" s="5" t="s">
        <v>351</v>
      </c>
      <c r="G16" s="5" t="s">
        <v>350</v>
      </c>
      <c r="H16" s="5" t="s">
        <v>75</v>
      </c>
      <c r="I16" s="5">
        <v>2</v>
      </c>
      <c r="J16" s="5">
        <v>14</v>
      </c>
      <c r="K16" s="16"/>
      <c r="L16" s="4"/>
    </row>
    <row r="17" spans="1:12">
      <c r="A17" s="4"/>
      <c r="B17" s="5" t="str">
        <f t="shared" si="0"/>
        <v>0x4A1C</v>
      </c>
      <c r="C17" s="5" t="str">
        <f t="shared" si="0"/>
        <v>0x4A1D</v>
      </c>
      <c r="D17" s="5">
        <f t="shared" si="2"/>
        <v>18972</v>
      </c>
      <c r="E17" s="5">
        <f t="shared" si="1"/>
        <v>18973</v>
      </c>
      <c r="F17" s="5" t="s">
        <v>352</v>
      </c>
      <c r="G17" s="5" t="s">
        <v>350</v>
      </c>
      <c r="H17" s="5" t="s">
        <v>75</v>
      </c>
      <c r="I17" s="5">
        <v>2</v>
      </c>
      <c r="J17" s="5">
        <v>15</v>
      </c>
      <c r="K17" s="16"/>
      <c r="L17" s="4"/>
    </row>
    <row r="18" spans="1:12">
      <c r="A18" s="4"/>
      <c r="B18" s="5" t="str">
        <f t="shared" si="0"/>
        <v>0x4A1E</v>
      </c>
      <c r="C18" s="5" t="str">
        <f t="shared" si="0"/>
        <v>0x4A1F</v>
      </c>
      <c r="D18" s="5">
        <f t="shared" si="2"/>
        <v>18974</v>
      </c>
      <c r="E18" s="5">
        <f t="shared" si="1"/>
        <v>18975</v>
      </c>
      <c r="F18" s="5" t="s">
        <v>353</v>
      </c>
      <c r="G18" s="5" t="s">
        <v>350</v>
      </c>
      <c r="H18" s="5" t="s">
        <v>75</v>
      </c>
      <c r="I18" s="5">
        <v>2</v>
      </c>
      <c r="J18" s="5">
        <v>16</v>
      </c>
      <c r="K18" s="60"/>
      <c r="L18" s="4"/>
    </row>
    <row r="19" spans="1:12">
      <c r="A19" s="4"/>
      <c r="B19" s="5" t="str">
        <f t="shared" ref="B19:C38" si="3">"0x"&amp;DEC2HEX(D19,4)</f>
        <v>0x4A20</v>
      </c>
      <c r="C19" s="5" t="str">
        <f t="shared" si="3"/>
        <v>0x4A21</v>
      </c>
      <c r="D19" s="5">
        <f t="shared" si="2"/>
        <v>18976</v>
      </c>
      <c r="E19" s="5">
        <f t="shared" si="1"/>
        <v>18977</v>
      </c>
      <c r="F19" s="5" t="s">
        <v>354</v>
      </c>
      <c r="G19" s="5" t="s">
        <v>337</v>
      </c>
      <c r="H19" s="5" t="s">
        <v>75</v>
      </c>
      <c r="I19" s="5">
        <v>2</v>
      </c>
      <c r="J19" s="5">
        <v>17</v>
      </c>
      <c r="K19" s="16"/>
      <c r="L19" s="4"/>
    </row>
    <row r="20" spans="1:12">
      <c r="A20" s="4"/>
      <c r="B20" s="5" t="str">
        <f t="shared" si="3"/>
        <v>0x4A22</v>
      </c>
      <c r="C20" s="5" t="str">
        <f t="shared" si="3"/>
        <v>0x4A23</v>
      </c>
      <c r="D20" s="5">
        <f t="shared" si="2"/>
        <v>18978</v>
      </c>
      <c r="E20" s="5">
        <f t="shared" si="1"/>
        <v>18979</v>
      </c>
      <c r="F20" s="5" t="s">
        <v>355</v>
      </c>
      <c r="G20" s="5" t="s">
        <v>337</v>
      </c>
      <c r="H20" s="5" t="s">
        <v>75</v>
      </c>
      <c r="I20" s="5">
        <v>2</v>
      </c>
      <c r="J20" s="5">
        <v>18</v>
      </c>
      <c r="K20" s="16"/>
      <c r="L20" s="4"/>
    </row>
    <row r="21" spans="1:12">
      <c r="A21" s="4"/>
      <c r="B21" s="5" t="str">
        <f t="shared" si="3"/>
        <v>0x4A24</v>
      </c>
      <c r="C21" s="5" t="str">
        <f t="shared" si="3"/>
        <v>0x4A25</v>
      </c>
      <c r="D21" s="5">
        <f t="shared" si="2"/>
        <v>18980</v>
      </c>
      <c r="E21" s="5">
        <f t="shared" si="1"/>
        <v>18981</v>
      </c>
      <c r="F21" s="5" t="s">
        <v>356</v>
      </c>
      <c r="G21" s="5" t="s">
        <v>337</v>
      </c>
      <c r="H21" s="5" t="s">
        <v>75</v>
      </c>
      <c r="I21" s="5">
        <v>2</v>
      </c>
      <c r="J21" s="5">
        <v>19</v>
      </c>
      <c r="K21" s="16"/>
      <c r="L21" s="4"/>
    </row>
    <row r="22" spans="1:12">
      <c r="A22" s="4"/>
      <c r="B22" s="5" t="str">
        <f t="shared" si="3"/>
        <v>0x4A26</v>
      </c>
      <c r="C22" s="5" t="str">
        <f t="shared" si="3"/>
        <v>0x4A27</v>
      </c>
      <c r="D22" s="5">
        <f t="shared" si="2"/>
        <v>18982</v>
      </c>
      <c r="E22" s="5">
        <f t="shared" si="1"/>
        <v>18983</v>
      </c>
      <c r="F22" s="5" t="s">
        <v>357</v>
      </c>
      <c r="G22" s="5" t="s">
        <v>337</v>
      </c>
      <c r="H22" s="5" t="s">
        <v>75</v>
      </c>
      <c r="I22" s="5">
        <v>2</v>
      </c>
      <c r="J22" s="5">
        <v>20</v>
      </c>
      <c r="K22" s="16"/>
      <c r="L22" s="4"/>
    </row>
    <row r="23" spans="1:12">
      <c r="A23" s="4"/>
      <c r="B23" s="5" t="str">
        <f t="shared" si="3"/>
        <v>0x4A28</v>
      </c>
      <c r="C23" s="5" t="str">
        <f t="shared" si="3"/>
        <v>0x4A29</v>
      </c>
      <c r="D23" s="5">
        <f t="shared" si="2"/>
        <v>18984</v>
      </c>
      <c r="E23" s="5">
        <f t="shared" si="1"/>
        <v>18985</v>
      </c>
      <c r="F23" s="5" t="s">
        <v>358</v>
      </c>
      <c r="G23" s="5" t="s">
        <v>337</v>
      </c>
      <c r="H23" s="5" t="s">
        <v>75</v>
      </c>
      <c r="I23" s="5">
        <v>2</v>
      </c>
      <c r="J23" s="5">
        <v>21</v>
      </c>
      <c r="K23" s="16"/>
      <c r="L23" s="4"/>
    </row>
    <row r="24" spans="1:12">
      <c r="A24" s="4"/>
      <c r="B24" s="5" t="str">
        <f t="shared" si="3"/>
        <v>0x4A2A</v>
      </c>
      <c r="C24" s="5" t="str">
        <f t="shared" si="3"/>
        <v>0x4A2B</v>
      </c>
      <c r="D24" s="5">
        <f t="shared" si="2"/>
        <v>18986</v>
      </c>
      <c r="E24" s="5">
        <f t="shared" si="1"/>
        <v>18987</v>
      </c>
      <c r="F24" s="5" t="s">
        <v>359</v>
      </c>
      <c r="G24" s="5" t="s">
        <v>337</v>
      </c>
      <c r="H24" s="5" t="s">
        <v>75</v>
      </c>
      <c r="I24" s="5">
        <v>2</v>
      </c>
      <c r="J24" s="5">
        <v>22</v>
      </c>
      <c r="K24" s="60"/>
      <c r="L24" s="4"/>
    </row>
    <row r="25" spans="1:12">
      <c r="A25" s="4"/>
      <c r="B25" s="5" t="str">
        <f t="shared" si="3"/>
        <v>0x4A2C</v>
      </c>
      <c r="C25" s="5" t="str">
        <f t="shared" si="3"/>
        <v>0x4A2D</v>
      </c>
      <c r="D25" s="5">
        <f t="shared" si="2"/>
        <v>18988</v>
      </c>
      <c r="E25" s="5">
        <f t="shared" si="1"/>
        <v>18989</v>
      </c>
      <c r="F25" s="5" t="s">
        <v>360</v>
      </c>
      <c r="G25" s="5" t="s">
        <v>337</v>
      </c>
      <c r="H25" s="5" t="s">
        <v>75</v>
      </c>
      <c r="I25" s="5">
        <v>2</v>
      </c>
      <c r="J25" s="5">
        <v>23</v>
      </c>
      <c r="K25" s="16"/>
      <c r="L25" s="4"/>
    </row>
    <row r="26" spans="1:12">
      <c r="A26" s="4"/>
      <c r="B26" s="5" t="str">
        <f t="shared" si="3"/>
        <v>0x4A2E</v>
      </c>
      <c r="C26" s="5" t="str">
        <f t="shared" si="3"/>
        <v>0x4A2F</v>
      </c>
      <c r="D26" s="5">
        <f t="shared" si="2"/>
        <v>18990</v>
      </c>
      <c r="E26" s="5">
        <f t="shared" si="1"/>
        <v>18991</v>
      </c>
      <c r="F26" s="5" t="s">
        <v>361</v>
      </c>
      <c r="G26" s="5" t="s">
        <v>337</v>
      </c>
      <c r="H26" s="5" t="s">
        <v>75</v>
      </c>
      <c r="I26" s="5">
        <v>2</v>
      </c>
      <c r="J26" s="5">
        <v>24</v>
      </c>
      <c r="K26" s="16"/>
      <c r="L26" s="4"/>
    </row>
    <row r="27" spans="1:12">
      <c r="A27" s="4"/>
      <c r="B27" s="5" t="str">
        <f t="shared" si="3"/>
        <v>0x4A30</v>
      </c>
      <c r="C27" s="5" t="str">
        <f t="shared" si="3"/>
        <v>0x4A31</v>
      </c>
      <c r="D27" s="5">
        <f t="shared" si="2"/>
        <v>18992</v>
      </c>
      <c r="E27" s="5">
        <f t="shared" si="1"/>
        <v>18993</v>
      </c>
      <c r="F27" s="5" t="s">
        <v>362</v>
      </c>
      <c r="G27" s="5" t="s">
        <v>337</v>
      </c>
      <c r="H27" s="5" t="s">
        <v>75</v>
      </c>
      <c r="I27" s="5">
        <v>2</v>
      </c>
      <c r="J27" s="5">
        <v>25</v>
      </c>
      <c r="K27" s="60"/>
      <c r="L27" s="4"/>
    </row>
    <row r="28" spans="1:12">
      <c r="A28" s="4"/>
      <c r="B28" s="5" t="str">
        <f t="shared" si="3"/>
        <v>0x4A32</v>
      </c>
      <c r="C28" s="5" t="str">
        <f t="shared" si="3"/>
        <v>0x4A33</v>
      </c>
      <c r="D28" s="5">
        <f t="shared" si="2"/>
        <v>18994</v>
      </c>
      <c r="E28" s="5">
        <f t="shared" si="1"/>
        <v>18995</v>
      </c>
      <c r="F28" s="5" t="s">
        <v>363</v>
      </c>
      <c r="G28" s="5" t="s">
        <v>337</v>
      </c>
      <c r="H28" s="5" t="s">
        <v>75</v>
      </c>
      <c r="I28" s="5">
        <v>2</v>
      </c>
      <c r="J28" s="5">
        <v>26</v>
      </c>
      <c r="K28" s="16"/>
      <c r="L28" s="4"/>
    </row>
    <row r="29" spans="1:12">
      <c r="A29" s="4"/>
      <c r="B29" s="5" t="str">
        <f t="shared" si="3"/>
        <v>0x4A34</v>
      </c>
      <c r="C29" s="5" t="str">
        <f t="shared" si="3"/>
        <v>0x4A35</v>
      </c>
      <c r="D29" s="5">
        <f t="shared" si="2"/>
        <v>18996</v>
      </c>
      <c r="E29" s="5">
        <f t="shared" si="1"/>
        <v>18997</v>
      </c>
      <c r="F29" s="5" t="s">
        <v>364</v>
      </c>
      <c r="G29" s="5" t="s">
        <v>337</v>
      </c>
      <c r="H29" s="5" t="s">
        <v>75</v>
      </c>
      <c r="I29" s="5">
        <v>2</v>
      </c>
      <c r="J29" s="5">
        <v>27</v>
      </c>
      <c r="K29" s="16"/>
      <c r="L29" s="4"/>
    </row>
    <row r="30" spans="1:12">
      <c r="A30" s="4"/>
      <c r="B30" s="5" t="str">
        <f t="shared" si="3"/>
        <v>0x4A36</v>
      </c>
      <c r="C30" s="5" t="str">
        <f t="shared" si="3"/>
        <v>0x4A37</v>
      </c>
      <c r="D30" s="5">
        <f t="shared" si="2"/>
        <v>18998</v>
      </c>
      <c r="E30" s="5">
        <f t="shared" si="1"/>
        <v>18999</v>
      </c>
      <c r="F30" s="5" t="s">
        <v>365</v>
      </c>
      <c r="G30" s="5" t="s">
        <v>337</v>
      </c>
      <c r="H30" s="5" t="s">
        <v>75</v>
      </c>
      <c r="I30" s="5">
        <v>2</v>
      </c>
      <c r="J30" s="5">
        <v>28</v>
      </c>
      <c r="K30" s="16"/>
      <c r="L30" s="4"/>
    </row>
    <row r="31" spans="1:12">
      <c r="A31" s="4"/>
      <c r="B31" s="5" t="str">
        <f t="shared" si="3"/>
        <v>0x4A38</v>
      </c>
      <c r="C31" s="5" t="str">
        <f t="shared" si="3"/>
        <v>0x4A39</v>
      </c>
      <c r="D31" s="5">
        <f t="shared" si="2"/>
        <v>19000</v>
      </c>
      <c r="E31" s="5">
        <f t="shared" si="1"/>
        <v>19001</v>
      </c>
      <c r="F31" s="5" t="s">
        <v>366</v>
      </c>
      <c r="G31" s="5" t="s">
        <v>350</v>
      </c>
      <c r="H31" s="5" t="s">
        <v>75</v>
      </c>
      <c r="I31" s="5">
        <v>2</v>
      </c>
      <c r="J31" s="5">
        <v>29</v>
      </c>
      <c r="K31" s="16"/>
      <c r="L31" s="4"/>
    </row>
    <row r="32" spans="1:12">
      <c r="A32" s="4"/>
      <c r="B32" s="5" t="str">
        <f t="shared" si="3"/>
        <v>0x4A3A</v>
      </c>
      <c r="C32" s="5" t="str">
        <f t="shared" si="3"/>
        <v>0x4A3B</v>
      </c>
      <c r="D32" s="5">
        <f t="shared" si="2"/>
        <v>19002</v>
      </c>
      <c r="E32" s="5">
        <f t="shared" si="1"/>
        <v>19003</v>
      </c>
      <c r="F32" s="5" t="s">
        <v>367</v>
      </c>
      <c r="G32" s="5" t="s">
        <v>350</v>
      </c>
      <c r="H32" s="5" t="s">
        <v>75</v>
      </c>
      <c r="I32" s="5">
        <v>2</v>
      </c>
      <c r="J32" s="5">
        <v>30</v>
      </c>
      <c r="K32" s="60"/>
      <c r="L32" s="4"/>
    </row>
    <row r="33" spans="1:12">
      <c r="A33" s="4"/>
      <c r="B33" s="5" t="str">
        <f t="shared" si="3"/>
        <v>0x4A3C</v>
      </c>
      <c r="C33" s="5" t="str">
        <f t="shared" si="3"/>
        <v>0x4A3D</v>
      </c>
      <c r="D33" s="5">
        <f t="shared" si="2"/>
        <v>19004</v>
      </c>
      <c r="E33" s="5">
        <f t="shared" si="1"/>
        <v>19005</v>
      </c>
      <c r="F33" s="5" t="s">
        <v>368</v>
      </c>
      <c r="G33" s="5" t="s">
        <v>350</v>
      </c>
      <c r="H33" s="5" t="s">
        <v>75</v>
      </c>
      <c r="I33" s="5">
        <v>2</v>
      </c>
      <c r="J33" s="5">
        <v>31</v>
      </c>
      <c r="K33" s="16"/>
      <c r="L33" s="4"/>
    </row>
    <row r="34" spans="1:12">
      <c r="A34" s="4"/>
      <c r="B34" s="5" t="str">
        <f t="shared" si="3"/>
        <v>0x4A3E</v>
      </c>
      <c r="C34" s="5" t="str">
        <f t="shared" si="3"/>
        <v>0x4A3F</v>
      </c>
      <c r="D34" s="5">
        <f t="shared" si="2"/>
        <v>19006</v>
      </c>
      <c r="E34" s="5">
        <f t="shared" si="1"/>
        <v>19007</v>
      </c>
      <c r="F34" s="5" t="s">
        <v>369</v>
      </c>
      <c r="G34" s="5" t="s">
        <v>350</v>
      </c>
      <c r="H34" s="5" t="s">
        <v>75</v>
      </c>
      <c r="I34" s="5">
        <v>2</v>
      </c>
      <c r="J34" s="5">
        <v>32</v>
      </c>
      <c r="K34" s="16"/>
      <c r="L34" s="4"/>
    </row>
    <row r="35" spans="1:12">
      <c r="A35" s="5"/>
      <c r="B35" s="5" t="str">
        <f t="shared" si="3"/>
        <v>0x4A40</v>
      </c>
      <c r="C35" s="5" t="str">
        <f t="shared" si="3"/>
        <v>0x4A41</v>
      </c>
      <c r="D35" s="5">
        <f t="shared" si="2"/>
        <v>19008</v>
      </c>
      <c r="E35" s="5">
        <f t="shared" si="1"/>
        <v>19009</v>
      </c>
      <c r="F35" s="5" t="s">
        <v>370</v>
      </c>
      <c r="G35" s="5" t="s">
        <v>337</v>
      </c>
      <c r="H35" s="5" t="s">
        <v>75</v>
      </c>
      <c r="I35" s="5">
        <v>2</v>
      </c>
      <c r="J35" s="5">
        <v>33</v>
      </c>
      <c r="K35" s="16"/>
      <c r="L35" s="4"/>
    </row>
    <row r="36" spans="1:12">
      <c r="A36" s="5"/>
      <c r="B36" s="5" t="str">
        <f t="shared" si="3"/>
        <v>0x4A42</v>
      </c>
      <c r="C36" s="5" t="str">
        <f t="shared" si="3"/>
        <v>0x4A43</v>
      </c>
      <c r="D36" s="5">
        <f t="shared" si="2"/>
        <v>19010</v>
      </c>
      <c r="E36" s="5">
        <f t="shared" si="1"/>
        <v>19011</v>
      </c>
      <c r="F36" s="5" t="s">
        <v>371</v>
      </c>
      <c r="G36" s="5" t="s">
        <v>337</v>
      </c>
      <c r="H36" s="5" t="s">
        <v>75</v>
      </c>
      <c r="I36" s="5">
        <v>2</v>
      </c>
      <c r="J36" s="5">
        <v>34</v>
      </c>
      <c r="K36" s="60"/>
      <c r="L36" s="4"/>
    </row>
    <row r="37" spans="1:12">
      <c r="A37" s="5"/>
      <c r="B37" s="5" t="str">
        <f t="shared" si="3"/>
        <v>0x4A44</v>
      </c>
      <c r="C37" s="5" t="str">
        <f t="shared" si="3"/>
        <v>0x4A45</v>
      </c>
      <c r="D37" s="5">
        <f t="shared" si="2"/>
        <v>19012</v>
      </c>
      <c r="E37" s="5">
        <f t="shared" si="1"/>
        <v>19013</v>
      </c>
      <c r="F37" s="5" t="s">
        <v>372</v>
      </c>
      <c r="G37" s="5" t="s">
        <v>337</v>
      </c>
      <c r="H37" s="5" t="s">
        <v>75</v>
      </c>
      <c r="I37" s="5">
        <v>2</v>
      </c>
      <c r="J37" s="5">
        <v>35</v>
      </c>
      <c r="K37" s="16"/>
      <c r="L37" s="4"/>
    </row>
    <row r="38" spans="1:12">
      <c r="A38" s="5"/>
      <c r="B38" s="5" t="str">
        <f t="shared" si="3"/>
        <v>0x4A46</v>
      </c>
      <c r="C38" s="5" t="str">
        <f t="shared" si="3"/>
        <v>0x4A47</v>
      </c>
      <c r="D38" s="5">
        <f t="shared" si="2"/>
        <v>19014</v>
      </c>
      <c r="E38" s="5">
        <f t="shared" si="1"/>
        <v>19015</v>
      </c>
      <c r="F38" s="5" t="s">
        <v>373</v>
      </c>
      <c r="G38" s="5" t="s">
        <v>337</v>
      </c>
      <c r="H38" s="5" t="s">
        <v>75</v>
      </c>
      <c r="I38" s="5">
        <v>2</v>
      </c>
      <c r="J38" s="5">
        <v>36</v>
      </c>
      <c r="K38" s="16"/>
      <c r="L38" s="4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83849-8215-4246-9386-D61D9752FD40}">
  <dimension ref="A1:L39"/>
  <sheetViews>
    <sheetView zoomScale="115" zoomScaleNormal="115" workbookViewId="0">
      <pane ySplit="1" topLeftCell="A2" activePane="bottomLeft" state="frozen"/>
      <selection pane="bottomLeft" activeCell="F4" sqref="F4"/>
    </sheetView>
  </sheetViews>
  <sheetFormatPr defaultRowHeight="14.25"/>
  <cols>
    <col min="1" max="1" width="29.125" bestFit="1" customWidth="1"/>
    <col min="2" max="2" width="8.375" style="78" bestFit="1" customWidth="1"/>
    <col min="3" max="3" width="7.75" style="78" bestFit="1" customWidth="1"/>
    <col min="4" max="4" width="8.25" style="78" bestFit="1" customWidth="1"/>
    <col min="5" max="5" width="7.625" style="78" bestFit="1" customWidth="1"/>
    <col min="6" max="6" width="34.875" customWidth="1"/>
    <col min="7" max="7" width="19.25" customWidth="1"/>
    <col min="8" max="8" width="3.75" bestFit="1" customWidth="1"/>
    <col min="9" max="9" width="11.75" customWidth="1"/>
    <col min="10" max="10" width="27.25" customWidth="1"/>
    <col min="11" max="11" width="6.125" bestFit="1" customWidth="1"/>
    <col min="12" max="12" width="17.875" customWidth="1"/>
  </cols>
  <sheetData>
    <row r="1" spans="1:11" ht="25.5">
      <c r="A1" s="23" t="s">
        <v>118</v>
      </c>
      <c r="B1" s="79" t="s">
        <v>17</v>
      </c>
      <c r="C1" s="79" t="s">
        <v>18</v>
      </c>
      <c r="D1" s="79" t="s">
        <v>63</v>
      </c>
      <c r="E1" s="79" t="s">
        <v>64</v>
      </c>
      <c r="F1" s="24" t="s">
        <v>65</v>
      </c>
      <c r="G1" s="24" t="s">
        <v>66</v>
      </c>
      <c r="H1" s="24" t="s">
        <v>67</v>
      </c>
      <c r="I1" s="24" t="s">
        <v>68</v>
      </c>
      <c r="J1" s="24" t="s">
        <v>69</v>
      </c>
      <c r="K1" s="24" t="s">
        <v>70</v>
      </c>
    </row>
    <row r="2" spans="1:11">
      <c r="F2" s="10"/>
      <c r="G2" s="10"/>
      <c r="H2" s="10"/>
      <c r="I2" s="10"/>
    </row>
    <row r="3" spans="1:11" ht="25.5">
      <c r="A3" s="26" t="s">
        <v>56</v>
      </c>
      <c r="B3" s="3" t="str">
        <f t="shared" ref="B3:C5" si="0">"0x"&amp;DEC2HEX(D3,4)</f>
        <v>0x2000</v>
      </c>
      <c r="C3" s="3" t="str">
        <f t="shared" si="0"/>
        <v>0x2000</v>
      </c>
      <c r="D3" s="3">
        <v>8192</v>
      </c>
      <c r="E3" s="3">
        <f>D3+I3-1</f>
        <v>8192</v>
      </c>
      <c r="F3" s="28" t="s">
        <v>374</v>
      </c>
      <c r="G3" s="27"/>
      <c r="H3" s="27" t="s">
        <v>84</v>
      </c>
      <c r="I3" s="10">
        <v>1</v>
      </c>
      <c r="J3" s="28" t="s">
        <v>375</v>
      </c>
    </row>
    <row r="4" spans="1:11" ht="89.25">
      <c r="A4" s="26"/>
      <c r="B4" s="3" t="str">
        <f t="shared" si="0"/>
        <v>0x2001</v>
      </c>
      <c r="C4" s="3" t="str">
        <f t="shared" si="0"/>
        <v>0x2001</v>
      </c>
      <c r="D4" s="3">
        <f>E3+1</f>
        <v>8193</v>
      </c>
      <c r="E4" s="3">
        <f>D4+I4-1</f>
        <v>8193</v>
      </c>
      <c r="F4" s="3" t="s">
        <v>376</v>
      </c>
      <c r="G4" s="3" t="s">
        <v>100</v>
      </c>
      <c r="H4" s="3" t="s">
        <v>75</v>
      </c>
      <c r="I4" s="10">
        <v>1</v>
      </c>
      <c r="J4" s="85" t="s">
        <v>377</v>
      </c>
    </row>
    <row r="5" spans="1:11" ht="25.5">
      <c r="A5" s="26"/>
      <c r="B5" s="16" t="str">
        <f t="shared" si="0"/>
        <v>0x2002</v>
      </c>
      <c r="C5" s="16" t="str">
        <f t="shared" si="0"/>
        <v>0x2002</v>
      </c>
      <c r="D5" s="16">
        <f>E4+1</f>
        <v>8194</v>
      </c>
      <c r="E5" s="16">
        <f>D5+I5-1</f>
        <v>8194</v>
      </c>
      <c r="F5" s="16" t="s">
        <v>378</v>
      </c>
      <c r="G5" s="16" t="s">
        <v>100</v>
      </c>
      <c r="H5" s="16" t="s">
        <v>75</v>
      </c>
      <c r="I5" s="16">
        <v>1</v>
      </c>
      <c r="J5" s="85" t="s">
        <v>379</v>
      </c>
    </row>
    <row r="6" spans="1:11">
      <c r="A6" s="26"/>
      <c r="B6" s="80"/>
      <c r="C6" s="80"/>
      <c r="D6" s="80"/>
      <c r="E6" s="80"/>
      <c r="F6" s="28"/>
      <c r="G6" s="27"/>
      <c r="H6" s="27"/>
      <c r="I6" s="10"/>
      <c r="J6" s="27"/>
    </row>
    <row r="7" spans="1:11">
      <c r="F7" s="10"/>
      <c r="G7" s="27"/>
      <c r="H7" s="27"/>
      <c r="I7" s="10"/>
    </row>
    <row r="8" spans="1:11">
      <c r="A8" s="25" t="s">
        <v>60</v>
      </c>
    </row>
    <row r="9" spans="1:11">
      <c r="A9" s="9"/>
      <c r="B9" s="3" t="str">
        <f t="shared" ref="B9:B38" si="1">"0x"&amp;DEC2HEX(D9,4)</f>
        <v>0x2010</v>
      </c>
      <c r="C9" s="3" t="str">
        <f t="shared" ref="C9:C38" si="2">"0x"&amp;DEC2HEX(E9,4)</f>
        <v>0x2011</v>
      </c>
      <c r="D9" s="3">
        <v>8208</v>
      </c>
      <c r="E9" s="3">
        <f t="shared" ref="E9:E38" si="3">D9+I9-1</f>
        <v>8209</v>
      </c>
      <c r="F9" s="10" t="s">
        <v>380</v>
      </c>
      <c r="G9" s="10" t="s">
        <v>381</v>
      </c>
      <c r="H9" s="10" t="s">
        <v>382</v>
      </c>
      <c r="I9" s="10">
        <v>2</v>
      </c>
      <c r="J9" s="5"/>
      <c r="K9" s="10"/>
    </row>
    <row r="10" spans="1:11">
      <c r="B10" s="3" t="str">
        <f t="shared" si="1"/>
        <v>0x2012</v>
      </c>
      <c r="C10" s="3" t="str">
        <f t="shared" si="2"/>
        <v>0x2013</v>
      </c>
      <c r="D10" s="3">
        <f t="shared" ref="D10:D38" si="4">E9+1</f>
        <v>8210</v>
      </c>
      <c r="E10" s="3">
        <f t="shared" si="3"/>
        <v>8211</v>
      </c>
      <c r="F10" s="10" t="s">
        <v>383</v>
      </c>
      <c r="G10" s="10" t="s">
        <v>381</v>
      </c>
      <c r="H10" s="10" t="s">
        <v>382</v>
      </c>
      <c r="I10" s="10">
        <v>2</v>
      </c>
    </row>
    <row r="11" spans="1:11">
      <c r="B11" s="3" t="str">
        <f t="shared" si="1"/>
        <v>0x2014</v>
      </c>
      <c r="C11" s="3" t="str">
        <f t="shared" si="2"/>
        <v>0x2015</v>
      </c>
      <c r="D11" s="3">
        <f t="shared" si="4"/>
        <v>8212</v>
      </c>
      <c r="E11" s="3">
        <f t="shared" si="3"/>
        <v>8213</v>
      </c>
      <c r="F11" s="10" t="s">
        <v>384</v>
      </c>
      <c r="G11" s="10" t="s">
        <v>381</v>
      </c>
      <c r="H11" s="10" t="s">
        <v>382</v>
      </c>
      <c r="I11" s="10">
        <v>2</v>
      </c>
    </row>
    <row r="12" spans="1:11">
      <c r="B12" s="3" t="str">
        <f t="shared" si="1"/>
        <v>0x2016</v>
      </c>
      <c r="C12" s="3" t="str">
        <f t="shared" si="2"/>
        <v>0x2017</v>
      </c>
      <c r="D12" s="3">
        <f t="shared" si="4"/>
        <v>8214</v>
      </c>
      <c r="E12" s="3">
        <f t="shared" si="3"/>
        <v>8215</v>
      </c>
      <c r="F12" s="10" t="s">
        <v>385</v>
      </c>
      <c r="G12" s="10" t="s">
        <v>381</v>
      </c>
      <c r="H12" s="10" t="s">
        <v>382</v>
      </c>
      <c r="I12" s="10">
        <v>2</v>
      </c>
    </row>
    <row r="13" spans="1:11">
      <c r="B13" s="3" t="str">
        <f t="shared" si="1"/>
        <v>0x2018</v>
      </c>
      <c r="C13" s="3" t="str">
        <f t="shared" si="2"/>
        <v>0x2019</v>
      </c>
      <c r="D13" s="3">
        <f t="shared" si="4"/>
        <v>8216</v>
      </c>
      <c r="E13" s="3">
        <f t="shared" si="3"/>
        <v>8217</v>
      </c>
      <c r="F13" s="10" t="s">
        <v>386</v>
      </c>
      <c r="G13" s="10" t="s">
        <v>381</v>
      </c>
      <c r="H13" s="10" t="s">
        <v>382</v>
      </c>
      <c r="I13" s="10">
        <v>2</v>
      </c>
    </row>
    <row r="14" spans="1:11">
      <c r="B14" s="3" t="str">
        <f t="shared" si="1"/>
        <v>0x201A</v>
      </c>
      <c r="C14" s="3" t="str">
        <f t="shared" si="2"/>
        <v>0x201B</v>
      </c>
      <c r="D14" s="3">
        <f t="shared" si="4"/>
        <v>8218</v>
      </c>
      <c r="E14" s="3">
        <f t="shared" si="3"/>
        <v>8219</v>
      </c>
      <c r="F14" s="10" t="s">
        <v>387</v>
      </c>
      <c r="G14" s="10" t="s">
        <v>381</v>
      </c>
      <c r="H14" s="10" t="s">
        <v>382</v>
      </c>
      <c r="I14" s="10">
        <v>2</v>
      </c>
    </row>
    <row r="15" spans="1:11">
      <c r="B15" s="3" t="str">
        <f t="shared" si="1"/>
        <v>0x201C</v>
      </c>
      <c r="C15" s="3" t="str">
        <f t="shared" si="2"/>
        <v>0x201D</v>
      </c>
      <c r="D15" s="3">
        <f t="shared" si="4"/>
        <v>8220</v>
      </c>
      <c r="E15" s="3">
        <f t="shared" si="3"/>
        <v>8221</v>
      </c>
      <c r="F15" s="10" t="s">
        <v>388</v>
      </c>
      <c r="G15" s="10" t="s">
        <v>381</v>
      </c>
      <c r="H15" s="10" t="s">
        <v>382</v>
      </c>
      <c r="I15" s="10">
        <v>2</v>
      </c>
    </row>
    <row r="16" spans="1:11">
      <c r="B16" s="3" t="str">
        <f t="shared" si="1"/>
        <v>0x201E</v>
      </c>
      <c r="C16" s="3" t="str">
        <f t="shared" si="2"/>
        <v>0x201F</v>
      </c>
      <c r="D16" s="3">
        <f t="shared" si="4"/>
        <v>8222</v>
      </c>
      <c r="E16" s="3">
        <f t="shared" si="3"/>
        <v>8223</v>
      </c>
      <c r="F16" s="10" t="s">
        <v>389</v>
      </c>
      <c r="G16" s="10" t="s">
        <v>381</v>
      </c>
      <c r="H16" s="10" t="s">
        <v>382</v>
      </c>
      <c r="I16" s="10">
        <v>2</v>
      </c>
    </row>
    <row r="17" spans="2:12">
      <c r="B17" s="3" t="str">
        <f t="shared" si="1"/>
        <v>0x2020</v>
      </c>
      <c r="C17" s="3" t="str">
        <f t="shared" si="2"/>
        <v>0x2021</v>
      </c>
      <c r="D17" s="3">
        <f t="shared" si="4"/>
        <v>8224</v>
      </c>
      <c r="E17" s="3">
        <f t="shared" si="3"/>
        <v>8225</v>
      </c>
      <c r="F17" s="10" t="s">
        <v>390</v>
      </c>
      <c r="G17" s="10" t="s">
        <v>381</v>
      </c>
      <c r="H17" s="10" t="s">
        <v>382</v>
      </c>
      <c r="I17" s="10">
        <v>2</v>
      </c>
    </row>
    <row r="18" spans="2:12">
      <c r="B18" s="3" t="str">
        <f t="shared" si="1"/>
        <v>0x2022</v>
      </c>
      <c r="C18" s="3" t="str">
        <f t="shared" si="2"/>
        <v>0x2023</v>
      </c>
      <c r="D18" s="3">
        <f t="shared" si="4"/>
        <v>8226</v>
      </c>
      <c r="E18" s="3">
        <f t="shared" si="3"/>
        <v>8227</v>
      </c>
      <c r="F18" s="10" t="s">
        <v>391</v>
      </c>
      <c r="G18" s="10" t="s">
        <v>381</v>
      </c>
      <c r="H18" s="10" t="s">
        <v>382</v>
      </c>
      <c r="I18" s="10">
        <v>2</v>
      </c>
    </row>
    <row r="19" spans="2:12">
      <c r="B19" s="3" t="str">
        <f t="shared" si="1"/>
        <v>0x2024</v>
      </c>
      <c r="C19" s="3" t="str">
        <f t="shared" si="2"/>
        <v>0x2025</v>
      </c>
      <c r="D19" s="3">
        <f t="shared" si="4"/>
        <v>8228</v>
      </c>
      <c r="E19" s="3">
        <f t="shared" si="3"/>
        <v>8229</v>
      </c>
      <c r="F19" s="10" t="s">
        <v>392</v>
      </c>
      <c r="G19" s="10" t="s">
        <v>381</v>
      </c>
      <c r="H19" s="10" t="s">
        <v>382</v>
      </c>
      <c r="I19" s="10">
        <v>2</v>
      </c>
    </row>
    <row r="20" spans="2:12">
      <c r="B20" s="3" t="str">
        <f t="shared" si="1"/>
        <v>0x2026</v>
      </c>
      <c r="C20" s="3" t="str">
        <f t="shared" si="2"/>
        <v>0x2027</v>
      </c>
      <c r="D20" s="3">
        <f t="shared" si="4"/>
        <v>8230</v>
      </c>
      <c r="E20" s="3">
        <f t="shared" si="3"/>
        <v>8231</v>
      </c>
      <c r="F20" s="10" t="s">
        <v>393</v>
      </c>
      <c r="G20" s="10" t="s">
        <v>381</v>
      </c>
      <c r="H20" s="10" t="s">
        <v>382</v>
      </c>
      <c r="I20" s="10">
        <v>2</v>
      </c>
    </row>
    <row r="21" spans="2:12">
      <c r="B21" s="3" t="str">
        <f t="shared" si="1"/>
        <v>0x2028</v>
      </c>
      <c r="C21" s="3" t="str">
        <f t="shared" si="2"/>
        <v>0x2029</v>
      </c>
      <c r="D21" s="3">
        <f t="shared" si="4"/>
        <v>8232</v>
      </c>
      <c r="E21" s="3">
        <f t="shared" si="3"/>
        <v>8233</v>
      </c>
      <c r="F21" s="10" t="s">
        <v>394</v>
      </c>
      <c r="G21" s="10" t="s">
        <v>381</v>
      </c>
      <c r="H21" s="10" t="s">
        <v>382</v>
      </c>
      <c r="I21" s="10">
        <v>2</v>
      </c>
    </row>
    <row r="22" spans="2:12">
      <c r="B22" s="3" t="str">
        <f t="shared" si="1"/>
        <v>0x202A</v>
      </c>
      <c r="C22" s="3" t="str">
        <f t="shared" si="2"/>
        <v>0x202B</v>
      </c>
      <c r="D22" s="3">
        <f t="shared" si="4"/>
        <v>8234</v>
      </c>
      <c r="E22" s="3">
        <f t="shared" si="3"/>
        <v>8235</v>
      </c>
      <c r="F22" s="10" t="s">
        <v>395</v>
      </c>
      <c r="G22" s="10" t="s">
        <v>381</v>
      </c>
      <c r="H22" s="10" t="s">
        <v>382</v>
      </c>
      <c r="I22" s="10">
        <v>2</v>
      </c>
    </row>
    <row r="23" spans="2:12">
      <c r="B23" s="3" t="str">
        <f t="shared" si="1"/>
        <v>0x202C</v>
      </c>
      <c r="C23" s="3" t="str">
        <f t="shared" si="2"/>
        <v>0x202D</v>
      </c>
      <c r="D23" s="3">
        <f t="shared" si="4"/>
        <v>8236</v>
      </c>
      <c r="E23" s="3">
        <f t="shared" si="3"/>
        <v>8237</v>
      </c>
      <c r="F23" s="10" t="s">
        <v>396</v>
      </c>
      <c r="G23" s="10" t="s">
        <v>381</v>
      </c>
      <c r="H23" s="10" t="s">
        <v>382</v>
      </c>
      <c r="I23" s="10">
        <v>2</v>
      </c>
    </row>
    <row r="24" spans="2:12">
      <c r="B24" s="3" t="str">
        <f t="shared" si="1"/>
        <v>0x202E</v>
      </c>
      <c r="C24" s="3" t="str">
        <f t="shared" si="2"/>
        <v>0x202F</v>
      </c>
      <c r="D24" s="3">
        <f t="shared" si="4"/>
        <v>8238</v>
      </c>
      <c r="E24" s="3">
        <f t="shared" si="3"/>
        <v>8239</v>
      </c>
      <c r="F24" s="10" t="s">
        <v>397</v>
      </c>
      <c r="G24" s="10" t="s">
        <v>381</v>
      </c>
      <c r="H24" s="10" t="s">
        <v>382</v>
      </c>
      <c r="I24" s="10">
        <v>2</v>
      </c>
    </row>
    <row r="25" spans="2:12">
      <c r="B25" s="3" t="str">
        <f t="shared" si="1"/>
        <v>0x2030</v>
      </c>
      <c r="C25" s="3" t="str">
        <f t="shared" si="2"/>
        <v>0x2031</v>
      </c>
      <c r="D25" s="3">
        <f t="shared" si="4"/>
        <v>8240</v>
      </c>
      <c r="E25" s="3">
        <f t="shared" si="3"/>
        <v>8241</v>
      </c>
      <c r="F25" s="10" t="s">
        <v>398</v>
      </c>
      <c r="G25" s="10" t="s">
        <v>381</v>
      </c>
      <c r="H25" s="10" t="s">
        <v>382</v>
      </c>
      <c r="I25" s="10">
        <v>2</v>
      </c>
    </row>
    <row r="26" spans="2:12">
      <c r="B26" s="3" t="str">
        <f t="shared" si="1"/>
        <v>0x2032</v>
      </c>
      <c r="C26" s="3" t="str">
        <f t="shared" si="2"/>
        <v>0x2033</v>
      </c>
      <c r="D26" s="3">
        <f t="shared" si="4"/>
        <v>8242</v>
      </c>
      <c r="E26" s="3">
        <f t="shared" si="3"/>
        <v>8243</v>
      </c>
      <c r="F26" s="10" t="s">
        <v>399</v>
      </c>
      <c r="G26" s="10" t="s">
        <v>381</v>
      </c>
      <c r="H26" s="10" t="s">
        <v>382</v>
      </c>
      <c r="I26" s="10">
        <v>2</v>
      </c>
      <c r="L26" t="s">
        <v>400</v>
      </c>
    </row>
    <row r="27" spans="2:12">
      <c r="B27" s="3" t="str">
        <f t="shared" si="1"/>
        <v>0x2034</v>
      </c>
      <c r="C27" s="3" t="str">
        <f t="shared" si="2"/>
        <v>0x2035</v>
      </c>
      <c r="D27" s="3">
        <f t="shared" si="4"/>
        <v>8244</v>
      </c>
      <c r="E27" s="3">
        <f t="shared" si="3"/>
        <v>8245</v>
      </c>
      <c r="F27" s="10" t="s">
        <v>401</v>
      </c>
      <c r="G27" s="10" t="s">
        <v>381</v>
      </c>
      <c r="H27" s="10" t="s">
        <v>382</v>
      </c>
      <c r="I27" s="10">
        <v>2</v>
      </c>
      <c r="L27" t="s">
        <v>400</v>
      </c>
    </row>
    <row r="28" spans="2:12">
      <c r="B28" s="3" t="str">
        <f t="shared" si="1"/>
        <v>0x2036</v>
      </c>
      <c r="C28" s="3" t="str">
        <f t="shared" si="2"/>
        <v>0x2037</v>
      </c>
      <c r="D28" s="3">
        <f t="shared" si="4"/>
        <v>8246</v>
      </c>
      <c r="E28" s="3">
        <f t="shared" si="3"/>
        <v>8247</v>
      </c>
      <c r="F28" s="10" t="s">
        <v>402</v>
      </c>
      <c r="G28" s="10" t="s">
        <v>381</v>
      </c>
      <c r="H28" s="10" t="s">
        <v>382</v>
      </c>
      <c r="I28" s="10">
        <v>2</v>
      </c>
      <c r="L28" t="s">
        <v>400</v>
      </c>
    </row>
    <row r="29" spans="2:12">
      <c r="B29" s="3" t="str">
        <f t="shared" si="1"/>
        <v>0x2038</v>
      </c>
      <c r="C29" s="3" t="str">
        <f t="shared" si="2"/>
        <v>0x2039</v>
      </c>
      <c r="D29" s="3">
        <f t="shared" si="4"/>
        <v>8248</v>
      </c>
      <c r="E29" s="3">
        <f t="shared" si="3"/>
        <v>8249</v>
      </c>
      <c r="F29" s="10" t="s">
        <v>403</v>
      </c>
      <c r="G29" s="10" t="s">
        <v>381</v>
      </c>
      <c r="H29" s="10" t="s">
        <v>382</v>
      </c>
      <c r="I29" s="10">
        <v>2</v>
      </c>
      <c r="L29" t="s">
        <v>400</v>
      </c>
    </row>
    <row r="30" spans="2:12">
      <c r="B30" s="3" t="str">
        <f t="shared" si="1"/>
        <v>0x203A</v>
      </c>
      <c r="C30" s="3" t="str">
        <f t="shared" si="2"/>
        <v>0x203B</v>
      </c>
      <c r="D30" s="3">
        <f t="shared" si="4"/>
        <v>8250</v>
      </c>
      <c r="E30" s="3">
        <f t="shared" si="3"/>
        <v>8251</v>
      </c>
      <c r="F30" s="10" t="s">
        <v>404</v>
      </c>
      <c r="G30" s="10" t="s">
        <v>381</v>
      </c>
      <c r="H30" s="10" t="s">
        <v>382</v>
      </c>
      <c r="I30" s="10">
        <v>2</v>
      </c>
      <c r="L30" t="s">
        <v>400</v>
      </c>
    </row>
    <row r="31" spans="2:12">
      <c r="B31" s="3" t="str">
        <f t="shared" si="1"/>
        <v>0x203C</v>
      </c>
      <c r="C31" s="3" t="str">
        <f t="shared" si="2"/>
        <v>0x203D</v>
      </c>
      <c r="D31" s="3">
        <f t="shared" si="4"/>
        <v>8252</v>
      </c>
      <c r="E31" s="3">
        <f t="shared" si="3"/>
        <v>8253</v>
      </c>
      <c r="F31" s="10" t="s">
        <v>405</v>
      </c>
      <c r="G31" s="10" t="s">
        <v>381</v>
      </c>
      <c r="H31" s="10" t="s">
        <v>382</v>
      </c>
      <c r="I31" s="10">
        <v>2</v>
      </c>
      <c r="L31" t="s">
        <v>400</v>
      </c>
    </row>
    <row r="32" spans="2:12">
      <c r="B32" s="3" t="str">
        <f t="shared" si="1"/>
        <v>0x203E</v>
      </c>
      <c r="C32" s="3" t="str">
        <f t="shared" si="2"/>
        <v>0x203F</v>
      </c>
      <c r="D32" s="3">
        <f t="shared" si="4"/>
        <v>8254</v>
      </c>
      <c r="E32" s="3">
        <f t="shared" si="3"/>
        <v>8255</v>
      </c>
      <c r="F32" s="10" t="s">
        <v>406</v>
      </c>
      <c r="G32" s="10" t="s">
        <v>381</v>
      </c>
      <c r="H32" s="10" t="s">
        <v>382</v>
      </c>
      <c r="I32" s="10">
        <v>2</v>
      </c>
      <c r="L32" t="s">
        <v>407</v>
      </c>
    </row>
    <row r="33" spans="2:12">
      <c r="B33" s="3" t="str">
        <f t="shared" si="1"/>
        <v>0x2040</v>
      </c>
      <c r="C33" s="3" t="str">
        <f t="shared" si="2"/>
        <v>0x2041</v>
      </c>
      <c r="D33" s="3">
        <f t="shared" si="4"/>
        <v>8256</v>
      </c>
      <c r="E33" s="3">
        <f t="shared" si="3"/>
        <v>8257</v>
      </c>
      <c r="F33" s="10" t="s">
        <v>408</v>
      </c>
      <c r="G33" s="10" t="s">
        <v>381</v>
      </c>
      <c r="H33" s="10" t="s">
        <v>382</v>
      </c>
      <c r="I33" s="10">
        <v>2</v>
      </c>
      <c r="L33" t="s">
        <v>407</v>
      </c>
    </row>
    <row r="34" spans="2:12">
      <c r="B34" s="3" t="str">
        <f t="shared" si="1"/>
        <v>0x2042</v>
      </c>
      <c r="C34" s="3" t="str">
        <f t="shared" si="2"/>
        <v>0x2043</v>
      </c>
      <c r="D34" s="3">
        <f t="shared" si="4"/>
        <v>8258</v>
      </c>
      <c r="E34" s="3">
        <f t="shared" si="3"/>
        <v>8259</v>
      </c>
      <c r="F34" s="10" t="s">
        <v>409</v>
      </c>
      <c r="G34" s="10" t="s">
        <v>381</v>
      </c>
      <c r="H34" s="10" t="s">
        <v>382</v>
      </c>
      <c r="I34" s="10">
        <v>2</v>
      </c>
      <c r="L34" t="s">
        <v>407</v>
      </c>
    </row>
    <row r="35" spans="2:12">
      <c r="B35" s="3" t="str">
        <f t="shared" si="1"/>
        <v>0x2044</v>
      </c>
      <c r="C35" s="3" t="str">
        <f t="shared" si="2"/>
        <v>0x2045</v>
      </c>
      <c r="D35" s="3">
        <f t="shared" si="4"/>
        <v>8260</v>
      </c>
      <c r="E35" s="3">
        <f t="shared" si="3"/>
        <v>8261</v>
      </c>
      <c r="F35" s="10" t="s">
        <v>410</v>
      </c>
      <c r="G35" s="10" t="s">
        <v>381</v>
      </c>
      <c r="H35" s="10" t="s">
        <v>382</v>
      </c>
      <c r="I35" s="10">
        <v>2</v>
      </c>
      <c r="L35" t="s">
        <v>407</v>
      </c>
    </row>
    <row r="36" spans="2:12">
      <c r="B36" s="3" t="str">
        <f t="shared" si="1"/>
        <v>0x2046</v>
      </c>
      <c r="C36" s="3" t="str">
        <f t="shared" si="2"/>
        <v>0x2047</v>
      </c>
      <c r="D36" s="3">
        <f t="shared" si="4"/>
        <v>8262</v>
      </c>
      <c r="E36" s="3">
        <f t="shared" si="3"/>
        <v>8263</v>
      </c>
      <c r="F36" s="10" t="s">
        <v>411</v>
      </c>
      <c r="G36" s="10" t="s">
        <v>381</v>
      </c>
      <c r="H36" s="10" t="s">
        <v>382</v>
      </c>
      <c r="I36" s="10">
        <v>2</v>
      </c>
      <c r="L36" t="s">
        <v>407</v>
      </c>
    </row>
    <row r="37" spans="2:12">
      <c r="B37" s="3" t="str">
        <f t="shared" si="1"/>
        <v>0x2048</v>
      </c>
      <c r="C37" s="3" t="str">
        <f t="shared" si="2"/>
        <v>0x2049</v>
      </c>
      <c r="D37" s="3">
        <f t="shared" si="4"/>
        <v>8264</v>
      </c>
      <c r="E37" s="3">
        <f t="shared" si="3"/>
        <v>8265</v>
      </c>
      <c r="F37" s="10" t="s">
        <v>412</v>
      </c>
      <c r="G37" s="10" t="s">
        <v>381</v>
      </c>
      <c r="H37" s="10" t="s">
        <v>382</v>
      </c>
      <c r="I37" s="10">
        <v>2</v>
      </c>
      <c r="L37" t="s">
        <v>407</v>
      </c>
    </row>
    <row r="38" spans="2:12" ht="102">
      <c r="B38" s="3" t="str">
        <f t="shared" si="1"/>
        <v>0x204A</v>
      </c>
      <c r="C38" s="3" t="str">
        <f t="shared" si="2"/>
        <v>0x204B</v>
      </c>
      <c r="D38" s="3">
        <f t="shared" si="4"/>
        <v>8266</v>
      </c>
      <c r="E38" s="3">
        <f t="shared" si="3"/>
        <v>8267</v>
      </c>
      <c r="F38" s="10" t="s">
        <v>413</v>
      </c>
      <c r="G38" s="10" t="s">
        <v>151</v>
      </c>
      <c r="H38" s="10" t="s">
        <v>75</v>
      </c>
      <c r="I38" s="10">
        <v>2</v>
      </c>
      <c r="J38" s="20" t="s">
        <v>414</v>
      </c>
    </row>
    <row r="39" spans="2:12">
      <c r="F39" s="10"/>
      <c r="G39" s="10"/>
      <c r="H39" s="10"/>
      <c r="I39" s="10"/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80600e-a422-4c01-abf9-23ba5c0d42d8">
      <Terms xmlns="http://schemas.microsoft.com/office/infopath/2007/PartnerControls"/>
    </lcf76f155ced4ddcb4097134ff3c332f>
    <TaxCatchAll xmlns="9f6d6f06-10ac-4358-b8fe-e19367c65bf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6EF75B038EAF45A672EB5EDDC6A306" ma:contentTypeVersion="10" ma:contentTypeDescription="Create a new document." ma:contentTypeScope="" ma:versionID="453e6144a72aae334567c3f6e51e0377">
  <xsd:schema xmlns:xsd="http://www.w3.org/2001/XMLSchema" xmlns:xs="http://www.w3.org/2001/XMLSchema" xmlns:p="http://schemas.microsoft.com/office/2006/metadata/properties" xmlns:ns2="d080600e-a422-4c01-abf9-23ba5c0d42d8" xmlns:ns3="9f6d6f06-10ac-4358-b8fe-e19367c65bf8" targetNamespace="http://schemas.microsoft.com/office/2006/metadata/properties" ma:root="true" ma:fieldsID="9585cf12d89deae6e574ccc58dd57dd0" ns2:_="" ns3:_="">
    <xsd:import namespace="d080600e-a422-4c01-abf9-23ba5c0d42d8"/>
    <xsd:import namespace="9f6d6f06-10ac-4358-b8fe-e19367c65b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80600e-a422-4c01-abf9-23ba5c0d42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0b48e82-fb35-4037-98ac-54648e67cf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6d6f06-10ac-4358-b8fe-e19367c65bf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af3a8e7-bfff-4244-aaa5-58c0c46d3ce1}" ma:internalName="TaxCatchAll" ma:showField="CatchAllData" ma:web="9f6d6f06-10ac-4358-b8fe-e19367c65b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D1FEB5-C86C-4235-872D-1F7EC64FE9CE}"/>
</file>

<file path=customXml/itemProps2.xml><?xml version="1.0" encoding="utf-8"?>
<ds:datastoreItem xmlns:ds="http://schemas.openxmlformats.org/officeDocument/2006/customXml" ds:itemID="{179520D9-CC1B-49C4-914A-63F3A6FE854C}"/>
</file>

<file path=customXml/itemProps3.xml><?xml version="1.0" encoding="utf-8"?>
<ds:datastoreItem xmlns:ds="http://schemas.openxmlformats.org/officeDocument/2006/customXml" ds:itemID="{A88171E8-E108-419D-AA6D-47CBE38D2AC5}"/>
</file>

<file path=docMetadata/LabelInfo.xml><?xml version="1.0" encoding="utf-8"?>
<clbl:labelList xmlns:clbl="http://schemas.microsoft.com/office/2020/mipLabelMetadata">
  <clbl:label id="{fd2fbd62-f460-4dc8-b0be-cdb6c316253c}" enabled="0" method="" siteId="{fd2fbd62-f460-4dc8-b0be-cdb6c316253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Zhouxiong Zhang</dc:creator>
  <cp:keywords/>
  <dc:description/>
  <cp:lastModifiedBy>Yizhuo Ren</cp:lastModifiedBy>
  <cp:revision/>
  <dcterms:created xsi:type="dcterms:W3CDTF">2015-06-05T18:17:20Z</dcterms:created>
  <dcterms:modified xsi:type="dcterms:W3CDTF">2026-07-03T03:35:50Z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0x010100FC6EF75B038EAF45A672EB5EDDC6A306</vt:lpwstr>
  </property>
  <property fmtid="{D5CDD505-2E9C-101B-9397-08002B2CF9AE}" pid="3" name="MediaServiceImageTags">
    <vt:lpwstr/>
  </property>
</Properties>
</file>