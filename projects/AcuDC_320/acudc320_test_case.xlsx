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git\20250922\autotest\test_case\AcuDC_320\"/>
    </mc:Choice>
  </mc:AlternateContent>
  <xr:revisionPtr revIDLastSave="0" documentId="13_ncr:1_{8363E204-582F-4657-BD0C-D61456040C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_case_dc320_all" sheetId="23" r:id="rId1"/>
    <sheet name="test_case_dc320_负电流" sheetId="26" r:id="rId2"/>
    <sheet name="Sheet2" sheetId="24" r:id="rId3"/>
    <sheet name="能量脉冲" sheetId="20" r:id="rId4"/>
    <sheet name="test_case_dc260-bak" sheetId="18" r:id="rId5"/>
    <sheet name="test_case_mV-1e2w1p" sheetId="14" state="hidden" r:id="rId6"/>
    <sheet name="test_case_mA-1e2w1p" sheetId="16" state="hidden" r:id="rId7"/>
    <sheet name="test_data" sheetId="17" state="hidden" r:id="rId8"/>
  </sheets>
  <definedNames>
    <definedName name="_xlnm._FilterDatabase" localSheetId="4" hidden="1">'test_case_dc260-bak'!$A$1:$J$11</definedName>
    <definedName name="_xlnm._FilterDatabase" localSheetId="3" hidden="1">能量脉冲!$A$2:$M$52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20" l="1"/>
  <c r="F102" i="20" s="1"/>
  <c r="D101" i="20"/>
  <c r="F101" i="20" s="1"/>
  <c r="D100" i="20"/>
  <c r="F100" i="20" s="1"/>
  <c r="D99" i="20"/>
  <c r="F99" i="20" s="1"/>
  <c r="D98" i="20"/>
  <c r="F98" i="20" s="1"/>
  <c r="D97" i="20"/>
  <c r="F97" i="20" s="1"/>
  <c r="D96" i="20"/>
  <c r="F96" i="20" s="1"/>
  <c r="K96" i="20" s="1"/>
  <c r="D95" i="20"/>
  <c r="F95" i="20" s="1"/>
  <c r="D94" i="20"/>
  <c r="F94" i="20" s="1"/>
  <c r="D93" i="20"/>
  <c r="F93" i="20" s="1"/>
  <c r="D92" i="20"/>
  <c r="F92" i="20" s="1"/>
  <c r="L92" i="20" s="1"/>
  <c r="D91" i="20"/>
  <c r="F91" i="20" s="1"/>
  <c r="D90" i="20"/>
  <c r="F90" i="20" s="1"/>
  <c r="L90" i="20" s="1"/>
  <c r="D89" i="20"/>
  <c r="F89" i="20" s="1"/>
  <c r="D88" i="20"/>
  <c r="F88" i="20" s="1"/>
  <c r="D87" i="20"/>
  <c r="F87" i="20" s="1"/>
  <c r="D86" i="20"/>
  <c r="F86" i="20" s="1"/>
  <c r="D85" i="20"/>
  <c r="F85" i="20" s="1"/>
  <c r="D84" i="20"/>
  <c r="F84" i="20" s="1"/>
  <c r="D83" i="20"/>
  <c r="F83" i="20" s="1"/>
  <c r="M83" i="20" s="1"/>
  <c r="D82" i="20"/>
  <c r="F82" i="20" s="1"/>
  <c r="D81" i="20"/>
  <c r="F81" i="20" s="1"/>
  <c r="D80" i="20"/>
  <c r="F80" i="20" s="1"/>
  <c r="K80" i="20" s="1"/>
  <c r="D79" i="20"/>
  <c r="F79" i="20" s="1"/>
  <c r="D78" i="20"/>
  <c r="F78" i="20" s="1"/>
  <c r="D77" i="20"/>
  <c r="F77" i="20" s="1"/>
  <c r="D76" i="20"/>
  <c r="F76" i="20" s="1"/>
  <c r="L76" i="20" s="1"/>
  <c r="D75" i="20"/>
  <c r="F75" i="20" s="1"/>
  <c r="D74" i="20"/>
  <c r="F74" i="20" s="1"/>
  <c r="M74" i="20" s="1"/>
  <c r="D73" i="20"/>
  <c r="F73" i="20" s="1"/>
  <c r="D72" i="20"/>
  <c r="F72" i="20" s="1"/>
  <c r="D71" i="20"/>
  <c r="F71" i="20" s="1"/>
  <c r="D70" i="20"/>
  <c r="F70" i="20" s="1"/>
  <c r="D69" i="20"/>
  <c r="F69" i="20" s="1"/>
  <c r="D68" i="20"/>
  <c r="F68" i="20" s="1"/>
  <c r="D67" i="20"/>
  <c r="F67" i="20" s="1"/>
  <c r="D66" i="20"/>
  <c r="F66" i="20" s="1"/>
  <c r="D65" i="20"/>
  <c r="F65" i="20" s="1"/>
  <c r="D64" i="20"/>
  <c r="F64" i="20" s="1"/>
  <c r="K64" i="20" s="1"/>
  <c r="D63" i="20"/>
  <c r="F63" i="20" s="1"/>
  <c r="D62" i="20"/>
  <c r="F62" i="20" s="1"/>
  <c r="D61" i="20"/>
  <c r="F61" i="20" s="1"/>
  <c r="D60" i="20"/>
  <c r="F60" i="20" s="1"/>
  <c r="L60" i="20" s="1"/>
  <c r="D59" i="20"/>
  <c r="F59" i="20" s="1"/>
  <c r="D58" i="20"/>
  <c r="F58" i="20" s="1"/>
  <c r="K58" i="20" s="1"/>
  <c r="D57" i="20"/>
  <c r="F57" i="20" s="1"/>
  <c r="D56" i="20"/>
  <c r="F56" i="20" s="1"/>
  <c r="D55" i="20"/>
  <c r="F55" i="20" s="1"/>
  <c r="D54" i="20"/>
  <c r="F54" i="20" s="1"/>
  <c r="D53" i="20"/>
  <c r="F53" i="20" s="1"/>
  <c r="D52" i="20"/>
  <c r="F52" i="20" s="1"/>
  <c r="D51" i="20"/>
  <c r="F51" i="20" s="1"/>
  <c r="M51" i="20" s="1"/>
  <c r="D50" i="20"/>
  <c r="F50" i="20" s="1"/>
  <c r="D49" i="20"/>
  <c r="F49" i="20" s="1"/>
  <c r="D48" i="20"/>
  <c r="F48" i="20" s="1"/>
  <c r="K48" i="20" s="1"/>
  <c r="D47" i="20"/>
  <c r="F47" i="20" s="1"/>
  <c r="D46" i="20"/>
  <c r="F46" i="20" s="1"/>
  <c r="D45" i="20"/>
  <c r="F45" i="20" s="1"/>
  <c r="D44" i="20"/>
  <c r="F44" i="20" s="1"/>
  <c r="K44" i="20" s="1"/>
  <c r="D43" i="20"/>
  <c r="F43" i="20" s="1"/>
  <c r="D42" i="20"/>
  <c r="F42" i="20" s="1"/>
  <c r="L42" i="20" s="1"/>
  <c r="D41" i="20"/>
  <c r="F41" i="20" s="1"/>
  <c r="D40" i="20"/>
  <c r="F40" i="20" s="1"/>
  <c r="D39" i="20"/>
  <c r="F39" i="20" s="1"/>
  <c r="L39" i="20" s="1"/>
  <c r="D38" i="20"/>
  <c r="F38" i="20" s="1"/>
  <c r="D37" i="20"/>
  <c r="F37" i="20" s="1"/>
  <c r="D36" i="20"/>
  <c r="F36" i="20" s="1"/>
  <c r="D35" i="20"/>
  <c r="F35" i="20" s="1"/>
  <c r="D34" i="20"/>
  <c r="F34" i="20" s="1"/>
  <c r="D33" i="20"/>
  <c r="F33" i="20" s="1"/>
  <c r="D32" i="20"/>
  <c r="F32" i="20" s="1"/>
  <c r="K32" i="20" s="1"/>
  <c r="D31" i="20"/>
  <c r="F31" i="20" s="1"/>
  <c r="D30" i="20"/>
  <c r="F30" i="20" s="1"/>
  <c r="D29" i="20"/>
  <c r="F29" i="20" s="1"/>
  <c r="D28" i="20"/>
  <c r="F28" i="20" s="1"/>
  <c r="L28" i="20" s="1"/>
  <c r="D27" i="20"/>
  <c r="F27" i="20" s="1"/>
  <c r="D26" i="20"/>
  <c r="F26" i="20" s="1"/>
  <c r="L26" i="20" s="1"/>
  <c r="D25" i="20"/>
  <c r="F25" i="20" s="1"/>
  <c r="D24" i="20"/>
  <c r="F24" i="20" s="1"/>
  <c r="D23" i="20"/>
  <c r="F23" i="20" s="1"/>
  <c r="D22" i="20"/>
  <c r="F22" i="20" s="1"/>
  <c r="D21" i="20"/>
  <c r="F21" i="20" s="1"/>
  <c r="D20" i="20"/>
  <c r="F20" i="20" s="1"/>
  <c r="D19" i="20"/>
  <c r="F19" i="20" s="1"/>
  <c r="D18" i="20"/>
  <c r="F18" i="20" s="1"/>
  <c r="D17" i="20"/>
  <c r="F17" i="20" s="1"/>
  <c r="D16" i="20"/>
  <c r="F16" i="20" s="1"/>
  <c r="K16" i="20" s="1"/>
  <c r="D15" i="20"/>
  <c r="F15" i="20" s="1"/>
  <c r="D14" i="20"/>
  <c r="F14" i="20" s="1"/>
  <c r="D13" i="20"/>
  <c r="F13" i="20" s="1"/>
  <c r="D12" i="20"/>
  <c r="F12" i="20" s="1"/>
  <c r="D11" i="20"/>
  <c r="F11" i="20" s="1"/>
  <c r="D10" i="20"/>
  <c r="F10" i="20" s="1"/>
  <c r="L10" i="20" s="1"/>
  <c r="D9" i="20"/>
  <c r="F9" i="20" s="1"/>
  <c r="D8" i="20"/>
  <c r="F8" i="20" s="1"/>
  <c r="D7" i="20"/>
  <c r="F7" i="20" s="1"/>
  <c r="D6" i="20"/>
  <c r="F6" i="20" s="1"/>
  <c r="D5" i="20"/>
  <c r="F5" i="20" s="1"/>
  <c r="D4" i="20"/>
  <c r="F4" i="20" s="1"/>
  <c r="D3" i="20"/>
  <c r="F3" i="20" s="1"/>
  <c r="L45" i="20" l="1"/>
  <c r="M45" i="20"/>
  <c r="K45" i="20"/>
  <c r="M29" i="20"/>
  <c r="L29" i="20"/>
  <c r="K29" i="20"/>
  <c r="K77" i="20"/>
  <c r="M77" i="20"/>
  <c r="L77" i="20"/>
  <c r="K13" i="20"/>
  <c r="L13" i="20"/>
  <c r="M13" i="20"/>
  <c r="L93" i="20"/>
  <c r="M93" i="20"/>
  <c r="K93" i="20"/>
  <c r="M81" i="20"/>
  <c r="L81" i="20"/>
  <c r="L61" i="20"/>
  <c r="K61" i="20"/>
  <c r="M61" i="20"/>
  <c r="K26" i="20"/>
  <c r="M26" i="20"/>
  <c r="M32" i="20"/>
  <c r="M20" i="20"/>
  <c r="L20" i="20"/>
  <c r="K20" i="20"/>
  <c r="M52" i="20"/>
  <c r="L52" i="20"/>
  <c r="K52" i="20"/>
  <c r="M62" i="20"/>
  <c r="L62" i="20"/>
  <c r="K62" i="20"/>
  <c r="M14" i="20"/>
  <c r="L14" i="20"/>
  <c r="K14" i="20"/>
  <c r="K4" i="20"/>
  <c r="L4" i="20"/>
  <c r="M4" i="20"/>
  <c r="L7" i="20"/>
  <c r="K7" i="20"/>
  <c r="M7" i="20"/>
  <c r="M59" i="20"/>
  <c r="L59" i="20"/>
  <c r="K59" i="20"/>
  <c r="M71" i="20"/>
  <c r="L71" i="20"/>
  <c r="K71" i="20"/>
  <c r="M46" i="20"/>
  <c r="L46" i="20"/>
  <c r="K46" i="20"/>
  <c r="M17" i="20"/>
  <c r="L17" i="20"/>
  <c r="K17" i="20"/>
  <c r="K94" i="20"/>
  <c r="M94" i="20"/>
  <c r="L94" i="20"/>
  <c r="M87" i="20"/>
  <c r="L87" i="20"/>
  <c r="K87" i="20"/>
  <c r="M43" i="20"/>
  <c r="L43" i="20"/>
  <c r="K43" i="20"/>
  <c r="K36" i="20"/>
  <c r="M36" i="20"/>
  <c r="L36" i="20"/>
  <c r="M27" i="20"/>
  <c r="L27" i="20"/>
  <c r="K27" i="20"/>
  <c r="M49" i="20"/>
  <c r="L49" i="20"/>
  <c r="K49" i="20"/>
  <c r="M84" i="20"/>
  <c r="L84" i="20"/>
  <c r="K84" i="20"/>
  <c r="M97" i="20"/>
  <c r="L97" i="20"/>
  <c r="K97" i="20"/>
  <c r="L30" i="20"/>
  <c r="M30" i="20"/>
  <c r="K30" i="20"/>
  <c r="M11" i="20"/>
  <c r="K11" i="20"/>
  <c r="L11" i="20"/>
  <c r="M23" i="20"/>
  <c r="L23" i="20"/>
  <c r="K23" i="20"/>
  <c r="M55" i="20"/>
  <c r="K55" i="20"/>
  <c r="L55" i="20"/>
  <c r="M65" i="20"/>
  <c r="L65" i="20"/>
  <c r="K65" i="20"/>
  <c r="M100" i="20"/>
  <c r="L100" i="20"/>
  <c r="K100" i="20"/>
  <c r="M33" i="20"/>
  <c r="L33" i="20"/>
  <c r="K33" i="20"/>
  <c r="L68" i="20"/>
  <c r="M68" i="20"/>
  <c r="K68" i="20"/>
  <c r="L78" i="20"/>
  <c r="M78" i="20"/>
  <c r="K78" i="20"/>
  <c r="M89" i="20"/>
  <c r="L89" i="20"/>
  <c r="K89" i="20"/>
  <c r="L8" i="20"/>
  <c r="K8" i="20"/>
  <c r="M8" i="20"/>
  <c r="M82" i="20"/>
  <c r="L82" i="20"/>
  <c r="K82" i="20"/>
  <c r="L3" i="20"/>
  <c r="K3" i="20"/>
  <c r="M15" i="20"/>
  <c r="K15" i="20"/>
  <c r="L15" i="20"/>
  <c r="M39" i="20"/>
  <c r="L58" i="20"/>
  <c r="M98" i="20"/>
  <c r="L98" i="20"/>
  <c r="K98" i="20"/>
  <c r="K72" i="20"/>
  <c r="L72" i="20"/>
  <c r="M72" i="20"/>
  <c r="K85" i="20"/>
  <c r="M85" i="20"/>
  <c r="L85" i="20"/>
  <c r="M86" i="20"/>
  <c r="L86" i="20"/>
  <c r="K86" i="20"/>
  <c r="M5" i="20"/>
  <c r="K5" i="20"/>
  <c r="L5" i="20"/>
  <c r="M42" i="20"/>
  <c r="M18" i="20"/>
  <c r="L18" i="20"/>
  <c r="K18" i="20"/>
  <c r="L80" i="20"/>
  <c r="L19" i="20"/>
  <c r="K19" i="20"/>
  <c r="M80" i="20"/>
  <c r="M95" i="20"/>
  <c r="K95" i="20"/>
  <c r="L95" i="20"/>
  <c r="K69" i="20"/>
  <c r="M69" i="20"/>
  <c r="L69" i="20"/>
  <c r="M9" i="20"/>
  <c r="K9" i="20"/>
  <c r="L9" i="20"/>
  <c r="M70" i="20"/>
  <c r="L70" i="20"/>
  <c r="K70" i="20"/>
  <c r="L96" i="20"/>
  <c r="K90" i="20"/>
  <c r="M3" i="20"/>
  <c r="M58" i="20"/>
  <c r="L16" i="20"/>
  <c r="M34" i="20"/>
  <c r="L34" i="20"/>
  <c r="K34" i="20"/>
  <c r="M90" i="20"/>
  <c r="M10" i="20"/>
  <c r="L47" i="20"/>
  <c r="M47" i="20"/>
  <c r="K47" i="20"/>
  <c r="M54" i="20"/>
  <c r="L54" i="20"/>
  <c r="K54" i="20"/>
  <c r="L99" i="20"/>
  <c r="K99" i="20"/>
  <c r="L48" i="20"/>
  <c r="M73" i="20"/>
  <c r="K73" i="20"/>
  <c r="L73" i="20"/>
  <c r="M99" i="20"/>
  <c r="K12" i="20"/>
  <c r="M12" i="20"/>
  <c r="L12" i="20"/>
  <c r="L67" i="20"/>
  <c r="K67" i="20"/>
  <c r="M6" i="20"/>
  <c r="L6" i="20"/>
  <c r="K6" i="20"/>
  <c r="M67" i="20"/>
  <c r="K74" i="20"/>
  <c r="M19" i="20"/>
  <c r="L31" i="20"/>
  <c r="K31" i="20"/>
  <c r="M31" i="20"/>
  <c r="M37" i="20"/>
  <c r="K37" i="20"/>
  <c r="L37" i="20"/>
  <c r="L74" i="20"/>
  <c r="K39" i="20"/>
  <c r="L35" i="20"/>
  <c r="K35" i="20"/>
  <c r="M35" i="20"/>
  <c r="M38" i="20"/>
  <c r="L38" i="20"/>
  <c r="K38" i="20"/>
  <c r="L56" i="20"/>
  <c r="M56" i="20"/>
  <c r="K56" i="20"/>
  <c r="K101" i="20"/>
  <c r="M101" i="20"/>
  <c r="L101" i="20"/>
  <c r="L51" i="20"/>
  <c r="K51" i="20"/>
  <c r="K63" i="20"/>
  <c r="L63" i="20"/>
  <c r="M63" i="20"/>
  <c r="L83" i="20"/>
  <c r="K83" i="20"/>
  <c r="M21" i="20"/>
  <c r="K21" i="20"/>
  <c r="L21" i="20"/>
  <c r="L64" i="20"/>
  <c r="M96" i="20"/>
  <c r="M22" i="20"/>
  <c r="L22" i="20"/>
  <c r="K22" i="20"/>
  <c r="L40" i="20"/>
  <c r="K40" i="20"/>
  <c r="M40" i="20"/>
  <c r="M64" i="20"/>
  <c r="K10" i="20"/>
  <c r="K41" i="20"/>
  <c r="M41" i="20"/>
  <c r="L41" i="20"/>
  <c r="M16" i="20"/>
  <c r="L91" i="20"/>
  <c r="K91" i="20"/>
  <c r="M91" i="20"/>
  <c r="M53" i="20"/>
  <c r="K53" i="20"/>
  <c r="L53" i="20"/>
  <c r="K42" i="20"/>
  <c r="M66" i="20"/>
  <c r="L66" i="20"/>
  <c r="K66" i="20"/>
  <c r="L79" i="20"/>
  <c r="M79" i="20"/>
  <c r="K79" i="20"/>
  <c r="K24" i="20"/>
  <c r="L24" i="20"/>
  <c r="M24" i="20"/>
  <c r="M48" i="20"/>
  <c r="M25" i="20"/>
  <c r="L25" i="20"/>
  <c r="K25" i="20"/>
  <c r="L32" i="20"/>
  <c r="M50" i="20"/>
  <c r="L50" i="20"/>
  <c r="K50" i="20"/>
  <c r="K57" i="20"/>
  <c r="M57" i="20"/>
  <c r="L57" i="20"/>
  <c r="M75" i="20"/>
  <c r="L75" i="20"/>
  <c r="K75" i="20"/>
  <c r="K81" i="20"/>
  <c r="L88" i="20"/>
  <c r="K88" i="20"/>
  <c r="M88" i="20"/>
  <c r="M102" i="20"/>
  <c r="L102" i="20"/>
  <c r="K102" i="20"/>
  <c r="K60" i="20"/>
  <c r="L44" i="20"/>
  <c r="M28" i="20"/>
  <c r="M44" i="20"/>
  <c r="M60" i="20"/>
  <c r="M76" i="20"/>
  <c r="M92" i="20"/>
  <c r="K28" i="20"/>
  <c r="K76" i="20"/>
  <c r="K92" i="20"/>
</calcChain>
</file>

<file path=xl/sharedStrings.xml><?xml version="1.0" encoding="utf-8"?>
<sst xmlns="http://schemas.openxmlformats.org/spreadsheetml/2006/main" count="519" uniqueCount="367">
  <si>
    <t>test_case</t>
  </si>
  <si>
    <t>Voltage</t>
  </si>
  <si>
    <t>Current_1</t>
  </si>
  <si>
    <t>Current_2</t>
  </si>
  <si>
    <t>等待时间(h)</t>
  </si>
  <si>
    <t>voltage_accuracy</t>
  </si>
  <si>
    <t>current_accuracy</t>
  </si>
  <si>
    <t>power_accuracy</t>
  </si>
  <si>
    <t>采样次数</t>
  </si>
  <si>
    <t>采样间隔</t>
  </si>
  <si>
    <t>acudc260_case1</t>
  </si>
  <si>
    <t>acudc260_case2</t>
  </si>
  <si>
    <t>acudc260_case3</t>
  </si>
  <si>
    <t>acudc260_case4</t>
  </si>
  <si>
    <t>acudc260_case5</t>
  </si>
  <si>
    <t>acudc260_case6</t>
  </si>
  <si>
    <t>acudc260_case7</t>
  </si>
  <si>
    <t>acudc260_case8</t>
  </si>
  <si>
    <t>acudc260_case9</t>
  </si>
  <si>
    <t>acudc260_case10</t>
  </si>
  <si>
    <t>功率(kW)*间隔时间(ms)*脉冲常数/3600/1000=1kWh</t>
  </si>
  <si>
    <t>系统有功功率(kW)</t>
  </si>
  <si>
    <t>脉冲常数</t>
  </si>
  <si>
    <t>间隔(ms)</t>
  </si>
  <si>
    <t>相对误差</t>
  </si>
  <si>
    <t>mim(ms)</t>
  </si>
  <si>
    <t>max(ms)</t>
  </si>
  <si>
    <t>avg(ms)</t>
  </si>
  <si>
    <t>mim误差(%)</t>
  </si>
  <si>
    <t>max误差(%)</t>
  </si>
  <si>
    <t>avg误差(%)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</si>
  <si>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</si>
  <si>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</si>
  <si>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</si>
  <si>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</si>
  <si>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</si>
  <si>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</si>
  <si>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</si>
  <si>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</si>
  <si>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</si>
  <si>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</si>
  <si>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</si>
  <si>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</si>
  <si>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PF</t>
  </si>
  <si>
    <t>接线方式</t>
  </si>
  <si>
    <t>频率（Hz）</t>
  </si>
  <si>
    <t>phase_angle_accuracy</t>
  </si>
  <si>
    <t>active_power_accuracy</t>
  </si>
  <si>
    <t>reactive_power_accuracy</t>
  </si>
  <si>
    <t>apparent_power_accuracy</t>
  </si>
  <si>
    <t>备注</t>
  </si>
  <si>
    <t>Acuvim2v3_case98</t>
  </si>
  <si>
    <t>1E2w1p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</si>
  <si>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</si>
  <si>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</si>
  <si>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</si>
  <si>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</si>
  <si>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</si>
  <si>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</si>
  <si>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</si>
  <si>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</si>
  <si>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</si>
  <si>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</si>
  <si>
    <t>Acuvim2v3_case1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</si>
  <si>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</si>
  <si>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</si>
  <si>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</si>
  <si>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</si>
  <si>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</si>
  <si>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</si>
  <si>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</si>
  <si>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Function_AcuDC320_09_01_case1</t>
    <phoneticPr fontId="6" type="noConversion"/>
  </si>
  <si>
    <t>Function_AcuDC320_09_01_case2</t>
  </si>
  <si>
    <t>Function_AcuDC320_09_01_case3</t>
  </si>
  <si>
    <t>Function_AcuDC320_09_01_case4</t>
  </si>
  <si>
    <t>Function_AcuDC320_09_01_case5</t>
  </si>
  <si>
    <t>Function_AcuDC320_09_01_case6</t>
  </si>
  <si>
    <t>Function_AcuDC320_09_01_case7</t>
  </si>
  <si>
    <t>Function_AcuDC320_09_01_case8</t>
  </si>
  <si>
    <t>Function_AcuDC320_09_01_case9</t>
  </si>
  <si>
    <t>Function_AcuDC320_09_01_case10</t>
  </si>
  <si>
    <t>Function_AcuDC320_09_01_case11</t>
  </si>
  <si>
    <t>Function_AcuDC320_09_01_case12</t>
  </si>
  <si>
    <t>Function_AcuDC320_09_01_case13</t>
  </si>
  <si>
    <t>Function_AcuDC320_09_01_case14</t>
  </si>
  <si>
    <t>Function_AcuDC320_09_01_case15</t>
  </si>
  <si>
    <t>Function_AcuDC320_09_01_case16</t>
  </si>
  <si>
    <t>Function_AcuDC320_09_01_case17</t>
  </si>
  <si>
    <t>Function_AcuDC320_09_01_case18</t>
  </si>
  <si>
    <t>Function_AcuDC320_09_01_case19</t>
  </si>
  <si>
    <t>Function_AcuDC320_09_01_case20</t>
  </si>
  <si>
    <t>Function_AcuDC320_09_01_case21</t>
  </si>
  <si>
    <t>Function_AcuDC320_09_01_case22</t>
  </si>
  <si>
    <t>Function_AcuDC320_09_01_case23</t>
  </si>
  <si>
    <t>Function_AcuDC320_09_01_case24</t>
  </si>
  <si>
    <t>Function_AcuDC320_09_01_case25</t>
  </si>
  <si>
    <t>Function_AcuDC320_09_01_case26</t>
  </si>
  <si>
    <t>Function_AcuDC320_09_01_case27</t>
  </si>
  <si>
    <t>Function_AcuDC320_09_01_case28</t>
  </si>
  <si>
    <t>Function_AcuDC320_09_01_case29</t>
  </si>
  <si>
    <t>Function_AcuDC320_09_01_case30</t>
  </si>
  <si>
    <t>Function_AcuDC320_09_01_case31</t>
  </si>
  <si>
    <t>Function_AcuDC320_09_01_case32</t>
  </si>
  <si>
    <t>Function_AcuDC320_09_01_case33</t>
  </si>
  <si>
    <t>Function_AcuDC320_09_01_case34</t>
  </si>
  <si>
    <t>Function_AcuDC320_09_01_case35</t>
  </si>
  <si>
    <t>Function_AcuDC320_09_01_case36</t>
  </si>
  <si>
    <t>Function_AcuDC320_09_01_case37</t>
  </si>
  <si>
    <t>Function_AcuDC320_09_01_case38</t>
  </si>
  <si>
    <t>Function_AcuDC320_09_01_case39</t>
  </si>
  <si>
    <t>Function_AcuDC320_09_01_case40</t>
  </si>
  <si>
    <t>Function_AcuDC320_09_01_case41</t>
  </si>
  <si>
    <t>Function_AcuDC320_09_01_case42</t>
  </si>
  <si>
    <t>Function_AcuDC320_09_01_case43</t>
  </si>
  <si>
    <t>Function_AcuDC320_09_01_case44</t>
  </si>
  <si>
    <t>Function_AcuDC320_09_01_case45</t>
  </si>
  <si>
    <t>Function_AcuDC320_09_01_case46</t>
  </si>
  <si>
    <t>Function_AcuDC320_09_01_case47</t>
  </si>
  <si>
    <t>Function_AcuDC320_09_01_case48</t>
  </si>
  <si>
    <t>Function_AcuDC320_09_01_case49</t>
  </si>
  <si>
    <t>Function_AcuDC320_09_01_case50</t>
  </si>
  <si>
    <t>Function_AcuDC320_09_01_case51</t>
  </si>
  <si>
    <t>Function_AcuDC320_09_01_case52</t>
  </si>
  <si>
    <t>Function_AcuDC320_09_01_case53</t>
  </si>
  <si>
    <t>Function_AcuDC320_09_01_case54</t>
  </si>
  <si>
    <t>Function_AcuDC320_09_01_case55</t>
  </si>
  <si>
    <t>Function_AcuDC320_09_01_case56</t>
  </si>
  <si>
    <t>Function_AcuDC320_09_01_case57</t>
  </si>
  <si>
    <t>Function_AcuDC320_09_01_case58</t>
  </si>
  <si>
    <t>Function_AcuDC320_09_01_case59</t>
  </si>
  <si>
    <t>Function_AcuDC320_09_01_case60</t>
  </si>
  <si>
    <t>Function_AcuDC320_09_01_case61</t>
  </si>
  <si>
    <t>Function_AcuDC320_09_01_case62</t>
  </si>
  <si>
    <t>Function_AcuDC320_09_01_case63</t>
  </si>
  <si>
    <t>Function_AcuDC320_09_01_case64</t>
  </si>
  <si>
    <t>Function_AcuDC320_09_01_case65</t>
  </si>
  <si>
    <t>Function_AcuDC320_09_01_case66</t>
  </si>
  <si>
    <t>Function_AcuDC320_09_01_case67</t>
  </si>
  <si>
    <t>Function_AcuDC320_09_01_case68</t>
  </si>
  <si>
    <t>Function_AcuDC320_09_01_case69</t>
  </si>
  <si>
    <t>Function_AcuDC320_09_01_case70</t>
  </si>
  <si>
    <t>Function_AcuDC320_09_01_case71</t>
  </si>
  <si>
    <t>Function_AcuDC320_09_01_case72</t>
  </si>
  <si>
    <t>Function_AcuDC320_09_01_case73</t>
  </si>
  <si>
    <t>Function_AcuDC320_09_01_case74</t>
  </si>
  <si>
    <t>Function_AcuDC320_09_01_case75</t>
  </si>
  <si>
    <t>Function_AcuDC320_09_01_case76</t>
  </si>
  <si>
    <t>Function_AcuDC320_09_01_case77</t>
  </si>
  <si>
    <t>Function_AcuDC320_09_01_case78</t>
  </si>
  <si>
    <t>Function_AcuDC320_09_01_case79</t>
  </si>
  <si>
    <t>Function_AcuDC320_09_01_case80</t>
  </si>
  <si>
    <t>Function_AcuDC320_09_01_case81</t>
  </si>
  <si>
    <t>Function_AcuDC320_09_01_case82</t>
  </si>
  <si>
    <t>Function_AcuDC320_09_01_case83</t>
  </si>
  <si>
    <t>Function_AcuDC320_09_01_case84</t>
  </si>
  <si>
    <t>Function_AcuDC320_09_01_case85</t>
  </si>
  <si>
    <t>Function_AcuDC320_09_01_case86</t>
  </si>
  <si>
    <t>Function_AcuDC320_09_01_case87</t>
  </si>
  <si>
    <t>Function_AcuDC320_09_01_case88</t>
  </si>
  <si>
    <t>Function_AcuDC320_09_01_case89</t>
  </si>
  <si>
    <t>Function_AcuDC320_09_01_case90</t>
  </si>
  <si>
    <t>Function_AcuDC320_09_01_case91</t>
  </si>
  <si>
    <t>Function_AcuDC320_09_01_case92</t>
  </si>
  <si>
    <t>Function_AcuDC320_09_01_case93</t>
  </si>
  <si>
    <t>Function_AcuDC320_09_01_case94</t>
  </si>
  <si>
    <t>Function_AcuDC320_09_01_case95</t>
  </si>
  <si>
    <t>Function_AcuDC320_09_01_case96</t>
  </si>
  <si>
    <t>Function_AcuDC320_09_01_case97</t>
  </si>
  <si>
    <t>Function_AcuDC320_09_01_case98</t>
  </si>
  <si>
    <t>Function_AcuDC320_09_01_case99</t>
  </si>
  <si>
    <t>Function_AcuDC320_09_01_case100</t>
  </si>
  <si>
    <t>Function_AcuDC320_08_02_case1</t>
    <phoneticPr fontId="6" type="noConversion"/>
  </si>
  <si>
    <t>Function_AcuDC320_08_02_case2</t>
  </si>
  <si>
    <t>Function_AcuDC320_08_02_case3</t>
  </si>
  <si>
    <t>Function_AcuDC320_08_02_case4</t>
  </si>
  <si>
    <t>Function_AcuDC320_08_02_case5</t>
  </si>
  <si>
    <t>Function_AcuDC320_08_02_case6</t>
  </si>
  <si>
    <t>Function_AcuDC320_08_02_case7</t>
  </si>
  <si>
    <t>Function_AcuDC320_08_02_case8</t>
  </si>
  <si>
    <t>Function_AcuDC320_08_02_case9</t>
  </si>
  <si>
    <t>Function_AcuDC320_08_02_case10</t>
  </si>
  <si>
    <t>Function_AcuDC320_08_02_case11</t>
  </si>
  <si>
    <t>Function_AcuDC320_08_02_case12</t>
  </si>
  <si>
    <t>Function_AcuDC320_08_02_case13</t>
  </si>
  <si>
    <t>Function_AcuDC320_08_02_case14</t>
  </si>
  <si>
    <t>Function_AcuDC320_08_02_case15</t>
  </si>
  <si>
    <t>Function_AcuDC320_08_02_case16</t>
  </si>
  <si>
    <t>Function_AcuDC320_08_02_case17</t>
  </si>
  <si>
    <t>Function_AcuDC320_08_02_case18</t>
  </si>
  <si>
    <t>Function_AcuDC320_08_02_case19</t>
  </si>
  <si>
    <t>Function_AcuDC320_08_02_case20</t>
  </si>
  <si>
    <t>Function_AcuDC320_08_02_case21</t>
  </si>
  <si>
    <t>Function_AcuDC320_08_02_case22</t>
  </si>
  <si>
    <t>Function_AcuDC320_08_02_case23</t>
  </si>
  <si>
    <t>Function_AcuDC320_08_02_case24</t>
  </si>
  <si>
    <t>Function_AcuDC320_08_02_case25</t>
  </si>
  <si>
    <t>Function_AcuDC320_08_02_case26</t>
  </si>
  <si>
    <t>Function_AcuDC320_08_02_case27</t>
  </si>
  <si>
    <t>Function_AcuDC320_08_02_case28</t>
  </si>
  <si>
    <t>Function_AcuDC320_08_02_case29</t>
  </si>
  <si>
    <t>Function_AcuDC320_08_02_case30</t>
  </si>
  <si>
    <t>Function_AcuDC320_08_02_case31</t>
  </si>
  <si>
    <t>Function_AcuDC320_08_02_case32</t>
  </si>
  <si>
    <t>Function_AcuDC320_08_02_case33</t>
  </si>
  <si>
    <t>Function_AcuDC320_08_02_case34</t>
  </si>
  <si>
    <t>Function_AcuDC320_08_02_case35</t>
  </si>
  <si>
    <t>Function_AcuDC320_08_02_case36</t>
  </si>
  <si>
    <t>Function_AcuDC320_08_02_case37</t>
  </si>
  <si>
    <t>Function_AcuDC320_08_02_case38</t>
  </si>
  <si>
    <t>Function_AcuDC320_08_02_case39</t>
  </si>
  <si>
    <t>Function_AcuDC320_08_02_case40</t>
  </si>
  <si>
    <t>Function_AcuDC320_08_02_case41</t>
  </si>
  <si>
    <t>Function_AcuDC320_08_02_case42</t>
  </si>
  <si>
    <t>Function_AcuDC320_08_02_case43</t>
  </si>
  <si>
    <t>Function_AcuDC320_08_02_case44</t>
  </si>
  <si>
    <t>Function_AcuDC320_08_02_case45</t>
  </si>
  <si>
    <t>Function_AcuDC320_08_02_case46</t>
  </si>
  <si>
    <t>Function_AcuDC320_08_02_case47</t>
  </si>
  <si>
    <t>Function_AcuDC320_08_02_case48</t>
  </si>
  <si>
    <t>Function_AcuDC320_08_02_case49</t>
  </si>
  <si>
    <t>Function_AcuDC320_08_02_case50</t>
  </si>
  <si>
    <t>Function_AcuDC320_08_02_case51</t>
  </si>
  <si>
    <t>Function_AcuDC320_08_02_case52</t>
  </si>
  <si>
    <t>Function_AcuDC320_08_02_case53</t>
  </si>
  <si>
    <t>Function_AcuDC320_08_02_case54</t>
  </si>
  <si>
    <t>Function_AcuDC320_08_02_case55</t>
  </si>
  <si>
    <t>Function_AcuDC320_08_02_case56</t>
  </si>
  <si>
    <t>Function_AcuDC320_08_02_case57</t>
  </si>
  <si>
    <t>Function_AcuDC320_08_02_case58</t>
  </si>
  <si>
    <t>Function_AcuDC320_08_02_case59</t>
  </si>
  <si>
    <t>Function_AcuDC320_08_02_case60</t>
  </si>
  <si>
    <t>Function_AcuDC320_08_02_case61</t>
  </si>
  <si>
    <t>Function_AcuDC320_08_02_case62</t>
  </si>
  <si>
    <t>Function_AcuDC320_08_02_case63</t>
  </si>
  <si>
    <t>Function_AcuDC320_08_02_case64</t>
  </si>
  <si>
    <t>Function_AcuDC320_08_02_case65</t>
  </si>
  <si>
    <t>Function_AcuDC320_08_02_case66</t>
  </si>
  <si>
    <t>Function_AcuDC320_08_02_case67</t>
  </si>
  <si>
    <t>Function_AcuDC320_08_02_case68</t>
  </si>
  <si>
    <t>Function_AcuDC320_08_02_case69</t>
  </si>
  <si>
    <t>Function_AcuDC320_08_02_case70</t>
  </si>
  <si>
    <t>Function_AcuDC320_08_02_case71</t>
  </si>
  <si>
    <t>Function_AcuDC320_08_02_case72</t>
  </si>
  <si>
    <t>Function_AcuDC320_08_02_case73</t>
  </si>
  <si>
    <t>Function_AcuDC320_08_02_case74</t>
  </si>
  <si>
    <t>Function_AcuDC320_08_02_case75</t>
  </si>
  <si>
    <t>Function_AcuDC320_08_02_case76</t>
  </si>
  <si>
    <t>Function_AcuDC320_08_02_case77</t>
  </si>
  <si>
    <t>Function_AcuDC320_08_02_case78</t>
  </si>
  <si>
    <t>Function_AcuDC320_08_02_case79</t>
  </si>
  <si>
    <t>Function_AcuDC320_08_02_case80</t>
  </si>
  <si>
    <t>Function_AcuDC320_08_02_case81</t>
  </si>
  <si>
    <t>Function_AcuDC320_08_02_case82</t>
  </si>
  <si>
    <t>Function_AcuDC320_08_02_case83</t>
  </si>
  <si>
    <t>Function_AcuDC320_08_02_case84</t>
  </si>
  <si>
    <t>Function_AcuDC320_08_02_case85</t>
  </si>
  <si>
    <t>Function_AcuDC320_08_02_case86</t>
  </si>
  <si>
    <t>Function_AcuDC320_08_02_case87</t>
  </si>
  <si>
    <t>Function_AcuDC320_08_02_case88</t>
  </si>
  <si>
    <t>Function_AcuDC320_08_02_case89</t>
  </si>
  <si>
    <t>Function_AcuDC320_08_02_case90</t>
  </si>
  <si>
    <t>Function_AcuDC320_08_02_case91</t>
  </si>
  <si>
    <t>Function_AcuDC320_08_02_case92</t>
  </si>
  <si>
    <t>Function_AcuDC320_08_02_case93</t>
  </si>
  <si>
    <t>Function_AcuDC320_08_02_case94</t>
  </si>
  <si>
    <t>Function_AcuDC320_08_02_case95</t>
  </si>
  <si>
    <t>Function_AcuDC320_08_02_case96</t>
  </si>
  <si>
    <t>Function_AcuDC320_08_02_case97</t>
  </si>
  <si>
    <t>Function_AcuDC320_08_02_case98</t>
  </si>
  <si>
    <t>Function_AcuDC320_08_02_case99</t>
    <phoneticPr fontId="6" type="noConversion"/>
  </si>
  <si>
    <t>Function_AcuDC320_08_02_case100</t>
  </si>
  <si>
    <t>Function_AcuDC320_08_02_case101</t>
  </si>
  <si>
    <t>Function_AcuDC320_08_02_case102</t>
  </si>
  <si>
    <t>Function_AcuDC320_08_02_case103</t>
  </si>
  <si>
    <t>Function_AcuDC320_08_02_case104</t>
  </si>
  <si>
    <t>Function_AcuDC320_08_02_case105</t>
  </si>
  <si>
    <t>Function_AcuDC320_08_02_case106</t>
  </si>
  <si>
    <t>Function_AcuDC320_08_02_case107</t>
  </si>
  <si>
    <t>Function_AcuDC320_08_02_case108</t>
  </si>
  <si>
    <t>Function_AcuDC320_08_02_case109</t>
  </si>
  <si>
    <t>Function_AcuDC320_08_02_case110</t>
  </si>
  <si>
    <t>Function_AcuDC320_08_02_case111</t>
  </si>
  <si>
    <t>Function_AcuDC320_08_02_case112</t>
  </si>
  <si>
    <t>Function_AcuDC320_08_02_case113</t>
  </si>
  <si>
    <t>Function_AcuDC320_08_02_case114</t>
  </si>
  <si>
    <t>Function_AcuDC320_08_02_case115</t>
  </si>
  <si>
    <t>Function_AcuDC320_08_02_case116</t>
  </si>
  <si>
    <t>Function_AcuDC320_08_02_case117</t>
  </si>
  <si>
    <t>Function_AcuDC320_08_02_case118</t>
  </si>
  <si>
    <t>Function_AcuDC320_08_02_case119</t>
  </si>
  <si>
    <t>Function_AcuDC320_08_02_case120</t>
  </si>
  <si>
    <t>Function_AcuDC320_08_02_case121</t>
  </si>
  <si>
    <t>Function_AcuDC320_08_02_case122</t>
  </si>
  <si>
    <t>Function_AcuDC320_08_02_case123</t>
  </si>
  <si>
    <t>Function_AcuDC320_08_02_case124</t>
  </si>
  <si>
    <t>Function_AcuDC320_08_02_case125</t>
  </si>
  <si>
    <t>Function_AcuDC320_08_02_case126</t>
  </si>
  <si>
    <t>Function_AcuDC320_08_02_case127</t>
  </si>
  <si>
    <t>Function_AcuDC320_08_02_case128</t>
  </si>
  <si>
    <t>Function_AcuDC320_08_02_case129</t>
  </si>
  <si>
    <t>Function_AcuDC320_08_02_case130</t>
  </si>
  <si>
    <t>Function_AcuDC320_08_02_case131</t>
  </si>
  <si>
    <t>Function_AcuDC320_08_02_case132</t>
  </si>
  <si>
    <t>Function_AcuDC320_08_02_case133</t>
  </si>
  <si>
    <t>Function_AcuDC320_08_02_case134</t>
  </si>
  <si>
    <t>Function_AcuDC320_08_02_case135</t>
  </si>
  <si>
    <t>Function_AcuDC320_08_02_case136</t>
  </si>
  <si>
    <t>Function_AcuDC320_08_02_case137</t>
  </si>
  <si>
    <t>Function_AcuDC320_08_02_case138</t>
  </si>
  <si>
    <t>Function_AcuDC320_08_02_case139</t>
  </si>
  <si>
    <t>Function_AcuDC320_08_02_case140</t>
  </si>
  <si>
    <t>Function_AcuDC320_08_02_case141</t>
  </si>
  <si>
    <t>Function_AcuDC320_08_02_case142</t>
  </si>
  <si>
    <t>Function_AcuDC320_08_02_case143</t>
  </si>
  <si>
    <t>Function_AcuDC320_08_02_case144</t>
  </si>
  <si>
    <t>Function_AcuDC320_08_02_case145</t>
  </si>
  <si>
    <t>Function_AcuDC320_08_02_case146</t>
  </si>
  <si>
    <t>Function_AcuDC320_08_02_case147</t>
  </si>
  <si>
    <t>Function_AcuDC320_08_02_case148</t>
  </si>
  <si>
    <t>Function_AcuDC320_08_02_case149</t>
  </si>
  <si>
    <t>Function_AcuDC320_08_02_case150</t>
  </si>
  <si>
    <t>Function_AcuDC320_08_02_case151</t>
  </si>
  <si>
    <t>Function_AcuDC320_08_02_case152</t>
  </si>
  <si>
    <t>Function_AcuDC320_08_02_case153</t>
  </si>
  <si>
    <t>Function_AcuDC320_08_02_case154</t>
  </si>
  <si>
    <t>Function_AcuDC320_08_02_case155</t>
  </si>
  <si>
    <t>Function_AcuDC320_08_02_case156</t>
  </si>
  <si>
    <t>Function_AcuDC320_08_02_case157</t>
  </si>
  <si>
    <t>Function_AcuDC320_08_02_case158</t>
  </si>
  <si>
    <t>Function_AcuDC320_08_02_case159</t>
  </si>
  <si>
    <t>Function_AcuDC320_08_02_case160</t>
  </si>
  <si>
    <t>Function_AcuDC320_08_02_case161</t>
  </si>
  <si>
    <t>Function_AcuDC320_08_02_case162</t>
  </si>
  <si>
    <t>Function_AcuDC320_08_02_case163</t>
  </si>
  <si>
    <t>Function_AcuDC320_08_02_case164</t>
  </si>
  <si>
    <t>Function_AcuDC320_08_02_case165</t>
  </si>
  <si>
    <t>Function_AcuDC320_08_02_case166</t>
  </si>
  <si>
    <t>Function_AcuDC320_08_02_case167</t>
  </si>
  <si>
    <t>Function_AcuDC320_08_02_case168</t>
  </si>
  <si>
    <t>Function_AcuDC320_08_02_case169</t>
  </si>
  <si>
    <t>Function_AcuDC320_08_02_case170</t>
  </si>
  <si>
    <t>Function_AcuDC320_08_02_case171</t>
  </si>
  <si>
    <t>Function_AcuDC320_08_02_case172</t>
  </si>
  <si>
    <t>Function_AcuDC320_08_02_case173</t>
  </si>
  <si>
    <t>Function_AcuDC320_08_02_case174</t>
  </si>
  <si>
    <t>Function_AcuDC320_08_02_case175</t>
  </si>
  <si>
    <t>Function_AcuDC320_08_02_case176</t>
  </si>
  <si>
    <t>Function_AcuDC320_08_02_case177</t>
  </si>
  <si>
    <t>Function_AcuDC320_08_02_case178</t>
  </si>
  <si>
    <t>Function_AcuDC320_08_02_case179</t>
  </si>
  <si>
    <t>Function_AcuDC320_08_02_case180</t>
  </si>
  <si>
    <t>Function_AcuDC320_08_02_case181</t>
  </si>
  <si>
    <t>Function_AcuDC320_08_02_case182</t>
  </si>
  <si>
    <t>Function_AcuDC320_08_02_case183</t>
  </si>
  <si>
    <t>Function_AcuDC320_08_02_case184</t>
  </si>
  <si>
    <t>Function_AcuDC320_08_02_case185</t>
  </si>
  <si>
    <t>Function_AcuDC320_08_02_case186</t>
  </si>
  <si>
    <t>Function_AcuDC320_08_02_case187</t>
  </si>
  <si>
    <t>Function_AcuDC320_08_02_case188</t>
  </si>
  <si>
    <t>Function_AcuDC320_08_02_case189</t>
  </si>
  <si>
    <t>Function_AcuDC320_08_02_case190</t>
  </si>
  <si>
    <t>Function_AcuDC320_08_02_case191</t>
  </si>
  <si>
    <t>Function_AcuDC320_08_02_case192</t>
  </si>
  <si>
    <t>Function_AcuDC320_08_02_case193</t>
  </si>
  <si>
    <t>Function_AcuDC320_08_02_case194</t>
  </si>
  <si>
    <t>Function_AcuDC320_08_02_case195</t>
  </si>
  <si>
    <t>Function_AcuDC320_08_02_case196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</si>
</sst>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00_ "/>
    <numFmt numFmtId="178" formatCode="0_ "/>
    <numFmt numFmtId="179" formatCode="0.000_ "/>
  </numFmts>
  <fonts count="8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vertical="center" wrapText="1"/>
    </xf>
    <xf numFmtId="178" fontId="0" fillId="2" borderId="1" xfId="0" applyNumberFormat="1" applyFill="1" applyBorder="1" applyAlignment="1">
      <alignment vertical="center" wrapText="1"/>
    </xf>
    <xf numFmtId="179" fontId="0" fillId="2" borderId="1" xfId="0" applyNumberForma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176" fontId="5" fillId="0" borderId="1" xfId="0" applyNumberFormat="1" applyFont="1" applyBorder="1">
      <alignment vertical="center"/>
    </xf>
    <xf numFmtId="0" fontId="7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F612-0C2B-4F9F-9850-D0CF44183C41}">
  <dimension ref="A1:J99"/>
  <sheetViews>
    <sheetView topLeftCell="A82" workbookViewId="0">
      <selection sqref="A1:J99"/>
    </sheetView>
  </sheetViews>
  <sheetFormatPr defaultRowHeight="14.4" x14ac:dyDescent="0.25"/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21" t="s">
        <v>7</v>
      </c>
      <c r="I1" s="9" t="s">
        <v>8</v>
      </c>
      <c r="J1" s="9" t="s">
        <v>9</v>
      </c>
    </row>
    <row r="2" spans="1:10" x14ac:dyDescent="0.25">
      <c r="A2" s="22" t="s">
        <v>171</v>
      </c>
      <c r="B2" s="15">
        <v>60</v>
      </c>
      <c r="C2" s="15">
        <v>1.2</v>
      </c>
      <c r="D2" s="10">
        <v>0</v>
      </c>
      <c r="E2" s="9">
        <v>0</v>
      </c>
      <c r="F2" s="9">
        <v>1E-3</v>
      </c>
      <c r="G2" s="9">
        <v>7.4999999999999997E-2</v>
      </c>
      <c r="H2" s="9">
        <v>7.4999999999999997E-2</v>
      </c>
      <c r="I2" s="9">
        <v>20</v>
      </c>
      <c r="J2" s="9">
        <v>0.1</v>
      </c>
    </row>
    <row r="3" spans="1:10" x14ac:dyDescent="0.25">
      <c r="A3" s="22" t="s">
        <v>172</v>
      </c>
      <c r="B3" s="15">
        <v>60</v>
      </c>
      <c r="C3" s="15">
        <v>4.5</v>
      </c>
      <c r="D3" s="10">
        <v>0</v>
      </c>
      <c r="E3" s="9">
        <v>0</v>
      </c>
      <c r="F3" s="9">
        <v>1E-3</v>
      </c>
      <c r="G3" s="9">
        <v>0.02</v>
      </c>
      <c r="H3" s="9">
        <v>0.02</v>
      </c>
      <c r="I3" s="9">
        <v>20</v>
      </c>
      <c r="J3" s="9">
        <v>0.1</v>
      </c>
    </row>
    <row r="4" spans="1:10" x14ac:dyDescent="0.25">
      <c r="A4" s="22" t="s">
        <v>173</v>
      </c>
      <c r="B4" s="15">
        <v>60</v>
      </c>
      <c r="C4" s="15">
        <v>9</v>
      </c>
      <c r="D4" s="10">
        <v>0</v>
      </c>
      <c r="E4" s="9">
        <v>0</v>
      </c>
      <c r="F4" s="9">
        <v>1E-3</v>
      </c>
      <c r="G4" s="9">
        <v>0.01</v>
      </c>
      <c r="H4" s="9">
        <v>0.01</v>
      </c>
      <c r="I4" s="9">
        <v>20</v>
      </c>
      <c r="J4" s="9">
        <v>0.1</v>
      </c>
    </row>
    <row r="5" spans="1:10" x14ac:dyDescent="0.25">
      <c r="A5" s="22" t="s">
        <v>174</v>
      </c>
      <c r="B5" s="15">
        <v>60</v>
      </c>
      <c r="C5" s="15">
        <v>15</v>
      </c>
      <c r="D5" s="10">
        <v>0</v>
      </c>
      <c r="E5" s="9">
        <v>0</v>
      </c>
      <c r="F5" s="9">
        <v>1E-3</v>
      </c>
      <c r="G5" s="9">
        <v>0.01</v>
      </c>
      <c r="H5" s="9">
        <v>0.01</v>
      </c>
      <c r="I5" s="9">
        <v>20</v>
      </c>
      <c r="J5" s="9">
        <v>0.1</v>
      </c>
    </row>
    <row r="6" spans="1:10" x14ac:dyDescent="0.25">
      <c r="A6" s="22" t="s">
        <v>175</v>
      </c>
      <c r="B6" s="15">
        <v>60</v>
      </c>
      <c r="C6" s="15">
        <v>20</v>
      </c>
      <c r="D6" s="10">
        <v>0</v>
      </c>
      <c r="E6" s="9">
        <v>0</v>
      </c>
      <c r="F6" s="9">
        <v>1E-3</v>
      </c>
      <c r="G6" s="9">
        <v>0.01</v>
      </c>
      <c r="H6" s="9">
        <v>0.01</v>
      </c>
      <c r="I6" s="9">
        <v>20</v>
      </c>
      <c r="J6" s="9">
        <v>0.1</v>
      </c>
    </row>
    <row r="7" spans="1:10" x14ac:dyDescent="0.25">
      <c r="A7" s="22" t="s">
        <v>176</v>
      </c>
      <c r="B7" s="15">
        <v>60</v>
      </c>
      <c r="C7" s="15">
        <v>30</v>
      </c>
      <c r="D7" s="10">
        <v>0</v>
      </c>
      <c r="E7" s="9">
        <v>0</v>
      </c>
      <c r="F7" s="9">
        <v>1E-3</v>
      </c>
      <c r="G7" s="9">
        <v>5.0000000000000001E-3</v>
      </c>
      <c r="H7" s="9">
        <v>5.0000000000000001E-3</v>
      </c>
      <c r="I7" s="9">
        <v>20</v>
      </c>
      <c r="J7" s="9">
        <v>0.1</v>
      </c>
    </row>
    <row r="8" spans="1:10" x14ac:dyDescent="0.25">
      <c r="A8" s="22" t="s">
        <v>177</v>
      </c>
      <c r="B8" s="15">
        <v>60</v>
      </c>
      <c r="C8" s="15">
        <v>150</v>
      </c>
      <c r="D8" s="10">
        <v>0</v>
      </c>
      <c r="E8" s="9">
        <v>0</v>
      </c>
      <c r="F8" s="9">
        <v>1E-3</v>
      </c>
      <c r="G8" s="9">
        <v>5.0000000000000001E-3</v>
      </c>
      <c r="H8" s="9">
        <v>5.0000000000000001E-3</v>
      </c>
      <c r="I8" s="9">
        <v>20</v>
      </c>
      <c r="J8" s="9">
        <v>0.1</v>
      </c>
    </row>
    <row r="9" spans="1:10" x14ac:dyDescent="0.25">
      <c r="A9" s="22" t="s">
        <v>178</v>
      </c>
      <c r="B9" s="15">
        <v>60</v>
      </c>
      <c r="C9" s="15">
        <v>300</v>
      </c>
      <c r="D9" s="10">
        <v>0</v>
      </c>
      <c r="E9" s="9">
        <v>0</v>
      </c>
      <c r="F9" s="9">
        <v>1E-3</v>
      </c>
      <c r="G9" s="9">
        <v>5.0000000000000001E-3</v>
      </c>
      <c r="H9" s="9">
        <v>5.0000000000000001E-3</v>
      </c>
      <c r="I9" s="9">
        <v>20</v>
      </c>
      <c r="J9" s="9">
        <v>0.1</v>
      </c>
    </row>
    <row r="10" spans="1:10" x14ac:dyDescent="0.25">
      <c r="A10" s="22" t="s">
        <v>179</v>
      </c>
      <c r="B10" s="15">
        <v>60</v>
      </c>
      <c r="C10" s="15">
        <v>400</v>
      </c>
      <c r="D10" s="10">
        <v>0</v>
      </c>
      <c r="E10" s="9">
        <v>0</v>
      </c>
      <c r="F10" s="9">
        <v>1E-3</v>
      </c>
      <c r="G10" s="9">
        <v>5.0000000000000001E-3</v>
      </c>
      <c r="H10" s="9">
        <v>5.0000000000000001E-3</v>
      </c>
      <c r="I10" s="9">
        <v>20</v>
      </c>
      <c r="J10" s="9">
        <v>0.1</v>
      </c>
    </row>
    <row r="11" spans="1:10" x14ac:dyDescent="0.25">
      <c r="A11" s="22" t="s">
        <v>180</v>
      </c>
      <c r="B11" s="15">
        <v>60</v>
      </c>
      <c r="C11" s="15">
        <v>600</v>
      </c>
      <c r="D11" s="10">
        <v>0</v>
      </c>
      <c r="E11" s="9">
        <v>0</v>
      </c>
      <c r="F11" s="9">
        <v>1E-3</v>
      </c>
      <c r="G11" s="9">
        <v>5.0000000000000001E-3</v>
      </c>
      <c r="H11" s="9">
        <v>5.0000000000000001E-3</v>
      </c>
      <c r="I11" s="9">
        <v>20</v>
      </c>
      <c r="J11" s="9">
        <v>0.1</v>
      </c>
    </row>
    <row r="12" spans="1:10" x14ac:dyDescent="0.25">
      <c r="A12" s="22" t="s">
        <v>181</v>
      </c>
      <c r="B12" s="19">
        <v>60</v>
      </c>
      <c r="C12" s="19">
        <v>800</v>
      </c>
      <c r="D12" s="10">
        <v>0</v>
      </c>
      <c r="E12" s="9">
        <v>0</v>
      </c>
      <c r="F12" s="9">
        <v>1E-3</v>
      </c>
      <c r="G12" s="9">
        <v>5.0000000000000001E-3</v>
      </c>
      <c r="H12" s="9">
        <v>5.0000000000000001E-3</v>
      </c>
      <c r="I12" s="9">
        <v>20</v>
      </c>
      <c r="J12" s="9">
        <v>0.1</v>
      </c>
    </row>
    <row r="13" spans="1:10" x14ac:dyDescent="0.25">
      <c r="A13" s="22" t="s">
        <v>182</v>
      </c>
      <c r="B13" s="19">
        <v>60</v>
      </c>
      <c r="C13" s="19">
        <v>1000</v>
      </c>
      <c r="D13" s="10">
        <v>0</v>
      </c>
      <c r="E13" s="9">
        <v>0</v>
      </c>
      <c r="F13" s="9">
        <v>1E-3</v>
      </c>
      <c r="G13" s="9">
        <v>5.0000000000000001E-3</v>
      </c>
      <c r="H13" s="9">
        <v>5.0000000000000001E-3</v>
      </c>
      <c r="I13" s="9">
        <v>20</v>
      </c>
      <c r="J13" s="9">
        <v>0.1</v>
      </c>
    </row>
    <row r="14" spans="1:10" x14ac:dyDescent="0.25">
      <c r="A14" s="22" t="s">
        <v>183</v>
      </c>
      <c r="B14" s="19">
        <v>60</v>
      </c>
      <c r="C14" s="19">
        <v>1200</v>
      </c>
      <c r="D14" s="10">
        <v>0</v>
      </c>
      <c r="E14" s="9">
        <v>0</v>
      </c>
      <c r="F14" s="9">
        <v>1E-3</v>
      </c>
      <c r="G14" s="9">
        <v>5.0000000000000001E-3</v>
      </c>
      <c r="H14" s="9">
        <v>5.0000000000000001E-3</v>
      </c>
      <c r="I14" s="9">
        <v>20</v>
      </c>
      <c r="J14" s="9">
        <v>0.1</v>
      </c>
    </row>
    <row r="15" spans="1:10" x14ac:dyDescent="0.25">
      <c r="A15" s="22" t="s">
        <v>184</v>
      </c>
      <c r="B15" s="19">
        <v>60</v>
      </c>
      <c r="C15" s="19">
        <v>1500</v>
      </c>
      <c r="D15" s="10">
        <v>0</v>
      </c>
      <c r="E15" s="9">
        <v>0</v>
      </c>
      <c r="F15" s="9">
        <v>1E-3</v>
      </c>
      <c r="G15" s="9">
        <v>5.0000000000000001E-3</v>
      </c>
      <c r="H15" s="9">
        <v>5.0000000000000001E-3</v>
      </c>
      <c r="I15" s="9">
        <v>20</v>
      </c>
      <c r="J15" s="9">
        <v>0.1</v>
      </c>
    </row>
    <row r="16" spans="1:10" x14ac:dyDescent="0.25">
      <c r="A16" s="22" t="s">
        <v>185</v>
      </c>
      <c r="B16" s="15">
        <v>200</v>
      </c>
      <c r="C16" s="15">
        <v>1.2</v>
      </c>
      <c r="D16" s="10">
        <v>0</v>
      </c>
      <c r="E16" s="9">
        <v>0</v>
      </c>
      <c r="F16" s="9">
        <v>1E-3</v>
      </c>
      <c r="G16" s="9">
        <v>7.4999999999999997E-2</v>
      </c>
      <c r="H16" s="9">
        <v>7.4999999999999997E-2</v>
      </c>
      <c r="I16" s="9">
        <v>20</v>
      </c>
      <c r="J16" s="9">
        <v>0.1</v>
      </c>
    </row>
    <row r="17" spans="1:10" x14ac:dyDescent="0.25">
      <c r="A17" s="22" t="s">
        <v>186</v>
      </c>
      <c r="B17" s="15">
        <v>200</v>
      </c>
      <c r="C17" s="15">
        <v>4.5</v>
      </c>
      <c r="D17" s="10">
        <v>0</v>
      </c>
      <c r="E17" s="9">
        <v>0</v>
      </c>
      <c r="F17" s="9">
        <v>1E-3</v>
      </c>
      <c r="G17" s="9">
        <v>0.02</v>
      </c>
      <c r="H17" s="9">
        <v>0.02</v>
      </c>
      <c r="I17" s="9">
        <v>20</v>
      </c>
      <c r="J17" s="9">
        <v>0.1</v>
      </c>
    </row>
    <row r="18" spans="1:10" x14ac:dyDescent="0.25">
      <c r="A18" s="22" t="s">
        <v>187</v>
      </c>
      <c r="B18" s="15">
        <v>200</v>
      </c>
      <c r="C18" s="15">
        <v>9</v>
      </c>
      <c r="D18" s="10">
        <v>0</v>
      </c>
      <c r="E18" s="9">
        <v>0</v>
      </c>
      <c r="F18" s="9">
        <v>1E-3</v>
      </c>
      <c r="G18" s="9">
        <v>0.01</v>
      </c>
      <c r="H18" s="9">
        <v>0.01</v>
      </c>
      <c r="I18" s="9">
        <v>20</v>
      </c>
      <c r="J18" s="9">
        <v>0.1</v>
      </c>
    </row>
    <row r="19" spans="1:10" x14ac:dyDescent="0.25">
      <c r="A19" s="22" t="s">
        <v>188</v>
      </c>
      <c r="B19" s="15">
        <v>200</v>
      </c>
      <c r="C19" s="15">
        <v>15</v>
      </c>
      <c r="D19" s="10">
        <v>0</v>
      </c>
      <c r="E19" s="9">
        <v>0</v>
      </c>
      <c r="F19" s="9">
        <v>1E-3</v>
      </c>
      <c r="G19" s="9">
        <v>0.01</v>
      </c>
      <c r="H19" s="9">
        <v>0.01</v>
      </c>
      <c r="I19" s="9">
        <v>20</v>
      </c>
      <c r="J19" s="9">
        <v>0.1</v>
      </c>
    </row>
    <row r="20" spans="1:10" x14ac:dyDescent="0.25">
      <c r="A20" s="22" t="s">
        <v>189</v>
      </c>
      <c r="B20" s="15">
        <v>200</v>
      </c>
      <c r="C20" s="15">
        <v>20</v>
      </c>
      <c r="D20" s="10">
        <v>0</v>
      </c>
      <c r="E20" s="9">
        <v>0</v>
      </c>
      <c r="F20" s="9">
        <v>1E-3</v>
      </c>
      <c r="G20" s="9">
        <v>0.01</v>
      </c>
      <c r="H20" s="9">
        <v>0.01</v>
      </c>
      <c r="I20" s="9">
        <v>20</v>
      </c>
      <c r="J20" s="9">
        <v>0.1</v>
      </c>
    </row>
    <row r="21" spans="1:10" x14ac:dyDescent="0.25">
      <c r="A21" s="22" t="s">
        <v>190</v>
      </c>
      <c r="B21" s="15">
        <v>200</v>
      </c>
      <c r="C21" s="15">
        <v>30</v>
      </c>
      <c r="D21" s="10">
        <v>0</v>
      </c>
      <c r="E21" s="9">
        <v>0</v>
      </c>
      <c r="F21" s="9">
        <v>1E-3</v>
      </c>
      <c r="G21" s="9">
        <v>5.0000000000000001E-3</v>
      </c>
      <c r="H21" s="9">
        <v>5.0000000000000001E-3</v>
      </c>
      <c r="I21" s="9">
        <v>20</v>
      </c>
      <c r="J21" s="9">
        <v>0.1</v>
      </c>
    </row>
    <row r="22" spans="1:10" x14ac:dyDescent="0.25">
      <c r="A22" s="22" t="s">
        <v>191</v>
      </c>
      <c r="B22" s="15">
        <v>200</v>
      </c>
      <c r="C22" s="15">
        <v>150</v>
      </c>
      <c r="D22" s="10">
        <v>0</v>
      </c>
      <c r="E22" s="9">
        <v>0</v>
      </c>
      <c r="F22" s="9">
        <v>1E-3</v>
      </c>
      <c r="G22" s="9">
        <v>5.0000000000000001E-3</v>
      </c>
      <c r="H22" s="9">
        <v>5.0000000000000001E-3</v>
      </c>
      <c r="I22" s="9">
        <v>20</v>
      </c>
      <c r="J22" s="9">
        <v>0.1</v>
      </c>
    </row>
    <row r="23" spans="1:10" x14ac:dyDescent="0.25">
      <c r="A23" s="22" t="s">
        <v>192</v>
      </c>
      <c r="B23" s="15">
        <v>200</v>
      </c>
      <c r="C23" s="15">
        <v>300</v>
      </c>
      <c r="D23" s="10">
        <v>0</v>
      </c>
      <c r="E23" s="9">
        <v>0</v>
      </c>
      <c r="F23" s="9">
        <v>1E-3</v>
      </c>
      <c r="G23" s="9">
        <v>5.0000000000000001E-3</v>
      </c>
      <c r="H23" s="9">
        <v>5.0000000000000001E-3</v>
      </c>
      <c r="I23" s="9">
        <v>20</v>
      </c>
      <c r="J23" s="9">
        <v>0.1</v>
      </c>
    </row>
    <row r="24" spans="1:10" x14ac:dyDescent="0.25">
      <c r="A24" s="22" t="s">
        <v>193</v>
      </c>
      <c r="B24" s="15">
        <v>200</v>
      </c>
      <c r="C24" s="15">
        <v>400</v>
      </c>
      <c r="D24" s="10">
        <v>0</v>
      </c>
      <c r="E24" s="9">
        <v>0</v>
      </c>
      <c r="F24" s="9">
        <v>1E-3</v>
      </c>
      <c r="G24" s="9">
        <v>5.0000000000000001E-3</v>
      </c>
      <c r="H24" s="9">
        <v>5.0000000000000001E-3</v>
      </c>
      <c r="I24" s="9">
        <v>20</v>
      </c>
      <c r="J24" s="9">
        <v>0.1</v>
      </c>
    </row>
    <row r="25" spans="1:10" x14ac:dyDescent="0.25">
      <c r="A25" s="22" t="s">
        <v>194</v>
      </c>
      <c r="B25" s="15">
        <v>200</v>
      </c>
      <c r="C25" s="15">
        <v>600</v>
      </c>
      <c r="D25" s="10">
        <v>0</v>
      </c>
      <c r="E25" s="9">
        <v>0</v>
      </c>
      <c r="F25" s="9">
        <v>1E-3</v>
      </c>
      <c r="G25" s="9">
        <v>5.0000000000000001E-3</v>
      </c>
      <c r="H25" s="9">
        <v>5.0000000000000001E-3</v>
      </c>
      <c r="I25" s="9">
        <v>20</v>
      </c>
      <c r="J25" s="9">
        <v>0.1</v>
      </c>
    </row>
    <row r="26" spans="1:10" x14ac:dyDescent="0.25">
      <c r="A26" s="22" t="s">
        <v>195</v>
      </c>
      <c r="B26" s="15">
        <v>200</v>
      </c>
      <c r="C26" s="15">
        <v>800</v>
      </c>
      <c r="D26" s="10">
        <v>0</v>
      </c>
      <c r="E26" s="9">
        <v>0</v>
      </c>
      <c r="F26" s="9">
        <v>1E-3</v>
      </c>
      <c r="G26" s="9">
        <v>5.0000000000000001E-3</v>
      </c>
      <c r="H26" s="9">
        <v>5.0000000000000001E-3</v>
      </c>
      <c r="I26" s="9">
        <v>20</v>
      </c>
      <c r="J26" s="9">
        <v>0.1</v>
      </c>
    </row>
    <row r="27" spans="1:10" x14ac:dyDescent="0.25">
      <c r="A27" s="22" t="s">
        <v>196</v>
      </c>
      <c r="B27" s="15">
        <v>200</v>
      </c>
      <c r="C27" s="15">
        <v>1000</v>
      </c>
      <c r="D27" s="10">
        <v>0</v>
      </c>
      <c r="E27" s="9">
        <v>0</v>
      </c>
      <c r="F27" s="9">
        <v>1E-3</v>
      </c>
      <c r="G27" s="9">
        <v>5.0000000000000001E-3</v>
      </c>
      <c r="H27" s="9">
        <v>5.0000000000000001E-3</v>
      </c>
      <c r="I27" s="9">
        <v>20</v>
      </c>
      <c r="J27" s="9">
        <v>0.1</v>
      </c>
    </row>
    <row r="28" spans="1:10" x14ac:dyDescent="0.25">
      <c r="A28" s="22" t="s">
        <v>197</v>
      </c>
      <c r="B28" s="15">
        <v>200</v>
      </c>
      <c r="C28" s="15">
        <v>1200</v>
      </c>
      <c r="D28" s="10">
        <v>0</v>
      </c>
      <c r="E28" s="9">
        <v>0</v>
      </c>
      <c r="F28" s="9">
        <v>1E-3</v>
      </c>
      <c r="G28" s="9">
        <v>5.0000000000000001E-3</v>
      </c>
      <c r="H28" s="9">
        <v>5.0000000000000001E-3</v>
      </c>
      <c r="I28" s="9">
        <v>20</v>
      </c>
      <c r="J28" s="9">
        <v>0.1</v>
      </c>
    </row>
    <row r="29" spans="1:10" x14ac:dyDescent="0.25">
      <c r="A29" s="22" t="s">
        <v>198</v>
      </c>
      <c r="B29" s="15">
        <v>200</v>
      </c>
      <c r="C29" s="15">
        <v>1500</v>
      </c>
      <c r="D29" s="10">
        <v>0</v>
      </c>
      <c r="E29" s="9">
        <v>0</v>
      </c>
      <c r="F29" s="9">
        <v>1E-3</v>
      </c>
      <c r="G29" s="9">
        <v>5.0000000000000001E-3</v>
      </c>
      <c r="H29" s="9">
        <v>5.0000000000000001E-3</v>
      </c>
      <c r="I29" s="9">
        <v>20</v>
      </c>
      <c r="J29" s="9">
        <v>0.1</v>
      </c>
    </row>
    <row r="30" spans="1:10" x14ac:dyDescent="0.25">
      <c r="A30" s="22" t="s">
        <v>199</v>
      </c>
      <c r="B30" s="15">
        <v>500</v>
      </c>
      <c r="C30" s="15">
        <v>1.2</v>
      </c>
      <c r="D30" s="10">
        <v>0</v>
      </c>
      <c r="E30" s="9">
        <v>0</v>
      </c>
      <c r="F30" s="9">
        <v>1E-3</v>
      </c>
      <c r="G30" s="9">
        <v>7.4999999999999997E-2</v>
      </c>
      <c r="H30" s="9">
        <v>7.4999999999999997E-2</v>
      </c>
      <c r="I30" s="9">
        <v>20</v>
      </c>
      <c r="J30" s="9">
        <v>0.1</v>
      </c>
    </row>
    <row r="31" spans="1:10" x14ac:dyDescent="0.25">
      <c r="A31" s="22" t="s">
        <v>200</v>
      </c>
      <c r="B31" s="15">
        <v>500</v>
      </c>
      <c r="C31" s="15">
        <v>4.5</v>
      </c>
      <c r="D31" s="10">
        <v>0</v>
      </c>
      <c r="E31" s="9">
        <v>0</v>
      </c>
      <c r="F31" s="9">
        <v>1E-3</v>
      </c>
      <c r="G31" s="9">
        <v>0.02</v>
      </c>
      <c r="H31" s="9">
        <v>0.02</v>
      </c>
      <c r="I31" s="9">
        <v>20</v>
      </c>
      <c r="J31" s="9">
        <v>0.1</v>
      </c>
    </row>
    <row r="32" spans="1:10" x14ac:dyDescent="0.25">
      <c r="A32" s="22" t="s">
        <v>201</v>
      </c>
      <c r="B32" s="15">
        <v>500</v>
      </c>
      <c r="C32" s="15">
        <v>9</v>
      </c>
      <c r="D32" s="10">
        <v>0</v>
      </c>
      <c r="E32" s="9">
        <v>0</v>
      </c>
      <c r="F32" s="9">
        <v>1E-3</v>
      </c>
      <c r="G32" s="9">
        <v>0.01</v>
      </c>
      <c r="H32" s="9">
        <v>0.01</v>
      </c>
      <c r="I32" s="9">
        <v>20</v>
      </c>
      <c r="J32" s="9">
        <v>0.1</v>
      </c>
    </row>
    <row r="33" spans="1:10" x14ac:dyDescent="0.25">
      <c r="A33" s="22" t="s">
        <v>202</v>
      </c>
      <c r="B33" s="15">
        <v>500</v>
      </c>
      <c r="C33" s="15">
        <v>15</v>
      </c>
      <c r="D33" s="10">
        <v>0</v>
      </c>
      <c r="E33" s="9">
        <v>0</v>
      </c>
      <c r="F33" s="9">
        <v>1E-3</v>
      </c>
      <c r="G33" s="9">
        <v>0.01</v>
      </c>
      <c r="H33" s="9">
        <v>0.01</v>
      </c>
      <c r="I33" s="9">
        <v>20</v>
      </c>
      <c r="J33" s="9">
        <v>0.1</v>
      </c>
    </row>
    <row r="34" spans="1:10" x14ac:dyDescent="0.25">
      <c r="A34" s="22" t="s">
        <v>203</v>
      </c>
      <c r="B34" s="15">
        <v>500</v>
      </c>
      <c r="C34" s="15">
        <v>20</v>
      </c>
      <c r="D34" s="10">
        <v>0</v>
      </c>
      <c r="E34" s="9">
        <v>0</v>
      </c>
      <c r="F34" s="9">
        <v>1E-3</v>
      </c>
      <c r="G34" s="9">
        <v>0.01</v>
      </c>
      <c r="H34" s="9">
        <v>0.01</v>
      </c>
      <c r="I34" s="9">
        <v>20</v>
      </c>
      <c r="J34" s="9">
        <v>0.1</v>
      </c>
    </row>
    <row r="35" spans="1:10" x14ac:dyDescent="0.25">
      <c r="A35" s="22" t="s">
        <v>204</v>
      </c>
      <c r="B35" s="15">
        <v>500</v>
      </c>
      <c r="C35" s="15">
        <v>30</v>
      </c>
      <c r="D35" s="10">
        <v>0</v>
      </c>
      <c r="E35" s="9">
        <v>0</v>
      </c>
      <c r="F35" s="9">
        <v>1E-3</v>
      </c>
      <c r="G35" s="9">
        <v>5.0000000000000001E-3</v>
      </c>
      <c r="H35" s="9">
        <v>5.0000000000000001E-3</v>
      </c>
      <c r="I35" s="9">
        <v>20</v>
      </c>
      <c r="J35" s="9">
        <v>0.1</v>
      </c>
    </row>
    <row r="36" spans="1:10" x14ac:dyDescent="0.25">
      <c r="A36" s="22" t="s">
        <v>205</v>
      </c>
      <c r="B36" s="15">
        <v>500</v>
      </c>
      <c r="C36" s="15">
        <v>150</v>
      </c>
      <c r="D36" s="10">
        <v>0</v>
      </c>
      <c r="E36" s="9">
        <v>0</v>
      </c>
      <c r="F36" s="9">
        <v>1E-3</v>
      </c>
      <c r="G36" s="9">
        <v>5.0000000000000001E-3</v>
      </c>
      <c r="H36" s="9">
        <v>5.0000000000000001E-3</v>
      </c>
      <c r="I36" s="9">
        <v>20</v>
      </c>
      <c r="J36" s="9">
        <v>0.1</v>
      </c>
    </row>
    <row r="37" spans="1:10" x14ac:dyDescent="0.25">
      <c r="A37" s="22" t="s">
        <v>206</v>
      </c>
      <c r="B37" s="15">
        <v>500</v>
      </c>
      <c r="C37" s="15">
        <v>300</v>
      </c>
      <c r="D37" s="10">
        <v>0</v>
      </c>
      <c r="E37" s="9">
        <v>0</v>
      </c>
      <c r="F37" s="9">
        <v>1E-3</v>
      </c>
      <c r="G37" s="9">
        <v>5.0000000000000001E-3</v>
      </c>
      <c r="H37" s="9">
        <v>5.0000000000000001E-3</v>
      </c>
      <c r="I37" s="9">
        <v>20</v>
      </c>
      <c r="J37" s="9">
        <v>0.1</v>
      </c>
    </row>
    <row r="38" spans="1:10" x14ac:dyDescent="0.25">
      <c r="A38" s="22" t="s">
        <v>207</v>
      </c>
      <c r="B38" s="15">
        <v>500</v>
      </c>
      <c r="C38" s="15">
        <v>400</v>
      </c>
      <c r="D38" s="10">
        <v>0</v>
      </c>
      <c r="E38" s="9">
        <v>0</v>
      </c>
      <c r="F38" s="9">
        <v>1E-3</v>
      </c>
      <c r="G38" s="9">
        <v>5.0000000000000001E-3</v>
      </c>
      <c r="H38" s="9">
        <v>5.0000000000000001E-3</v>
      </c>
      <c r="I38" s="9">
        <v>20</v>
      </c>
      <c r="J38" s="9">
        <v>0.1</v>
      </c>
    </row>
    <row r="39" spans="1:10" x14ac:dyDescent="0.25">
      <c r="A39" s="22" t="s">
        <v>208</v>
      </c>
      <c r="B39" s="15">
        <v>500</v>
      </c>
      <c r="C39" s="15">
        <v>600</v>
      </c>
      <c r="D39" s="10">
        <v>0</v>
      </c>
      <c r="E39" s="9">
        <v>0</v>
      </c>
      <c r="F39" s="9">
        <v>1E-3</v>
      </c>
      <c r="G39" s="9">
        <v>5.0000000000000001E-3</v>
      </c>
      <c r="H39" s="9">
        <v>5.0000000000000001E-3</v>
      </c>
      <c r="I39" s="9">
        <v>20</v>
      </c>
      <c r="J39" s="9">
        <v>0.1</v>
      </c>
    </row>
    <row r="40" spans="1:10" x14ac:dyDescent="0.25">
      <c r="A40" s="22" t="s">
        <v>209</v>
      </c>
      <c r="B40" s="15">
        <v>500</v>
      </c>
      <c r="C40" s="15">
        <v>800</v>
      </c>
      <c r="D40" s="10">
        <v>0</v>
      </c>
      <c r="E40" s="9">
        <v>0</v>
      </c>
      <c r="F40" s="9">
        <v>1E-3</v>
      </c>
      <c r="G40" s="9">
        <v>5.0000000000000001E-3</v>
      </c>
      <c r="H40" s="9">
        <v>5.0000000000000001E-3</v>
      </c>
      <c r="I40" s="9">
        <v>20</v>
      </c>
      <c r="J40" s="9">
        <v>0.1</v>
      </c>
    </row>
    <row r="41" spans="1:10" x14ac:dyDescent="0.25">
      <c r="A41" s="22" t="s">
        <v>210</v>
      </c>
      <c r="B41" s="15">
        <v>500</v>
      </c>
      <c r="C41" s="15">
        <v>1000</v>
      </c>
      <c r="D41" s="10">
        <v>0</v>
      </c>
      <c r="E41" s="9">
        <v>0</v>
      </c>
      <c r="F41" s="9">
        <v>1E-3</v>
      </c>
      <c r="G41" s="9">
        <v>5.0000000000000001E-3</v>
      </c>
      <c r="H41" s="9">
        <v>5.0000000000000001E-3</v>
      </c>
      <c r="I41" s="9">
        <v>20</v>
      </c>
      <c r="J41" s="9">
        <v>0.1</v>
      </c>
    </row>
    <row r="42" spans="1:10" x14ac:dyDescent="0.25">
      <c r="A42" s="22" t="s">
        <v>211</v>
      </c>
      <c r="B42" s="15">
        <v>500</v>
      </c>
      <c r="C42" s="15">
        <v>1200</v>
      </c>
      <c r="D42" s="10">
        <v>0</v>
      </c>
      <c r="E42" s="9">
        <v>0</v>
      </c>
      <c r="F42" s="9">
        <v>1E-3</v>
      </c>
      <c r="G42" s="9">
        <v>5.0000000000000001E-3</v>
      </c>
      <c r="H42" s="9">
        <v>5.0000000000000001E-3</v>
      </c>
      <c r="I42" s="9">
        <v>20</v>
      </c>
      <c r="J42" s="9">
        <v>0.1</v>
      </c>
    </row>
    <row r="43" spans="1:10" x14ac:dyDescent="0.25">
      <c r="A43" s="22" t="s">
        <v>212</v>
      </c>
      <c r="B43" s="15">
        <v>500</v>
      </c>
      <c r="C43" s="15">
        <v>1500</v>
      </c>
      <c r="D43" s="10">
        <v>0</v>
      </c>
      <c r="E43" s="9">
        <v>0</v>
      </c>
      <c r="F43" s="9">
        <v>1E-3</v>
      </c>
      <c r="G43" s="9">
        <v>5.0000000000000001E-3</v>
      </c>
      <c r="H43" s="9">
        <v>5.0000000000000001E-3</v>
      </c>
      <c r="I43" s="9">
        <v>20</v>
      </c>
      <c r="J43" s="9">
        <v>0.1</v>
      </c>
    </row>
    <row r="44" spans="1:10" x14ac:dyDescent="0.25">
      <c r="A44" s="22" t="s">
        <v>213</v>
      </c>
      <c r="B44" s="15">
        <v>800</v>
      </c>
      <c r="C44" s="15">
        <v>1.2</v>
      </c>
      <c r="D44" s="10">
        <v>0</v>
      </c>
      <c r="E44" s="9">
        <v>0</v>
      </c>
      <c r="F44" s="9">
        <v>1E-3</v>
      </c>
      <c r="G44" s="9">
        <v>7.4999999999999997E-2</v>
      </c>
      <c r="H44" s="9">
        <v>7.4999999999999997E-2</v>
      </c>
      <c r="I44" s="9">
        <v>20</v>
      </c>
      <c r="J44" s="9">
        <v>0.1</v>
      </c>
    </row>
    <row r="45" spans="1:10" x14ac:dyDescent="0.25">
      <c r="A45" s="22" t="s">
        <v>214</v>
      </c>
      <c r="B45" s="15">
        <v>800</v>
      </c>
      <c r="C45" s="15">
        <v>4.5</v>
      </c>
      <c r="D45" s="10">
        <v>0</v>
      </c>
      <c r="E45" s="9">
        <v>0</v>
      </c>
      <c r="F45" s="9">
        <v>1E-3</v>
      </c>
      <c r="G45" s="9">
        <v>0.02</v>
      </c>
      <c r="H45" s="9">
        <v>0.02</v>
      </c>
      <c r="I45" s="9">
        <v>20</v>
      </c>
      <c r="J45" s="9">
        <v>0.1</v>
      </c>
    </row>
    <row r="46" spans="1:10" x14ac:dyDescent="0.25">
      <c r="A46" s="22" t="s">
        <v>215</v>
      </c>
      <c r="B46" s="15">
        <v>800</v>
      </c>
      <c r="C46" s="15">
        <v>9</v>
      </c>
      <c r="D46" s="10">
        <v>0</v>
      </c>
      <c r="E46" s="9">
        <v>0</v>
      </c>
      <c r="F46" s="9">
        <v>1E-3</v>
      </c>
      <c r="G46" s="9">
        <v>0.01</v>
      </c>
      <c r="H46" s="9">
        <v>0.01</v>
      </c>
      <c r="I46" s="9">
        <v>20</v>
      </c>
      <c r="J46" s="9">
        <v>0.1</v>
      </c>
    </row>
    <row r="47" spans="1:10" x14ac:dyDescent="0.25">
      <c r="A47" s="22" t="s">
        <v>216</v>
      </c>
      <c r="B47" s="15">
        <v>800</v>
      </c>
      <c r="C47" s="15">
        <v>15</v>
      </c>
      <c r="D47" s="10">
        <v>0</v>
      </c>
      <c r="E47" s="9">
        <v>0</v>
      </c>
      <c r="F47" s="9">
        <v>1E-3</v>
      </c>
      <c r="G47" s="9">
        <v>0.01</v>
      </c>
      <c r="H47" s="9">
        <v>0.01</v>
      </c>
      <c r="I47" s="9">
        <v>20</v>
      </c>
      <c r="J47" s="9">
        <v>0.1</v>
      </c>
    </row>
    <row r="48" spans="1:10" x14ac:dyDescent="0.25">
      <c r="A48" s="22" t="s">
        <v>217</v>
      </c>
      <c r="B48" s="15">
        <v>800</v>
      </c>
      <c r="C48" s="15">
        <v>20</v>
      </c>
      <c r="D48" s="10">
        <v>0</v>
      </c>
      <c r="E48" s="9">
        <v>0</v>
      </c>
      <c r="F48" s="9">
        <v>1E-3</v>
      </c>
      <c r="G48" s="9">
        <v>0.01</v>
      </c>
      <c r="H48" s="9">
        <v>0.01</v>
      </c>
      <c r="I48" s="9">
        <v>20</v>
      </c>
      <c r="J48" s="9">
        <v>0.1</v>
      </c>
    </row>
    <row r="49" spans="1:10" x14ac:dyDescent="0.25">
      <c r="A49" s="22" t="s">
        <v>218</v>
      </c>
      <c r="B49" s="15">
        <v>800</v>
      </c>
      <c r="C49" s="15">
        <v>30</v>
      </c>
      <c r="D49" s="10">
        <v>0</v>
      </c>
      <c r="E49" s="9">
        <v>0</v>
      </c>
      <c r="F49" s="9">
        <v>1E-3</v>
      </c>
      <c r="G49" s="9">
        <v>5.0000000000000001E-3</v>
      </c>
      <c r="H49" s="9">
        <v>5.0000000000000001E-3</v>
      </c>
      <c r="I49" s="9">
        <v>20</v>
      </c>
      <c r="J49" s="9">
        <v>0.1</v>
      </c>
    </row>
    <row r="50" spans="1:10" x14ac:dyDescent="0.25">
      <c r="A50" s="22" t="s">
        <v>219</v>
      </c>
      <c r="B50" s="15">
        <v>800</v>
      </c>
      <c r="C50" s="15">
        <v>150</v>
      </c>
      <c r="D50" s="10">
        <v>0</v>
      </c>
      <c r="E50" s="9">
        <v>0</v>
      </c>
      <c r="F50" s="9">
        <v>1E-3</v>
      </c>
      <c r="G50" s="9">
        <v>5.0000000000000001E-3</v>
      </c>
      <c r="H50" s="9">
        <v>5.0000000000000001E-3</v>
      </c>
      <c r="I50" s="9">
        <v>20</v>
      </c>
      <c r="J50" s="9">
        <v>0.1</v>
      </c>
    </row>
    <row r="51" spans="1:10" x14ac:dyDescent="0.25">
      <c r="A51" s="22" t="s">
        <v>220</v>
      </c>
      <c r="B51" s="15">
        <v>800</v>
      </c>
      <c r="C51" s="15">
        <v>300</v>
      </c>
      <c r="D51" s="10">
        <v>0</v>
      </c>
      <c r="E51" s="9">
        <v>0</v>
      </c>
      <c r="F51" s="9">
        <v>1E-3</v>
      </c>
      <c r="G51" s="9">
        <v>5.0000000000000001E-3</v>
      </c>
      <c r="H51" s="9">
        <v>5.0000000000000001E-3</v>
      </c>
      <c r="I51" s="9">
        <v>20</v>
      </c>
      <c r="J51" s="9">
        <v>0.1</v>
      </c>
    </row>
    <row r="52" spans="1:10" x14ac:dyDescent="0.25">
      <c r="A52" s="22" t="s">
        <v>221</v>
      </c>
      <c r="B52" s="15">
        <v>800</v>
      </c>
      <c r="C52" s="15">
        <v>400</v>
      </c>
      <c r="D52" s="10">
        <v>0</v>
      </c>
      <c r="E52" s="9">
        <v>0</v>
      </c>
      <c r="F52" s="9">
        <v>1E-3</v>
      </c>
      <c r="G52" s="9">
        <v>5.0000000000000001E-3</v>
      </c>
      <c r="H52" s="9">
        <v>5.0000000000000001E-3</v>
      </c>
      <c r="I52" s="9">
        <v>20</v>
      </c>
      <c r="J52" s="9">
        <v>0.1</v>
      </c>
    </row>
    <row r="53" spans="1:10" x14ac:dyDescent="0.25">
      <c r="A53" s="22" t="s">
        <v>222</v>
      </c>
      <c r="B53" s="15">
        <v>800</v>
      </c>
      <c r="C53" s="15">
        <v>600</v>
      </c>
      <c r="D53" s="10">
        <v>0</v>
      </c>
      <c r="E53" s="9">
        <v>0</v>
      </c>
      <c r="F53" s="9">
        <v>1E-3</v>
      </c>
      <c r="G53" s="9">
        <v>5.0000000000000001E-3</v>
      </c>
      <c r="H53" s="9">
        <v>5.0000000000000001E-3</v>
      </c>
      <c r="I53" s="9">
        <v>20</v>
      </c>
      <c r="J53" s="9">
        <v>0.1</v>
      </c>
    </row>
    <row r="54" spans="1:10" x14ac:dyDescent="0.25">
      <c r="A54" s="22" t="s">
        <v>223</v>
      </c>
      <c r="B54" s="15">
        <v>800</v>
      </c>
      <c r="C54" s="15">
        <v>800</v>
      </c>
      <c r="D54" s="10">
        <v>0</v>
      </c>
      <c r="E54" s="9">
        <v>0</v>
      </c>
      <c r="F54" s="9">
        <v>1E-3</v>
      </c>
      <c r="G54" s="9">
        <v>5.0000000000000001E-3</v>
      </c>
      <c r="H54" s="9">
        <v>5.0000000000000001E-3</v>
      </c>
      <c r="I54" s="9">
        <v>20</v>
      </c>
      <c r="J54" s="9">
        <v>0.1</v>
      </c>
    </row>
    <row r="55" spans="1:10" x14ac:dyDescent="0.25">
      <c r="A55" s="22" t="s">
        <v>224</v>
      </c>
      <c r="B55" s="15">
        <v>800</v>
      </c>
      <c r="C55" s="15">
        <v>1000</v>
      </c>
      <c r="D55" s="10">
        <v>0</v>
      </c>
      <c r="E55" s="9">
        <v>0</v>
      </c>
      <c r="F55" s="9">
        <v>1E-3</v>
      </c>
      <c r="G55" s="9">
        <v>5.0000000000000001E-3</v>
      </c>
      <c r="H55" s="9">
        <v>5.0000000000000001E-3</v>
      </c>
      <c r="I55" s="9">
        <v>20</v>
      </c>
      <c r="J55" s="9">
        <v>0.1</v>
      </c>
    </row>
    <row r="56" spans="1:10" x14ac:dyDescent="0.25">
      <c r="A56" s="22" t="s">
        <v>225</v>
      </c>
      <c r="B56" s="15">
        <v>800</v>
      </c>
      <c r="C56" s="15">
        <v>1200</v>
      </c>
      <c r="D56" s="10">
        <v>0</v>
      </c>
      <c r="E56" s="9">
        <v>0</v>
      </c>
      <c r="F56" s="9">
        <v>1E-3</v>
      </c>
      <c r="G56" s="9">
        <v>5.0000000000000001E-3</v>
      </c>
      <c r="H56" s="9">
        <v>5.0000000000000001E-3</v>
      </c>
      <c r="I56" s="9">
        <v>20</v>
      </c>
      <c r="J56" s="9">
        <v>0.1</v>
      </c>
    </row>
    <row r="57" spans="1:10" x14ac:dyDescent="0.25">
      <c r="A57" s="22" t="s">
        <v>226</v>
      </c>
      <c r="B57" s="15">
        <v>800</v>
      </c>
      <c r="C57" s="15">
        <v>1500</v>
      </c>
      <c r="D57" s="10">
        <v>0</v>
      </c>
      <c r="E57" s="9">
        <v>0</v>
      </c>
      <c r="F57" s="9">
        <v>1E-3</v>
      </c>
      <c r="G57" s="9">
        <v>5.0000000000000001E-3</v>
      </c>
      <c r="H57" s="9">
        <v>5.0000000000000001E-3</v>
      </c>
      <c r="I57" s="9">
        <v>20</v>
      </c>
      <c r="J57" s="9">
        <v>0.1</v>
      </c>
    </row>
    <row r="58" spans="1:10" x14ac:dyDescent="0.25">
      <c r="A58" s="22" t="s">
        <v>227</v>
      </c>
      <c r="B58" s="15">
        <v>1000</v>
      </c>
      <c r="C58" s="15">
        <v>1.2</v>
      </c>
      <c r="D58" s="10">
        <v>0</v>
      </c>
      <c r="E58" s="9">
        <v>0</v>
      </c>
      <c r="F58" s="9">
        <v>1E-3</v>
      </c>
      <c r="G58" s="9">
        <v>7.4999999999999997E-2</v>
      </c>
      <c r="H58" s="9">
        <v>7.4999999999999997E-2</v>
      </c>
      <c r="I58" s="9">
        <v>20</v>
      </c>
      <c r="J58" s="9">
        <v>0.1</v>
      </c>
    </row>
    <row r="59" spans="1:10" x14ac:dyDescent="0.25">
      <c r="A59" s="22" t="s">
        <v>228</v>
      </c>
      <c r="B59" s="15">
        <v>1000</v>
      </c>
      <c r="C59" s="15">
        <v>4.5</v>
      </c>
      <c r="D59" s="10">
        <v>0</v>
      </c>
      <c r="E59" s="9">
        <v>0</v>
      </c>
      <c r="F59" s="9">
        <v>1E-3</v>
      </c>
      <c r="G59" s="9">
        <v>0.02</v>
      </c>
      <c r="H59" s="9">
        <v>0.02</v>
      </c>
      <c r="I59" s="9">
        <v>20</v>
      </c>
      <c r="J59" s="9">
        <v>0.1</v>
      </c>
    </row>
    <row r="60" spans="1:10" x14ac:dyDescent="0.25">
      <c r="A60" s="22" t="s">
        <v>229</v>
      </c>
      <c r="B60" s="15">
        <v>1000</v>
      </c>
      <c r="C60" s="15">
        <v>9</v>
      </c>
      <c r="D60" s="10">
        <v>0</v>
      </c>
      <c r="E60" s="9">
        <v>0</v>
      </c>
      <c r="F60" s="9">
        <v>1E-3</v>
      </c>
      <c r="G60" s="9">
        <v>0.01</v>
      </c>
      <c r="H60" s="9">
        <v>0.01</v>
      </c>
      <c r="I60" s="9">
        <v>20</v>
      </c>
      <c r="J60" s="9">
        <v>0.1</v>
      </c>
    </row>
    <row r="61" spans="1:10" x14ac:dyDescent="0.25">
      <c r="A61" s="22" t="s">
        <v>230</v>
      </c>
      <c r="B61" s="15">
        <v>1000</v>
      </c>
      <c r="C61" s="15">
        <v>15</v>
      </c>
      <c r="D61" s="10">
        <v>0</v>
      </c>
      <c r="E61" s="9">
        <v>0</v>
      </c>
      <c r="F61" s="9">
        <v>1E-3</v>
      </c>
      <c r="G61" s="9">
        <v>0.01</v>
      </c>
      <c r="H61" s="9">
        <v>0.01</v>
      </c>
      <c r="I61" s="9">
        <v>20</v>
      </c>
      <c r="J61" s="9">
        <v>0.1</v>
      </c>
    </row>
    <row r="62" spans="1:10" x14ac:dyDescent="0.25">
      <c r="A62" s="22" t="s">
        <v>231</v>
      </c>
      <c r="B62" s="15">
        <v>1000</v>
      </c>
      <c r="C62" s="15">
        <v>20</v>
      </c>
      <c r="D62" s="10">
        <v>0</v>
      </c>
      <c r="E62" s="9">
        <v>0</v>
      </c>
      <c r="F62" s="9">
        <v>1E-3</v>
      </c>
      <c r="G62" s="9">
        <v>0.01</v>
      </c>
      <c r="H62" s="9">
        <v>0.01</v>
      </c>
      <c r="I62" s="9">
        <v>20</v>
      </c>
      <c r="J62" s="9">
        <v>0.1</v>
      </c>
    </row>
    <row r="63" spans="1:10" x14ac:dyDescent="0.25">
      <c r="A63" s="22" t="s">
        <v>232</v>
      </c>
      <c r="B63" s="15">
        <v>1000</v>
      </c>
      <c r="C63" s="15">
        <v>30</v>
      </c>
      <c r="D63" s="10">
        <v>0</v>
      </c>
      <c r="E63" s="9">
        <v>0</v>
      </c>
      <c r="F63" s="9">
        <v>1E-3</v>
      </c>
      <c r="G63" s="9">
        <v>5.0000000000000001E-3</v>
      </c>
      <c r="H63" s="9">
        <v>5.0000000000000001E-3</v>
      </c>
      <c r="I63" s="9">
        <v>20</v>
      </c>
      <c r="J63" s="9">
        <v>0.1</v>
      </c>
    </row>
    <row r="64" spans="1:10" x14ac:dyDescent="0.25">
      <c r="A64" s="22" t="s">
        <v>233</v>
      </c>
      <c r="B64" s="15">
        <v>1000</v>
      </c>
      <c r="C64" s="15">
        <v>150</v>
      </c>
      <c r="D64" s="10">
        <v>0</v>
      </c>
      <c r="E64" s="9">
        <v>0</v>
      </c>
      <c r="F64" s="9">
        <v>1E-3</v>
      </c>
      <c r="G64" s="9">
        <v>5.0000000000000001E-3</v>
      </c>
      <c r="H64" s="9">
        <v>5.0000000000000001E-3</v>
      </c>
      <c r="I64" s="9">
        <v>20</v>
      </c>
      <c r="J64" s="9">
        <v>0.1</v>
      </c>
    </row>
    <row r="65" spans="1:10" x14ac:dyDescent="0.25">
      <c r="A65" s="22" t="s">
        <v>234</v>
      </c>
      <c r="B65" s="15">
        <v>1000</v>
      </c>
      <c r="C65" s="15">
        <v>300</v>
      </c>
      <c r="D65" s="10">
        <v>0</v>
      </c>
      <c r="E65" s="9">
        <v>0</v>
      </c>
      <c r="F65" s="9">
        <v>1E-3</v>
      </c>
      <c r="G65" s="9">
        <v>5.0000000000000001E-3</v>
      </c>
      <c r="H65" s="9">
        <v>5.0000000000000001E-3</v>
      </c>
      <c r="I65" s="9">
        <v>20</v>
      </c>
      <c r="J65" s="9">
        <v>0.1</v>
      </c>
    </row>
    <row r="66" spans="1:10" x14ac:dyDescent="0.25">
      <c r="A66" s="22" t="s">
        <v>235</v>
      </c>
      <c r="B66" s="15">
        <v>1000</v>
      </c>
      <c r="C66" s="15">
        <v>400</v>
      </c>
      <c r="D66" s="10">
        <v>0</v>
      </c>
      <c r="E66" s="9">
        <v>0</v>
      </c>
      <c r="F66" s="9">
        <v>1E-3</v>
      </c>
      <c r="G66" s="9">
        <v>5.0000000000000001E-3</v>
      </c>
      <c r="H66" s="9">
        <v>5.0000000000000001E-3</v>
      </c>
      <c r="I66" s="9">
        <v>20</v>
      </c>
      <c r="J66" s="9">
        <v>0.1</v>
      </c>
    </row>
    <row r="67" spans="1:10" x14ac:dyDescent="0.25">
      <c r="A67" s="22" t="s">
        <v>236</v>
      </c>
      <c r="B67" s="15">
        <v>1000</v>
      </c>
      <c r="C67" s="15">
        <v>600</v>
      </c>
      <c r="D67" s="10">
        <v>0</v>
      </c>
      <c r="E67" s="9">
        <v>0</v>
      </c>
      <c r="F67" s="9">
        <v>1E-3</v>
      </c>
      <c r="G67" s="9">
        <v>5.0000000000000001E-3</v>
      </c>
      <c r="H67" s="9">
        <v>5.0000000000000001E-3</v>
      </c>
      <c r="I67" s="9">
        <v>20</v>
      </c>
      <c r="J67" s="9">
        <v>0.1</v>
      </c>
    </row>
    <row r="68" spans="1:10" x14ac:dyDescent="0.25">
      <c r="A68" s="22" t="s">
        <v>237</v>
      </c>
      <c r="B68" s="15">
        <v>1000</v>
      </c>
      <c r="C68" s="15">
        <v>800</v>
      </c>
      <c r="D68" s="10">
        <v>0</v>
      </c>
      <c r="E68" s="9">
        <v>0</v>
      </c>
      <c r="F68" s="9">
        <v>1E-3</v>
      </c>
      <c r="G68" s="9">
        <v>5.0000000000000001E-3</v>
      </c>
      <c r="H68" s="9">
        <v>5.0000000000000001E-3</v>
      </c>
      <c r="I68" s="9">
        <v>20</v>
      </c>
      <c r="J68" s="9">
        <v>0.1</v>
      </c>
    </row>
    <row r="69" spans="1:10" x14ac:dyDescent="0.25">
      <c r="A69" s="22" t="s">
        <v>238</v>
      </c>
      <c r="B69" s="15">
        <v>1000</v>
      </c>
      <c r="C69" s="15">
        <v>1000</v>
      </c>
      <c r="D69" s="10">
        <v>0</v>
      </c>
      <c r="E69" s="9">
        <v>0</v>
      </c>
      <c r="F69" s="9">
        <v>1E-3</v>
      </c>
      <c r="G69" s="9">
        <v>5.0000000000000001E-3</v>
      </c>
      <c r="H69" s="9">
        <v>5.0000000000000001E-3</v>
      </c>
      <c r="I69" s="9">
        <v>20</v>
      </c>
      <c r="J69" s="9">
        <v>0.1</v>
      </c>
    </row>
    <row r="70" spans="1:10" x14ac:dyDescent="0.25">
      <c r="A70" s="22" t="s">
        <v>239</v>
      </c>
      <c r="B70" s="15">
        <v>1000</v>
      </c>
      <c r="C70" s="15">
        <v>1200</v>
      </c>
      <c r="D70" s="10">
        <v>0</v>
      </c>
      <c r="E70" s="9">
        <v>0</v>
      </c>
      <c r="F70" s="9">
        <v>1E-3</v>
      </c>
      <c r="G70" s="9">
        <v>5.0000000000000001E-3</v>
      </c>
      <c r="H70" s="9">
        <v>5.0000000000000001E-3</v>
      </c>
      <c r="I70" s="9">
        <v>20</v>
      </c>
      <c r="J70" s="9">
        <v>0.1</v>
      </c>
    </row>
    <row r="71" spans="1:10" x14ac:dyDescent="0.25">
      <c r="A71" s="22" t="s">
        <v>240</v>
      </c>
      <c r="B71" s="15">
        <v>1000</v>
      </c>
      <c r="C71" s="15">
        <v>1500</v>
      </c>
      <c r="D71" s="10">
        <v>0</v>
      </c>
      <c r="E71" s="9">
        <v>0</v>
      </c>
      <c r="F71" s="9">
        <v>1E-3</v>
      </c>
      <c r="G71" s="9">
        <v>5.0000000000000001E-3</v>
      </c>
      <c r="H71" s="9">
        <v>5.0000000000000001E-3</v>
      </c>
      <c r="I71" s="9">
        <v>20</v>
      </c>
      <c r="J71" s="9">
        <v>0.1</v>
      </c>
    </row>
    <row r="72" spans="1:10" x14ac:dyDescent="0.25">
      <c r="A72" s="22" t="s">
        <v>241</v>
      </c>
      <c r="B72" s="15">
        <v>1200</v>
      </c>
      <c r="C72" s="15">
        <v>1.2</v>
      </c>
      <c r="D72" s="10">
        <v>0</v>
      </c>
      <c r="E72" s="9">
        <v>0</v>
      </c>
      <c r="F72" s="9">
        <v>1E-3</v>
      </c>
      <c r="G72" s="9">
        <v>7.4999999999999997E-2</v>
      </c>
      <c r="H72" s="9">
        <v>7.4999999999999997E-2</v>
      </c>
      <c r="I72" s="9">
        <v>20</v>
      </c>
      <c r="J72" s="9">
        <v>0.1</v>
      </c>
    </row>
    <row r="73" spans="1:10" x14ac:dyDescent="0.25">
      <c r="A73" s="22" t="s">
        <v>242</v>
      </c>
      <c r="B73" s="15">
        <v>1200</v>
      </c>
      <c r="C73" s="15">
        <v>4.5</v>
      </c>
      <c r="D73" s="10">
        <v>0</v>
      </c>
      <c r="E73" s="9">
        <v>0</v>
      </c>
      <c r="F73" s="9">
        <v>1E-3</v>
      </c>
      <c r="G73" s="9">
        <v>0.02</v>
      </c>
      <c r="H73" s="9">
        <v>0.02</v>
      </c>
      <c r="I73" s="9">
        <v>20</v>
      </c>
      <c r="J73" s="9">
        <v>0.1</v>
      </c>
    </row>
    <row r="74" spans="1:10" x14ac:dyDescent="0.25">
      <c r="A74" s="22" t="s">
        <v>243</v>
      </c>
      <c r="B74" s="15">
        <v>1200</v>
      </c>
      <c r="C74" s="15">
        <v>9</v>
      </c>
      <c r="D74" s="10">
        <v>0</v>
      </c>
      <c r="E74" s="9">
        <v>0</v>
      </c>
      <c r="F74" s="9">
        <v>1E-3</v>
      </c>
      <c r="G74" s="9">
        <v>0.01</v>
      </c>
      <c r="H74" s="9">
        <v>0.01</v>
      </c>
      <c r="I74" s="9">
        <v>20</v>
      </c>
      <c r="J74" s="9">
        <v>0.1</v>
      </c>
    </row>
    <row r="75" spans="1:10" x14ac:dyDescent="0.25">
      <c r="A75" s="22" t="s">
        <v>244</v>
      </c>
      <c r="B75" s="15">
        <v>1200</v>
      </c>
      <c r="C75" s="15">
        <v>15</v>
      </c>
      <c r="D75" s="10">
        <v>0</v>
      </c>
      <c r="E75" s="9">
        <v>0</v>
      </c>
      <c r="F75" s="9">
        <v>1E-3</v>
      </c>
      <c r="G75" s="9">
        <v>0.01</v>
      </c>
      <c r="H75" s="9">
        <v>0.01</v>
      </c>
      <c r="I75" s="9">
        <v>20</v>
      </c>
      <c r="J75" s="9">
        <v>0.1</v>
      </c>
    </row>
    <row r="76" spans="1:10" x14ac:dyDescent="0.25">
      <c r="A76" s="22" t="s">
        <v>245</v>
      </c>
      <c r="B76" s="15">
        <v>1200</v>
      </c>
      <c r="C76" s="15">
        <v>20</v>
      </c>
      <c r="D76" s="10">
        <v>0</v>
      </c>
      <c r="E76" s="9">
        <v>0</v>
      </c>
      <c r="F76" s="9">
        <v>1E-3</v>
      </c>
      <c r="G76" s="9">
        <v>0.01</v>
      </c>
      <c r="H76" s="9">
        <v>0.01</v>
      </c>
      <c r="I76" s="9">
        <v>20</v>
      </c>
      <c r="J76" s="9">
        <v>0.1</v>
      </c>
    </row>
    <row r="77" spans="1:10" x14ac:dyDescent="0.25">
      <c r="A77" s="22" t="s">
        <v>246</v>
      </c>
      <c r="B77" s="15">
        <v>1200</v>
      </c>
      <c r="C77" s="15">
        <v>30</v>
      </c>
      <c r="D77" s="10">
        <v>0</v>
      </c>
      <c r="E77" s="9">
        <v>0</v>
      </c>
      <c r="F77" s="9">
        <v>1E-3</v>
      </c>
      <c r="G77" s="9">
        <v>5.0000000000000001E-3</v>
      </c>
      <c r="H77" s="9">
        <v>5.0000000000000001E-3</v>
      </c>
      <c r="I77" s="9">
        <v>20</v>
      </c>
      <c r="J77" s="9">
        <v>0.1</v>
      </c>
    </row>
    <row r="78" spans="1:10" x14ac:dyDescent="0.25">
      <c r="A78" s="22" t="s">
        <v>247</v>
      </c>
      <c r="B78" s="15">
        <v>1200</v>
      </c>
      <c r="C78" s="15">
        <v>150</v>
      </c>
      <c r="D78" s="10">
        <v>0</v>
      </c>
      <c r="E78" s="9">
        <v>0</v>
      </c>
      <c r="F78" s="9">
        <v>1E-3</v>
      </c>
      <c r="G78" s="9">
        <v>5.0000000000000001E-3</v>
      </c>
      <c r="H78" s="9">
        <v>5.0000000000000001E-3</v>
      </c>
      <c r="I78" s="9">
        <v>20</v>
      </c>
      <c r="J78" s="9">
        <v>0.1</v>
      </c>
    </row>
    <row r="79" spans="1:10" x14ac:dyDescent="0.25">
      <c r="A79" s="22" t="s">
        <v>248</v>
      </c>
      <c r="B79" s="15">
        <v>1200</v>
      </c>
      <c r="C79" s="15">
        <v>300</v>
      </c>
      <c r="D79" s="10">
        <v>0</v>
      </c>
      <c r="E79" s="9">
        <v>0</v>
      </c>
      <c r="F79" s="9">
        <v>1E-3</v>
      </c>
      <c r="G79" s="9">
        <v>5.0000000000000001E-3</v>
      </c>
      <c r="H79" s="9">
        <v>5.0000000000000001E-3</v>
      </c>
      <c r="I79" s="9">
        <v>20</v>
      </c>
      <c r="J79" s="9">
        <v>0.1</v>
      </c>
    </row>
    <row r="80" spans="1:10" x14ac:dyDescent="0.25">
      <c r="A80" s="22" t="s">
        <v>249</v>
      </c>
      <c r="B80" s="15">
        <v>1200</v>
      </c>
      <c r="C80" s="15">
        <v>400</v>
      </c>
      <c r="D80" s="10">
        <v>0</v>
      </c>
      <c r="E80" s="9">
        <v>0</v>
      </c>
      <c r="F80" s="9">
        <v>1E-3</v>
      </c>
      <c r="G80" s="9">
        <v>5.0000000000000001E-3</v>
      </c>
      <c r="H80" s="9">
        <v>5.0000000000000001E-3</v>
      </c>
      <c r="I80" s="9">
        <v>20</v>
      </c>
      <c r="J80" s="9">
        <v>0.1</v>
      </c>
    </row>
    <row r="81" spans="1:10" x14ac:dyDescent="0.25">
      <c r="A81" s="22" t="s">
        <v>250</v>
      </c>
      <c r="B81" s="15">
        <v>1200</v>
      </c>
      <c r="C81" s="15">
        <v>600</v>
      </c>
      <c r="D81" s="10">
        <v>0</v>
      </c>
      <c r="E81" s="9">
        <v>0</v>
      </c>
      <c r="F81" s="9">
        <v>1E-3</v>
      </c>
      <c r="G81" s="9">
        <v>5.0000000000000001E-3</v>
      </c>
      <c r="H81" s="9">
        <v>5.0000000000000001E-3</v>
      </c>
      <c r="I81" s="9">
        <v>20</v>
      </c>
      <c r="J81" s="9">
        <v>0.1</v>
      </c>
    </row>
    <row r="82" spans="1:10" x14ac:dyDescent="0.25">
      <c r="A82" s="22" t="s">
        <v>251</v>
      </c>
      <c r="B82" s="15">
        <v>1200</v>
      </c>
      <c r="C82" s="15">
        <v>800</v>
      </c>
      <c r="D82" s="10">
        <v>0</v>
      </c>
      <c r="E82" s="9">
        <v>0</v>
      </c>
      <c r="F82" s="9">
        <v>1E-3</v>
      </c>
      <c r="G82" s="9">
        <v>5.0000000000000001E-3</v>
      </c>
      <c r="H82" s="9">
        <v>5.0000000000000001E-3</v>
      </c>
      <c r="I82" s="9">
        <v>20</v>
      </c>
      <c r="J82" s="9">
        <v>0.1</v>
      </c>
    </row>
    <row r="83" spans="1:10" x14ac:dyDescent="0.25">
      <c r="A83" s="22" t="s">
        <v>252</v>
      </c>
      <c r="B83" s="15">
        <v>1200</v>
      </c>
      <c r="C83" s="15">
        <v>1000</v>
      </c>
      <c r="D83" s="10">
        <v>0</v>
      </c>
      <c r="E83" s="9">
        <v>0</v>
      </c>
      <c r="F83" s="9">
        <v>1E-3</v>
      </c>
      <c r="G83" s="9">
        <v>5.0000000000000001E-3</v>
      </c>
      <c r="H83" s="9">
        <v>5.0000000000000001E-3</v>
      </c>
      <c r="I83" s="9">
        <v>20</v>
      </c>
      <c r="J83" s="9">
        <v>0.1</v>
      </c>
    </row>
    <row r="84" spans="1:10" x14ac:dyDescent="0.25">
      <c r="A84" s="22" t="s">
        <v>253</v>
      </c>
      <c r="B84" s="15">
        <v>1200</v>
      </c>
      <c r="C84" s="15">
        <v>1200</v>
      </c>
      <c r="D84" s="10">
        <v>0</v>
      </c>
      <c r="E84" s="9">
        <v>0</v>
      </c>
      <c r="F84" s="9">
        <v>1E-3</v>
      </c>
      <c r="G84" s="9">
        <v>5.0000000000000001E-3</v>
      </c>
      <c r="H84" s="9">
        <v>5.0000000000000001E-3</v>
      </c>
      <c r="I84" s="9">
        <v>20</v>
      </c>
      <c r="J84" s="9">
        <v>0.1</v>
      </c>
    </row>
    <row r="85" spans="1:10" x14ac:dyDescent="0.25">
      <c r="A85" s="22" t="s">
        <v>254</v>
      </c>
      <c r="B85" s="15">
        <v>1200</v>
      </c>
      <c r="C85" s="15">
        <v>1500</v>
      </c>
      <c r="D85" s="10">
        <v>0</v>
      </c>
      <c r="E85" s="9">
        <v>0</v>
      </c>
      <c r="F85" s="9">
        <v>1E-3</v>
      </c>
      <c r="G85" s="9">
        <v>5.0000000000000001E-3</v>
      </c>
      <c r="H85" s="9">
        <v>5.0000000000000001E-3</v>
      </c>
      <c r="I85" s="9">
        <v>20</v>
      </c>
      <c r="J85" s="9">
        <v>0.1</v>
      </c>
    </row>
    <row r="86" spans="1:10" x14ac:dyDescent="0.25">
      <c r="A86" s="22" t="s">
        <v>255</v>
      </c>
      <c r="B86" s="15">
        <v>1500</v>
      </c>
      <c r="C86" s="15">
        <v>1.2</v>
      </c>
      <c r="D86" s="10">
        <v>0</v>
      </c>
      <c r="E86" s="9">
        <v>0</v>
      </c>
      <c r="F86" s="9">
        <v>1E-3</v>
      </c>
      <c r="G86" s="9">
        <v>7.4999999999999997E-2</v>
      </c>
      <c r="H86" s="9">
        <v>7.4999999999999997E-2</v>
      </c>
      <c r="I86" s="9">
        <v>20</v>
      </c>
      <c r="J86" s="9">
        <v>0.1</v>
      </c>
    </row>
    <row r="87" spans="1:10" x14ac:dyDescent="0.25">
      <c r="A87" s="22" t="s">
        <v>256</v>
      </c>
      <c r="B87" s="15">
        <v>1500</v>
      </c>
      <c r="C87" s="15">
        <v>4.5</v>
      </c>
      <c r="D87" s="10">
        <v>0</v>
      </c>
      <c r="E87" s="9">
        <v>0</v>
      </c>
      <c r="F87" s="9">
        <v>1E-3</v>
      </c>
      <c r="G87" s="9">
        <v>0.02</v>
      </c>
      <c r="H87" s="9">
        <v>0.02</v>
      </c>
      <c r="I87" s="9">
        <v>20</v>
      </c>
      <c r="J87" s="9">
        <v>0.1</v>
      </c>
    </row>
    <row r="88" spans="1:10" x14ac:dyDescent="0.25">
      <c r="A88" s="22" t="s">
        <v>257</v>
      </c>
      <c r="B88" s="15">
        <v>1500</v>
      </c>
      <c r="C88" s="15">
        <v>9</v>
      </c>
      <c r="D88" s="10">
        <v>0</v>
      </c>
      <c r="E88" s="9">
        <v>0</v>
      </c>
      <c r="F88" s="9">
        <v>1E-3</v>
      </c>
      <c r="G88" s="9">
        <v>0.01</v>
      </c>
      <c r="H88" s="9">
        <v>0.01</v>
      </c>
      <c r="I88" s="9">
        <v>20</v>
      </c>
      <c r="J88" s="9">
        <v>0.1</v>
      </c>
    </row>
    <row r="89" spans="1:10" x14ac:dyDescent="0.25">
      <c r="A89" s="22" t="s">
        <v>258</v>
      </c>
      <c r="B89" s="15">
        <v>1500</v>
      </c>
      <c r="C89" s="15">
        <v>15</v>
      </c>
      <c r="D89" s="10">
        <v>0</v>
      </c>
      <c r="E89" s="9">
        <v>0</v>
      </c>
      <c r="F89" s="9">
        <v>1E-3</v>
      </c>
      <c r="G89" s="9">
        <v>0.01</v>
      </c>
      <c r="H89" s="9">
        <v>0.01</v>
      </c>
      <c r="I89" s="9">
        <v>20</v>
      </c>
      <c r="J89" s="9">
        <v>0.1</v>
      </c>
    </row>
    <row r="90" spans="1:10" x14ac:dyDescent="0.25">
      <c r="A90" s="22" t="s">
        <v>259</v>
      </c>
      <c r="B90" s="15">
        <v>1500</v>
      </c>
      <c r="C90" s="15">
        <v>20</v>
      </c>
      <c r="D90" s="10">
        <v>0</v>
      </c>
      <c r="E90" s="9">
        <v>0</v>
      </c>
      <c r="F90" s="9">
        <v>1E-3</v>
      </c>
      <c r="G90" s="9">
        <v>0.01</v>
      </c>
      <c r="H90" s="9">
        <v>0.01</v>
      </c>
      <c r="I90" s="9">
        <v>20</v>
      </c>
      <c r="J90" s="9">
        <v>0.1</v>
      </c>
    </row>
    <row r="91" spans="1:10" x14ac:dyDescent="0.25">
      <c r="A91" s="22" t="s">
        <v>260</v>
      </c>
      <c r="B91" s="15">
        <v>1500</v>
      </c>
      <c r="C91" s="15">
        <v>30</v>
      </c>
      <c r="D91" s="10">
        <v>0</v>
      </c>
      <c r="E91" s="9">
        <v>0</v>
      </c>
      <c r="F91" s="9">
        <v>1E-3</v>
      </c>
      <c r="G91" s="9">
        <v>5.0000000000000001E-3</v>
      </c>
      <c r="H91" s="9">
        <v>5.0000000000000001E-3</v>
      </c>
      <c r="I91" s="9">
        <v>20</v>
      </c>
      <c r="J91" s="9">
        <v>0.1</v>
      </c>
    </row>
    <row r="92" spans="1:10" x14ac:dyDescent="0.25">
      <c r="A92" s="22" t="s">
        <v>261</v>
      </c>
      <c r="B92" s="15">
        <v>1500</v>
      </c>
      <c r="C92" s="15">
        <v>150</v>
      </c>
      <c r="D92" s="10">
        <v>0</v>
      </c>
      <c r="E92" s="9">
        <v>0</v>
      </c>
      <c r="F92" s="9">
        <v>1E-3</v>
      </c>
      <c r="G92" s="9">
        <v>5.0000000000000001E-3</v>
      </c>
      <c r="H92" s="9">
        <v>5.0000000000000001E-3</v>
      </c>
      <c r="I92" s="9">
        <v>20</v>
      </c>
      <c r="J92" s="9">
        <v>0.1</v>
      </c>
    </row>
    <row r="93" spans="1:10" x14ac:dyDescent="0.25">
      <c r="A93" s="22" t="s">
        <v>262</v>
      </c>
      <c r="B93" s="15">
        <v>1500</v>
      </c>
      <c r="C93" s="15">
        <v>300</v>
      </c>
      <c r="D93" s="10">
        <v>0</v>
      </c>
      <c r="E93" s="9">
        <v>0</v>
      </c>
      <c r="F93" s="9">
        <v>1E-3</v>
      </c>
      <c r="G93" s="9">
        <v>5.0000000000000001E-3</v>
      </c>
      <c r="H93" s="9">
        <v>5.0000000000000001E-3</v>
      </c>
      <c r="I93" s="9">
        <v>20</v>
      </c>
      <c r="J93" s="9">
        <v>0.1</v>
      </c>
    </row>
    <row r="94" spans="1:10" x14ac:dyDescent="0.25">
      <c r="A94" s="22" t="s">
        <v>263</v>
      </c>
      <c r="B94" s="15">
        <v>1500</v>
      </c>
      <c r="C94" s="15">
        <v>400</v>
      </c>
      <c r="D94" s="10">
        <v>0</v>
      </c>
      <c r="E94" s="9">
        <v>0</v>
      </c>
      <c r="F94" s="9">
        <v>1E-3</v>
      </c>
      <c r="G94" s="9">
        <v>5.0000000000000001E-3</v>
      </c>
      <c r="H94" s="9">
        <v>5.0000000000000001E-3</v>
      </c>
      <c r="I94" s="9">
        <v>20</v>
      </c>
      <c r="J94" s="9">
        <v>0.1</v>
      </c>
    </row>
    <row r="95" spans="1:10" x14ac:dyDescent="0.25">
      <c r="A95" s="22" t="s">
        <v>264</v>
      </c>
      <c r="B95" s="15">
        <v>1500</v>
      </c>
      <c r="C95" s="15">
        <v>600</v>
      </c>
      <c r="D95" s="10">
        <v>0</v>
      </c>
      <c r="E95" s="9">
        <v>0</v>
      </c>
      <c r="F95" s="9">
        <v>1E-3</v>
      </c>
      <c r="G95" s="9">
        <v>5.0000000000000001E-3</v>
      </c>
      <c r="H95" s="9">
        <v>5.0000000000000001E-3</v>
      </c>
      <c r="I95" s="9">
        <v>20</v>
      </c>
      <c r="J95" s="9">
        <v>0.1</v>
      </c>
    </row>
    <row r="96" spans="1:10" x14ac:dyDescent="0.25">
      <c r="A96" s="22" t="s">
        <v>265</v>
      </c>
      <c r="B96" s="15">
        <v>1500</v>
      </c>
      <c r="C96" s="15">
        <v>800</v>
      </c>
      <c r="D96" s="10">
        <v>0</v>
      </c>
      <c r="E96" s="9">
        <v>0</v>
      </c>
      <c r="F96" s="9">
        <v>1E-3</v>
      </c>
      <c r="G96" s="9">
        <v>5.0000000000000001E-3</v>
      </c>
      <c r="H96" s="9">
        <v>5.0000000000000001E-3</v>
      </c>
      <c r="I96" s="9">
        <v>20</v>
      </c>
      <c r="J96" s="9">
        <v>0.1</v>
      </c>
    </row>
    <row r="97" spans="1:10" x14ac:dyDescent="0.25">
      <c r="A97" s="22" t="s">
        <v>266</v>
      </c>
      <c r="B97" s="15">
        <v>1500</v>
      </c>
      <c r="C97" s="15">
        <v>1000</v>
      </c>
      <c r="D97" s="10">
        <v>0</v>
      </c>
      <c r="E97" s="9">
        <v>0</v>
      </c>
      <c r="F97" s="9">
        <v>1E-3</v>
      </c>
      <c r="G97" s="9">
        <v>5.0000000000000001E-3</v>
      </c>
      <c r="H97" s="9">
        <v>5.0000000000000001E-3</v>
      </c>
      <c r="I97" s="9">
        <v>20</v>
      </c>
      <c r="J97" s="9">
        <v>0.1</v>
      </c>
    </row>
    <row r="98" spans="1:10" x14ac:dyDescent="0.25">
      <c r="A98" s="22" t="s">
        <v>267</v>
      </c>
      <c r="B98" s="15">
        <v>1500</v>
      </c>
      <c r="C98" s="15">
        <v>1200</v>
      </c>
      <c r="D98" s="10">
        <v>0</v>
      </c>
      <c r="E98" s="9">
        <v>0</v>
      </c>
      <c r="F98" s="9">
        <v>1E-3</v>
      </c>
      <c r="G98" s="9">
        <v>5.0000000000000001E-3</v>
      </c>
      <c r="H98" s="9">
        <v>5.0000000000000001E-3</v>
      </c>
      <c r="I98" s="9">
        <v>20</v>
      </c>
      <c r="J98" s="9">
        <v>0.1</v>
      </c>
    </row>
    <row r="99" spans="1:10" x14ac:dyDescent="0.25">
      <c r="A99" s="22" t="s">
        <v>268</v>
      </c>
      <c r="B99" s="15">
        <v>1500</v>
      </c>
      <c r="C99" s="15">
        <v>1500</v>
      </c>
      <c r="D99" s="10">
        <v>0</v>
      </c>
      <c r="E99" s="9">
        <v>0</v>
      </c>
      <c r="F99" s="9">
        <v>1E-3</v>
      </c>
      <c r="G99" s="9">
        <v>5.0000000000000001E-3</v>
      </c>
      <c r="H99" s="9">
        <v>5.0000000000000001E-3</v>
      </c>
      <c r="I99" s="9">
        <v>20</v>
      </c>
      <c r="J99" s="9">
        <v>0.1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7624-14AF-4E2F-8537-F60BCC26A564}">
  <dimension ref="A1:J99"/>
  <sheetViews>
    <sheetView tabSelected="1" topLeftCell="A75" workbookViewId="0">
      <selection activeCell="N88" sqref="N88"/>
    </sheetView>
  </sheetViews>
  <sheetFormatPr defaultRowHeight="14.4" x14ac:dyDescent="0.25"/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21" t="s">
        <v>7</v>
      </c>
      <c r="I1" s="9" t="s">
        <v>8</v>
      </c>
      <c r="J1" s="9" t="s">
        <v>9</v>
      </c>
    </row>
    <row r="2" spans="1:10" x14ac:dyDescent="0.25">
      <c r="A2" s="22" t="s">
        <v>269</v>
      </c>
      <c r="B2" s="15">
        <v>60</v>
      </c>
      <c r="C2" s="15">
        <v>-1.2</v>
      </c>
      <c r="D2" s="10">
        <v>0</v>
      </c>
      <c r="E2" s="9">
        <v>0</v>
      </c>
      <c r="F2" s="9">
        <v>1E-3</v>
      </c>
      <c r="G2" s="9">
        <v>7.4999999999999997E-2</v>
      </c>
      <c r="H2" s="9">
        <v>7.4999999999999997E-2</v>
      </c>
      <c r="I2" s="9">
        <v>20</v>
      </c>
      <c r="J2" s="9">
        <v>0.1</v>
      </c>
    </row>
    <row r="3" spans="1:10" x14ac:dyDescent="0.25">
      <c r="A3" s="22" t="s">
        <v>270</v>
      </c>
      <c r="B3" s="15">
        <v>60</v>
      </c>
      <c r="C3" s="15">
        <v>-4.5</v>
      </c>
      <c r="D3" s="10">
        <v>0</v>
      </c>
      <c r="E3" s="9">
        <v>0</v>
      </c>
      <c r="F3" s="9">
        <v>1E-3</v>
      </c>
      <c r="G3" s="9">
        <v>0.02</v>
      </c>
      <c r="H3" s="9">
        <v>0.02</v>
      </c>
      <c r="I3" s="9">
        <v>20</v>
      </c>
      <c r="J3" s="9">
        <v>0.1</v>
      </c>
    </row>
    <row r="4" spans="1:10" x14ac:dyDescent="0.25">
      <c r="A4" s="22" t="s">
        <v>271</v>
      </c>
      <c r="B4" s="15">
        <v>60</v>
      </c>
      <c r="C4" s="15">
        <v>-9</v>
      </c>
      <c r="D4" s="10">
        <v>0</v>
      </c>
      <c r="E4" s="9">
        <v>0</v>
      </c>
      <c r="F4" s="9">
        <v>1E-3</v>
      </c>
      <c r="G4" s="9">
        <v>0.01</v>
      </c>
      <c r="H4" s="9">
        <v>0.01</v>
      </c>
      <c r="I4" s="9">
        <v>20</v>
      </c>
      <c r="J4" s="9">
        <v>0.1</v>
      </c>
    </row>
    <row r="5" spans="1:10" x14ac:dyDescent="0.25">
      <c r="A5" s="22" t="s">
        <v>272</v>
      </c>
      <c r="B5" s="15">
        <v>60</v>
      </c>
      <c r="C5" s="15">
        <v>-15</v>
      </c>
      <c r="D5" s="10">
        <v>0</v>
      </c>
      <c r="E5" s="9">
        <v>0</v>
      </c>
      <c r="F5" s="9">
        <v>1E-3</v>
      </c>
      <c r="G5" s="9">
        <v>0.01</v>
      </c>
      <c r="H5" s="9">
        <v>0.01</v>
      </c>
      <c r="I5" s="9">
        <v>20</v>
      </c>
      <c r="J5" s="9">
        <v>0.1</v>
      </c>
    </row>
    <row r="6" spans="1:10" x14ac:dyDescent="0.25">
      <c r="A6" s="22" t="s">
        <v>273</v>
      </c>
      <c r="B6" s="15">
        <v>60</v>
      </c>
      <c r="C6" s="15">
        <v>-20</v>
      </c>
      <c r="D6" s="10">
        <v>0</v>
      </c>
      <c r="E6" s="9">
        <v>0</v>
      </c>
      <c r="F6" s="9">
        <v>1E-3</v>
      </c>
      <c r="G6" s="9">
        <v>0.01</v>
      </c>
      <c r="H6" s="9">
        <v>0.01</v>
      </c>
      <c r="I6" s="9">
        <v>20</v>
      </c>
      <c r="J6" s="9">
        <v>0.1</v>
      </c>
    </row>
    <row r="7" spans="1:10" x14ac:dyDescent="0.25">
      <c r="A7" s="22" t="s">
        <v>274</v>
      </c>
      <c r="B7" s="15">
        <v>60</v>
      </c>
      <c r="C7" s="15">
        <v>-30</v>
      </c>
      <c r="D7" s="10">
        <v>0</v>
      </c>
      <c r="E7" s="9">
        <v>0</v>
      </c>
      <c r="F7" s="9">
        <v>1E-3</v>
      </c>
      <c r="G7" s="9">
        <v>5.0000000000000001E-3</v>
      </c>
      <c r="H7" s="9">
        <v>5.0000000000000001E-3</v>
      </c>
      <c r="I7" s="9">
        <v>20</v>
      </c>
      <c r="J7" s="9">
        <v>0.1</v>
      </c>
    </row>
    <row r="8" spans="1:10" x14ac:dyDescent="0.25">
      <c r="A8" s="22" t="s">
        <v>275</v>
      </c>
      <c r="B8" s="15">
        <v>60</v>
      </c>
      <c r="C8" s="15">
        <v>-150</v>
      </c>
      <c r="D8" s="10">
        <v>0</v>
      </c>
      <c r="E8" s="9">
        <v>0</v>
      </c>
      <c r="F8" s="9">
        <v>1E-3</v>
      </c>
      <c r="G8" s="9">
        <v>5.0000000000000001E-3</v>
      </c>
      <c r="H8" s="9">
        <v>5.0000000000000001E-3</v>
      </c>
      <c r="I8" s="9">
        <v>20</v>
      </c>
      <c r="J8" s="9">
        <v>0.1</v>
      </c>
    </row>
    <row r="9" spans="1:10" x14ac:dyDescent="0.25">
      <c r="A9" s="22" t="s">
        <v>276</v>
      </c>
      <c r="B9" s="15">
        <v>60</v>
      </c>
      <c r="C9" s="15">
        <v>-300</v>
      </c>
      <c r="D9" s="10">
        <v>0</v>
      </c>
      <c r="E9" s="9">
        <v>0</v>
      </c>
      <c r="F9" s="9">
        <v>1E-3</v>
      </c>
      <c r="G9" s="9">
        <v>5.0000000000000001E-3</v>
      </c>
      <c r="H9" s="9">
        <v>5.0000000000000001E-3</v>
      </c>
      <c r="I9" s="9">
        <v>20</v>
      </c>
      <c r="J9" s="9">
        <v>0.1</v>
      </c>
    </row>
    <row r="10" spans="1:10" x14ac:dyDescent="0.25">
      <c r="A10" s="22" t="s">
        <v>277</v>
      </c>
      <c r="B10" s="15">
        <v>60</v>
      </c>
      <c r="C10" s="15">
        <v>-400</v>
      </c>
      <c r="D10" s="10">
        <v>0</v>
      </c>
      <c r="E10" s="9">
        <v>0</v>
      </c>
      <c r="F10" s="9">
        <v>1E-3</v>
      </c>
      <c r="G10" s="9">
        <v>5.0000000000000001E-3</v>
      </c>
      <c r="H10" s="9">
        <v>5.0000000000000001E-3</v>
      </c>
      <c r="I10" s="9">
        <v>20</v>
      </c>
      <c r="J10" s="9">
        <v>0.1</v>
      </c>
    </row>
    <row r="11" spans="1:10" x14ac:dyDescent="0.25">
      <c r="A11" s="22" t="s">
        <v>278</v>
      </c>
      <c r="B11" s="15">
        <v>60</v>
      </c>
      <c r="C11" s="15">
        <v>-600</v>
      </c>
      <c r="D11" s="10">
        <v>0</v>
      </c>
      <c r="E11" s="9">
        <v>0</v>
      </c>
      <c r="F11" s="9">
        <v>1E-3</v>
      </c>
      <c r="G11" s="9">
        <v>5.0000000000000001E-3</v>
      </c>
      <c r="H11" s="9">
        <v>5.0000000000000001E-3</v>
      </c>
      <c r="I11" s="9">
        <v>20</v>
      </c>
      <c r="J11" s="9">
        <v>0.1</v>
      </c>
    </row>
    <row r="12" spans="1:10" x14ac:dyDescent="0.25">
      <c r="A12" s="22" t="s">
        <v>279</v>
      </c>
      <c r="B12" s="19">
        <v>60</v>
      </c>
      <c r="C12" s="19">
        <v>-800</v>
      </c>
      <c r="D12" s="10">
        <v>0</v>
      </c>
      <c r="E12" s="9">
        <v>0</v>
      </c>
      <c r="F12" s="9">
        <v>1E-3</v>
      </c>
      <c r="G12" s="9">
        <v>5.0000000000000001E-3</v>
      </c>
      <c r="H12" s="9">
        <v>5.0000000000000001E-3</v>
      </c>
      <c r="I12" s="9">
        <v>20</v>
      </c>
      <c r="J12" s="9">
        <v>0.1</v>
      </c>
    </row>
    <row r="13" spans="1:10" x14ac:dyDescent="0.25">
      <c r="A13" s="22" t="s">
        <v>280</v>
      </c>
      <c r="B13" s="19">
        <v>60</v>
      </c>
      <c r="C13" s="19">
        <v>-1000</v>
      </c>
      <c r="D13" s="10">
        <v>0</v>
      </c>
      <c r="E13" s="9">
        <v>0</v>
      </c>
      <c r="F13" s="9">
        <v>1E-3</v>
      </c>
      <c r="G13" s="9">
        <v>5.0000000000000001E-3</v>
      </c>
      <c r="H13" s="9">
        <v>5.0000000000000001E-3</v>
      </c>
      <c r="I13" s="9">
        <v>20</v>
      </c>
      <c r="J13" s="9">
        <v>0.1</v>
      </c>
    </row>
    <row r="14" spans="1:10" x14ac:dyDescent="0.25">
      <c r="A14" s="22" t="s">
        <v>281</v>
      </c>
      <c r="B14" s="19">
        <v>60</v>
      </c>
      <c r="C14" s="19">
        <v>-1200</v>
      </c>
      <c r="D14" s="10">
        <v>0</v>
      </c>
      <c r="E14" s="9">
        <v>0</v>
      </c>
      <c r="F14" s="9">
        <v>1E-3</v>
      </c>
      <c r="G14" s="9">
        <v>5.0000000000000001E-3</v>
      </c>
      <c r="H14" s="9">
        <v>5.0000000000000001E-3</v>
      </c>
      <c r="I14" s="9">
        <v>20</v>
      </c>
      <c r="J14" s="9">
        <v>0.1</v>
      </c>
    </row>
    <row r="15" spans="1:10" x14ac:dyDescent="0.25">
      <c r="A15" s="22" t="s">
        <v>282</v>
      </c>
      <c r="B15" s="19">
        <v>60</v>
      </c>
      <c r="C15" s="19">
        <v>-1500</v>
      </c>
      <c r="D15" s="10">
        <v>0</v>
      </c>
      <c r="E15" s="9">
        <v>0</v>
      </c>
      <c r="F15" s="9">
        <v>1E-3</v>
      </c>
      <c r="G15" s="9">
        <v>5.0000000000000001E-3</v>
      </c>
      <c r="H15" s="9">
        <v>5.0000000000000001E-3</v>
      </c>
      <c r="I15" s="9">
        <v>20</v>
      </c>
      <c r="J15" s="9">
        <v>0.1</v>
      </c>
    </row>
    <row r="16" spans="1:10" x14ac:dyDescent="0.25">
      <c r="A16" s="22" t="s">
        <v>283</v>
      </c>
      <c r="B16" s="15">
        <v>200</v>
      </c>
      <c r="C16" s="15">
        <v>-1.2</v>
      </c>
      <c r="D16" s="10">
        <v>0</v>
      </c>
      <c r="E16" s="9">
        <v>0</v>
      </c>
      <c r="F16" s="9">
        <v>1E-3</v>
      </c>
      <c r="G16" s="9">
        <v>7.4999999999999997E-2</v>
      </c>
      <c r="H16" s="9">
        <v>7.4999999999999997E-2</v>
      </c>
      <c r="I16" s="9">
        <v>20</v>
      </c>
      <c r="J16" s="9">
        <v>0.1</v>
      </c>
    </row>
    <row r="17" spans="1:10" x14ac:dyDescent="0.25">
      <c r="A17" s="22" t="s">
        <v>284</v>
      </c>
      <c r="B17" s="15">
        <v>200</v>
      </c>
      <c r="C17" s="15">
        <v>-4.5</v>
      </c>
      <c r="D17" s="10">
        <v>0</v>
      </c>
      <c r="E17" s="9">
        <v>0</v>
      </c>
      <c r="F17" s="9">
        <v>1E-3</v>
      </c>
      <c r="G17" s="9">
        <v>0.02</v>
      </c>
      <c r="H17" s="9">
        <v>0.02</v>
      </c>
      <c r="I17" s="9">
        <v>20</v>
      </c>
      <c r="J17" s="9">
        <v>0.1</v>
      </c>
    </row>
    <row r="18" spans="1:10" x14ac:dyDescent="0.25">
      <c r="A18" s="22" t="s">
        <v>285</v>
      </c>
      <c r="B18" s="15">
        <v>200</v>
      </c>
      <c r="C18" s="15">
        <v>-9</v>
      </c>
      <c r="D18" s="10">
        <v>0</v>
      </c>
      <c r="E18" s="9">
        <v>0</v>
      </c>
      <c r="F18" s="9">
        <v>1E-3</v>
      </c>
      <c r="G18" s="9">
        <v>0.01</v>
      </c>
      <c r="H18" s="9">
        <v>0.01</v>
      </c>
      <c r="I18" s="9">
        <v>20</v>
      </c>
      <c r="J18" s="9">
        <v>0.1</v>
      </c>
    </row>
    <row r="19" spans="1:10" x14ac:dyDescent="0.25">
      <c r="A19" s="22" t="s">
        <v>286</v>
      </c>
      <c r="B19" s="15">
        <v>200</v>
      </c>
      <c r="C19" s="15">
        <v>-15</v>
      </c>
      <c r="D19" s="10">
        <v>0</v>
      </c>
      <c r="E19" s="9">
        <v>0</v>
      </c>
      <c r="F19" s="9">
        <v>1E-3</v>
      </c>
      <c r="G19" s="9">
        <v>0.01</v>
      </c>
      <c r="H19" s="9">
        <v>0.01</v>
      </c>
      <c r="I19" s="9">
        <v>20</v>
      </c>
      <c r="J19" s="9">
        <v>0.1</v>
      </c>
    </row>
    <row r="20" spans="1:10" x14ac:dyDescent="0.25">
      <c r="A20" s="22" t="s">
        <v>287</v>
      </c>
      <c r="B20" s="15">
        <v>200</v>
      </c>
      <c r="C20" s="15">
        <v>-20</v>
      </c>
      <c r="D20" s="10">
        <v>0</v>
      </c>
      <c r="E20" s="9">
        <v>0</v>
      </c>
      <c r="F20" s="9">
        <v>1E-3</v>
      </c>
      <c r="G20" s="9">
        <v>0.01</v>
      </c>
      <c r="H20" s="9">
        <v>0.01</v>
      </c>
      <c r="I20" s="9">
        <v>20</v>
      </c>
      <c r="J20" s="9">
        <v>0.1</v>
      </c>
    </row>
    <row r="21" spans="1:10" x14ac:dyDescent="0.25">
      <c r="A21" s="22" t="s">
        <v>288</v>
      </c>
      <c r="B21" s="15">
        <v>200</v>
      </c>
      <c r="C21" s="15">
        <v>-30</v>
      </c>
      <c r="D21" s="10">
        <v>0</v>
      </c>
      <c r="E21" s="9">
        <v>0</v>
      </c>
      <c r="F21" s="9">
        <v>1E-3</v>
      </c>
      <c r="G21" s="9">
        <v>5.0000000000000001E-3</v>
      </c>
      <c r="H21" s="9">
        <v>5.0000000000000001E-3</v>
      </c>
      <c r="I21" s="9">
        <v>20</v>
      </c>
      <c r="J21" s="9">
        <v>0.1</v>
      </c>
    </row>
    <row r="22" spans="1:10" x14ac:dyDescent="0.25">
      <c r="A22" s="22" t="s">
        <v>289</v>
      </c>
      <c r="B22" s="15">
        <v>200</v>
      </c>
      <c r="C22" s="15">
        <v>-150</v>
      </c>
      <c r="D22" s="10">
        <v>0</v>
      </c>
      <c r="E22" s="9">
        <v>0</v>
      </c>
      <c r="F22" s="9">
        <v>1E-3</v>
      </c>
      <c r="G22" s="9">
        <v>5.0000000000000001E-3</v>
      </c>
      <c r="H22" s="9">
        <v>5.0000000000000001E-3</v>
      </c>
      <c r="I22" s="9">
        <v>20</v>
      </c>
      <c r="J22" s="9">
        <v>0.1</v>
      </c>
    </row>
    <row r="23" spans="1:10" x14ac:dyDescent="0.25">
      <c r="A23" s="22" t="s">
        <v>290</v>
      </c>
      <c r="B23" s="15">
        <v>200</v>
      </c>
      <c r="C23" s="15">
        <v>-300</v>
      </c>
      <c r="D23" s="10">
        <v>0</v>
      </c>
      <c r="E23" s="9">
        <v>0</v>
      </c>
      <c r="F23" s="9">
        <v>1E-3</v>
      </c>
      <c r="G23" s="9">
        <v>5.0000000000000001E-3</v>
      </c>
      <c r="H23" s="9">
        <v>5.0000000000000001E-3</v>
      </c>
      <c r="I23" s="9">
        <v>20</v>
      </c>
      <c r="J23" s="9">
        <v>0.1</v>
      </c>
    </row>
    <row r="24" spans="1:10" x14ac:dyDescent="0.25">
      <c r="A24" s="22" t="s">
        <v>291</v>
      </c>
      <c r="B24" s="15">
        <v>200</v>
      </c>
      <c r="C24" s="15">
        <v>-400</v>
      </c>
      <c r="D24" s="10">
        <v>0</v>
      </c>
      <c r="E24" s="9">
        <v>0</v>
      </c>
      <c r="F24" s="9">
        <v>1E-3</v>
      </c>
      <c r="G24" s="9">
        <v>5.0000000000000001E-3</v>
      </c>
      <c r="H24" s="9">
        <v>5.0000000000000001E-3</v>
      </c>
      <c r="I24" s="9">
        <v>20</v>
      </c>
      <c r="J24" s="9">
        <v>0.1</v>
      </c>
    </row>
    <row r="25" spans="1:10" x14ac:dyDescent="0.25">
      <c r="A25" s="22" t="s">
        <v>292</v>
      </c>
      <c r="B25" s="15">
        <v>200</v>
      </c>
      <c r="C25" s="15">
        <v>-600</v>
      </c>
      <c r="D25" s="10">
        <v>0</v>
      </c>
      <c r="E25" s="9">
        <v>0</v>
      </c>
      <c r="F25" s="9">
        <v>1E-3</v>
      </c>
      <c r="G25" s="9">
        <v>5.0000000000000001E-3</v>
      </c>
      <c r="H25" s="9">
        <v>5.0000000000000001E-3</v>
      </c>
      <c r="I25" s="9">
        <v>20</v>
      </c>
      <c r="J25" s="9">
        <v>0.1</v>
      </c>
    </row>
    <row r="26" spans="1:10" x14ac:dyDescent="0.25">
      <c r="A26" s="22" t="s">
        <v>293</v>
      </c>
      <c r="B26" s="15">
        <v>200</v>
      </c>
      <c r="C26" s="19">
        <v>-800</v>
      </c>
      <c r="D26" s="10">
        <v>0</v>
      </c>
      <c r="E26" s="9">
        <v>0</v>
      </c>
      <c r="F26" s="9">
        <v>1E-3</v>
      </c>
      <c r="G26" s="9">
        <v>5.0000000000000001E-3</v>
      </c>
      <c r="H26" s="9">
        <v>5.0000000000000001E-3</v>
      </c>
      <c r="I26" s="9">
        <v>20</v>
      </c>
      <c r="J26" s="9">
        <v>0.1</v>
      </c>
    </row>
    <row r="27" spans="1:10" x14ac:dyDescent="0.25">
      <c r="A27" s="22" t="s">
        <v>294</v>
      </c>
      <c r="B27" s="15">
        <v>200</v>
      </c>
      <c r="C27" s="19">
        <v>-1000</v>
      </c>
      <c r="D27" s="10">
        <v>0</v>
      </c>
      <c r="E27" s="9">
        <v>0</v>
      </c>
      <c r="F27" s="9">
        <v>1E-3</v>
      </c>
      <c r="G27" s="9">
        <v>5.0000000000000001E-3</v>
      </c>
      <c r="H27" s="9">
        <v>5.0000000000000001E-3</v>
      </c>
      <c r="I27" s="9">
        <v>20</v>
      </c>
      <c r="J27" s="9">
        <v>0.1</v>
      </c>
    </row>
    <row r="28" spans="1:10" x14ac:dyDescent="0.25">
      <c r="A28" s="22" t="s">
        <v>295</v>
      </c>
      <c r="B28" s="15">
        <v>200</v>
      </c>
      <c r="C28" s="19">
        <v>-1200</v>
      </c>
      <c r="D28" s="10">
        <v>0</v>
      </c>
      <c r="E28" s="9">
        <v>0</v>
      </c>
      <c r="F28" s="9">
        <v>1E-3</v>
      </c>
      <c r="G28" s="9">
        <v>5.0000000000000001E-3</v>
      </c>
      <c r="H28" s="9">
        <v>5.0000000000000001E-3</v>
      </c>
      <c r="I28" s="9">
        <v>20</v>
      </c>
      <c r="J28" s="9">
        <v>0.1</v>
      </c>
    </row>
    <row r="29" spans="1:10" x14ac:dyDescent="0.25">
      <c r="A29" s="22" t="s">
        <v>296</v>
      </c>
      <c r="B29" s="15">
        <v>200</v>
      </c>
      <c r="C29" s="19">
        <v>-1500</v>
      </c>
      <c r="D29" s="10">
        <v>0</v>
      </c>
      <c r="E29" s="9">
        <v>0</v>
      </c>
      <c r="F29" s="9">
        <v>1E-3</v>
      </c>
      <c r="G29" s="9">
        <v>5.0000000000000001E-3</v>
      </c>
      <c r="H29" s="9">
        <v>5.0000000000000001E-3</v>
      </c>
      <c r="I29" s="9">
        <v>20</v>
      </c>
      <c r="J29" s="9">
        <v>0.1</v>
      </c>
    </row>
    <row r="30" spans="1:10" x14ac:dyDescent="0.25">
      <c r="A30" s="22" t="s">
        <v>297</v>
      </c>
      <c r="B30" s="15">
        <v>500</v>
      </c>
      <c r="C30" s="15">
        <v>-1.2</v>
      </c>
      <c r="D30" s="10">
        <v>0</v>
      </c>
      <c r="E30" s="9">
        <v>0</v>
      </c>
      <c r="F30" s="9">
        <v>1E-3</v>
      </c>
      <c r="G30" s="9">
        <v>7.4999999999999997E-2</v>
      </c>
      <c r="H30" s="9">
        <v>7.4999999999999997E-2</v>
      </c>
      <c r="I30" s="9">
        <v>20</v>
      </c>
      <c r="J30" s="9">
        <v>0.1</v>
      </c>
    </row>
    <row r="31" spans="1:10" x14ac:dyDescent="0.25">
      <c r="A31" s="22" t="s">
        <v>298</v>
      </c>
      <c r="B31" s="15">
        <v>500</v>
      </c>
      <c r="C31" s="15">
        <v>-4.5</v>
      </c>
      <c r="D31" s="10">
        <v>0</v>
      </c>
      <c r="E31" s="9">
        <v>0</v>
      </c>
      <c r="F31" s="9">
        <v>1E-3</v>
      </c>
      <c r="G31" s="9">
        <v>0.02</v>
      </c>
      <c r="H31" s="9">
        <v>0.02</v>
      </c>
      <c r="I31" s="9">
        <v>20</v>
      </c>
      <c r="J31" s="9">
        <v>0.1</v>
      </c>
    </row>
    <row r="32" spans="1:10" x14ac:dyDescent="0.25">
      <c r="A32" s="22" t="s">
        <v>299</v>
      </c>
      <c r="B32" s="15">
        <v>500</v>
      </c>
      <c r="C32" s="15">
        <v>-9</v>
      </c>
      <c r="D32" s="10">
        <v>0</v>
      </c>
      <c r="E32" s="9">
        <v>0</v>
      </c>
      <c r="F32" s="9">
        <v>1E-3</v>
      </c>
      <c r="G32" s="9">
        <v>0.01</v>
      </c>
      <c r="H32" s="9">
        <v>0.01</v>
      </c>
      <c r="I32" s="9">
        <v>20</v>
      </c>
      <c r="J32" s="9">
        <v>0.1</v>
      </c>
    </row>
    <row r="33" spans="1:10" x14ac:dyDescent="0.25">
      <c r="A33" s="22" t="s">
        <v>300</v>
      </c>
      <c r="B33" s="15">
        <v>500</v>
      </c>
      <c r="C33" s="15">
        <v>-15</v>
      </c>
      <c r="D33" s="10">
        <v>0</v>
      </c>
      <c r="E33" s="9">
        <v>0</v>
      </c>
      <c r="F33" s="9">
        <v>1E-3</v>
      </c>
      <c r="G33" s="9">
        <v>0.01</v>
      </c>
      <c r="H33" s="9">
        <v>0.01</v>
      </c>
      <c r="I33" s="9">
        <v>20</v>
      </c>
      <c r="J33" s="9">
        <v>0.1</v>
      </c>
    </row>
    <row r="34" spans="1:10" x14ac:dyDescent="0.25">
      <c r="A34" s="22" t="s">
        <v>301</v>
      </c>
      <c r="B34" s="15">
        <v>500</v>
      </c>
      <c r="C34" s="15">
        <v>-20</v>
      </c>
      <c r="D34" s="10">
        <v>0</v>
      </c>
      <c r="E34" s="9">
        <v>0</v>
      </c>
      <c r="F34" s="9">
        <v>1E-3</v>
      </c>
      <c r="G34" s="9">
        <v>0.01</v>
      </c>
      <c r="H34" s="9">
        <v>0.01</v>
      </c>
      <c r="I34" s="9">
        <v>20</v>
      </c>
      <c r="J34" s="9">
        <v>0.1</v>
      </c>
    </row>
    <row r="35" spans="1:10" x14ac:dyDescent="0.25">
      <c r="A35" s="22" t="s">
        <v>302</v>
      </c>
      <c r="B35" s="15">
        <v>500</v>
      </c>
      <c r="C35" s="15">
        <v>-30</v>
      </c>
      <c r="D35" s="10">
        <v>0</v>
      </c>
      <c r="E35" s="9">
        <v>0</v>
      </c>
      <c r="F35" s="9">
        <v>1E-3</v>
      </c>
      <c r="G35" s="9">
        <v>5.0000000000000001E-3</v>
      </c>
      <c r="H35" s="9">
        <v>5.0000000000000001E-3</v>
      </c>
      <c r="I35" s="9">
        <v>20</v>
      </c>
      <c r="J35" s="9">
        <v>0.1</v>
      </c>
    </row>
    <row r="36" spans="1:10" x14ac:dyDescent="0.25">
      <c r="A36" s="22" t="s">
        <v>303</v>
      </c>
      <c r="B36" s="15">
        <v>500</v>
      </c>
      <c r="C36" s="15">
        <v>-150</v>
      </c>
      <c r="D36" s="10">
        <v>0</v>
      </c>
      <c r="E36" s="9">
        <v>0</v>
      </c>
      <c r="F36" s="9">
        <v>1E-3</v>
      </c>
      <c r="G36" s="9">
        <v>5.0000000000000001E-3</v>
      </c>
      <c r="H36" s="9">
        <v>5.0000000000000001E-3</v>
      </c>
      <c r="I36" s="9">
        <v>20</v>
      </c>
      <c r="J36" s="9">
        <v>0.1</v>
      </c>
    </row>
    <row r="37" spans="1:10" x14ac:dyDescent="0.25">
      <c r="A37" s="22" t="s">
        <v>304</v>
      </c>
      <c r="B37" s="15">
        <v>500</v>
      </c>
      <c r="C37" s="15">
        <v>-300</v>
      </c>
      <c r="D37" s="10">
        <v>0</v>
      </c>
      <c r="E37" s="9">
        <v>0</v>
      </c>
      <c r="F37" s="9">
        <v>1E-3</v>
      </c>
      <c r="G37" s="9">
        <v>5.0000000000000001E-3</v>
      </c>
      <c r="H37" s="9">
        <v>5.0000000000000001E-3</v>
      </c>
      <c r="I37" s="9">
        <v>20</v>
      </c>
      <c r="J37" s="9">
        <v>0.1</v>
      </c>
    </row>
    <row r="38" spans="1:10" x14ac:dyDescent="0.25">
      <c r="A38" s="22" t="s">
        <v>305</v>
      </c>
      <c r="B38" s="15">
        <v>500</v>
      </c>
      <c r="C38" s="15">
        <v>-400</v>
      </c>
      <c r="D38" s="10">
        <v>0</v>
      </c>
      <c r="E38" s="9">
        <v>0</v>
      </c>
      <c r="F38" s="9">
        <v>1E-3</v>
      </c>
      <c r="G38" s="9">
        <v>5.0000000000000001E-3</v>
      </c>
      <c r="H38" s="9">
        <v>5.0000000000000001E-3</v>
      </c>
      <c r="I38" s="9">
        <v>20</v>
      </c>
      <c r="J38" s="9">
        <v>0.1</v>
      </c>
    </row>
    <row r="39" spans="1:10" x14ac:dyDescent="0.25">
      <c r="A39" s="22" t="s">
        <v>306</v>
      </c>
      <c r="B39" s="15">
        <v>500</v>
      </c>
      <c r="C39" s="15">
        <v>-600</v>
      </c>
      <c r="D39" s="10">
        <v>0</v>
      </c>
      <c r="E39" s="9">
        <v>0</v>
      </c>
      <c r="F39" s="9">
        <v>1E-3</v>
      </c>
      <c r="G39" s="9">
        <v>5.0000000000000001E-3</v>
      </c>
      <c r="H39" s="9">
        <v>5.0000000000000001E-3</v>
      </c>
      <c r="I39" s="9">
        <v>20</v>
      </c>
      <c r="J39" s="9">
        <v>0.1</v>
      </c>
    </row>
    <row r="40" spans="1:10" x14ac:dyDescent="0.25">
      <c r="A40" s="22" t="s">
        <v>307</v>
      </c>
      <c r="B40" s="15">
        <v>500</v>
      </c>
      <c r="C40" s="19">
        <v>-800</v>
      </c>
      <c r="D40" s="10">
        <v>0</v>
      </c>
      <c r="E40" s="9">
        <v>0</v>
      </c>
      <c r="F40" s="9">
        <v>1E-3</v>
      </c>
      <c r="G40" s="9">
        <v>5.0000000000000001E-3</v>
      </c>
      <c r="H40" s="9">
        <v>5.0000000000000001E-3</v>
      </c>
      <c r="I40" s="9">
        <v>20</v>
      </c>
      <c r="J40" s="9">
        <v>0.1</v>
      </c>
    </row>
    <row r="41" spans="1:10" x14ac:dyDescent="0.25">
      <c r="A41" s="22" t="s">
        <v>308</v>
      </c>
      <c r="B41" s="15">
        <v>500</v>
      </c>
      <c r="C41" s="19">
        <v>-1000</v>
      </c>
      <c r="D41" s="10">
        <v>0</v>
      </c>
      <c r="E41" s="9">
        <v>0</v>
      </c>
      <c r="F41" s="9">
        <v>1E-3</v>
      </c>
      <c r="G41" s="9">
        <v>5.0000000000000001E-3</v>
      </c>
      <c r="H41" s="9">
        <v>5.0000000000000001E-3</v>
      </c>
      <c r="I41" s="9">
        <v>20</v>
      </c>
      <c r="J41" s="9">
        <v>0.1</v>
      </c>
    </row>
    <row r="42" spans="1:10" x14ac:dyDescent="0.25">
      <c r="A42" s="22" t="s">
        <v>309</v>
      </c>
      <c r="B42" s="15">
        <v>500</v>
      </c>
      <c r="C42" s="19">
        <v>-1200</v>
      </c>
      <c r="D42" s="10">
        <v>0</v>
      </c>
      <c r="E42" s="9">
        <v>0</v>
      </c>
      <c r="F42" s="9">
        <v>1E-3</v>
      </c>
      <c r="G42" s="9">
        <v>5.0000000000000001E-3</v>
      </c>
      <c r="H42" s="9">
        <v>5.0000000000000001E-3</v>
      </c>
      <c r="I42" s="9">
        <v>20</v>
      </c>
      <c r="J42" s="9">
        <v>0.1</v>
      </c>
    </row>
    <row r="43" spans="1:10" x14ac:dyDescent="0.25">
      <c r="A43" s="22" t="s">
        <v>310</v>
      </c>
      <c r="B43" s="15">
        <v>500</v>
      </c>
      <c r="C43" s="19">
        <v>-1500</v>
      </c>
      <c r="D43" s="10">
        <v>0</v>
      </c>
      <c r="E43" s="9">
        <v>0</v>
      </c>
      <c r="F43" s="9">
        <v>1E-3</v>
      </c>
      <c r="G43" s="9">
        <v>5.0000000000000001E-3</v>
      </c>
      <c r="H43" s="9">
        <v>5.0000000000000001E-3</v>
      </c>
      <c r="I43" s="9">
        <v>20</v>
      </c>
      <c r="J43" s="9">
        <v>0.1</v>
      </c>
    </row>
    <row r="44" spans="1:10" x14ac:dyDescent="0.25">
      <c r="A44" s="22" t="s">
        <v>311</v>
      </c>
      <c r="B44" s="15">
        <v>800</v>
      </c>
      <c r="C44" s="15">
        <v>-1.2</v>
      </c>
      <c r="D44" s="10">
        <v>0</v>
      </c>
      <c r="E44" s="9">
        <v>0</v>
      </c>
      <c r="F44" s="9">
        <v>1E-3</v>
      </c>
      <c r="G44" s="9">
        <v>7.4999999999999997E-2</v>
      </c>
      <c r="H44" s="9">
        <v>7.4999999999999997E-2</v>
      </c>
      <c r="I44" s="9">
        <v>20</v>
      </c>
      <c r="J44" s="9">
        <v>0.1</v>
      </c>
    </row>
    <row r="45" spans="1:10" x14ac:dyDescent="0.25">
      <c r="A45" s="22" t="s">
        <v>312</v>
      </c>
      <c r="B45" s="15">
        <v>800</v>
      </c>
      <c r="C45" s="15">
        <v>-4.5</v>
      </c>
      <c r="D45" s="10">
        <v>0</v>
      </c>
      <c r="E45" s="9">
        <v>0</v>
      </c>
      <c r="F45" s="9">
        <v>1E-3</v>
      </c>
      <c r="G45" s="9">
        <v>0.02</v>
      </c>
      <c r="H45" s="9">
        <v>0.02</v>
      </c>
      <c r="I45" s="9">
        <v>20</v>
      </c>
      <c r="J45" s="9">
        <v>0.1</v>
      </c>
    </row>
    <row r="46" spans="1:10" x14ac:dyDescent="0.25">
      <c r="A46" s="22" t="s">
        <v>313</v>
      </c>
      <c r="B46" s="15">
        <v>800</v>
      </c>
      <c r="C46" s="15">
        <v>-9</v>
      </c>
      <c r="D46" s="10">
        <v>0</v>
      </c>
      <c r="E46" s="9">
        <v>0</v>
      </c>
      <c r="F46" s="9">
        <v>1E-3</v>
      </c>
      <c r="G46" s="9">
        <v>0.01</v>
      </c>
      <c r="H46" s="9">
        <v>0.01</v>
      </c>
      <c r="I46" s="9">
        <v>20</v>
      </c>
      <c r="J46" s="9">
        <v>0.1</v>
      </c>
    </row>
    <row r="47" spans="1:10" x14ac:dyDescent="0.25">
      <c r="A47" s="22" t="s">
        <v>314</v>
      </c>
      <c r="B47" s="15">
        <v>800</v>
      </c>
      <c r="C47" s="15">
        <v>-15</v>
      </c>
      <c r="D47" s="10">
        <v>0</v>
      </c>
      <c r="E47" s="9">
        <v>0</v>
      </c>
      <c r="F47" s="9">
        <v>1E-3</v>
      </c>
      <c r="G47" s="9">
        <v>0.01</v>
      </c>
      <c r="H47" s="9">
        <v>0.01</v>
      </c>
      <c r="I47" s="9">
        <v>20</v>
      </c>
      <c r="J47" s="9">
        <v>0.1</v>
      </c>
    </row>
    <row r="48" spans="1:10" x14ac:dyDescent="0.25">
      <c r="A48" s="22" t="s">
        <v>315</v>
      </c>
      <c r="B48" s="15">
        <v>800</v>
      </c>
      <c r="C48" s="15">
        <v>-20</v>
      </c>
      <c r="D48" s="10">
        <v>0</v>
      </c>
      <c r="E48" s="9">
        <v>0</v>
      </c>
      <c r="F48" s="9">
        <v>1E-3</v>
      </c>
      <c r="G48" s="9">
        <v>0.01</v>
      </c>
      <c r="H48" s="9">
        <v>0.01</v>
      </c>
      <c r="I48" s="9">
        <v>20</v>
      </c>
      <c r="J48" s="9">
        <v>0.1</v>
      </c>
    </row>
    <row r="49" spans="1:10" x14ac:dyDescent="0.25">
      <c r="A49" s="22" t="s">
        <v>316</v>
      </c>
      <c r="B49" s="15">
        <v>800</v>
      </c>
      <c r="C49" s="15">
        <v>-30</v>
      </c>
      <c r="D49" s="10">
        <v>0</v>
      </c>
      <c r="E49" s="9">
        <v>0</v>
      </c>
      <c r="F49" s="9">
        <v>1E-3</v>
      </c>
      <c r="G49" s="9">
        <v>5.0000000000000001E-3</v>
      </c>
      <c r="H49" s="9">
        <v>5.0000000000000001E-3</v>
      </c>
      <c r="I49" s="9">
        <v>20</v>
      </c>
      <c r="J49" s="9">
        <v>0.1</v>
      </c>
    </row>
    <row r="50" spans="1:10" x14ac:dyDescent="0.25">
      <c r="A50" s="22" t="s">
        <v>317</v>
      </c>
      <c r="B50" s="15">
        <v>800</v>
      </c>
      <c r="C50" s="15">
        <v>-150</v>
      </c>
      <c r="D50" s="10">
        <v>0</v>
      </c>
      <c r="E50" s="9">
        <v>0</v>
      </c>
      <c r="F50" s="9">
        <v>1E-3</v>
      </c>
      <c r="G50" s="9">
        <v>5.0000000000000001E-3</v>
      </c>
      <c r="H50" s="9">
        <v>5.0000000000000001E-3</v>
      </c>
      <c r="I50" s="9">
        <v>20</v>
      </c>
      <c r="J50" s="9">
        <v>0.1</v>
      </c>
    </row>
    <row r="51" spans="1:10" x14ac:dyDescent="0.25">
      <c r="A51" s="22" t="s">
        <v>318</v>
      </c>
      <c r="B51" s="15">
        <v>800</v>
      </c>
      <c r="C51" s="15">
        <v>-300</v>
      </c>
      <c r="D51" s="10">
        <v>0</v>
      </c>
      <c r="E51" s="9">
        <v>0</v>
      </c>
      <c r="F51" s="9">
        <v>1E-3</v>
      </c>
      <c r="G51" s="9">
        <v>5.0000000000000001E-3</v>
      </c>
      <c r="H51" s="9">
        <v>5.0000000000000001E-3</v>
      </c>
      <c r="I51" s="9">
        <v>20</v>
      </c>
      <c r="J51" s="9">
        <v>0.1</v>
      </c>
    </row>
    <row r="52" spans="1:10" x14ac:dyDescent="0.25">
      <c r="A52" s="22" t="s">
        <v>319</v>
      </c>
      <c r="B52" s="15">
        <v>800</v>
      </c>
      <c r="C52" s="15">
        <v>-400</v>
      </c>
      <c r="D52" s="10">
        <v>0</v>
      </c>
      <c r="E52" s="9">
        <v>0</v>
      </c>
      <c r="F52" s="9">
        <v>1E-3</v>
      </c>
      <c r="G52" s="9">
        <v>5.0000000000000001E-3</v>
      </c>
      <c r="H52" s="9">
        <v>5.0000000000000001E-3</v>
      </c>
      <c r="I52" s="9">
        <v>20</v>
      </c>
      <c r="J52" s="9">
        <v>0.1</v>
      </c>
    </row>
    <row r="53" spans="1:10" x14ac:dyDescent="0.25">
      <c r="A53" s="22" t="s">
        <v>320</v>
      </c>
      <c r="B53" s="15">
        <v>800</v>
      </c>
      <c r="C53" s="15">
        <v>-600</v>
      </c>
      <c r="D53" s="10">
        <v>0</v>
      </c>
      <c r="E53" s="9">
        <v>0</v>
      </c>
      <c r="F53" s="9">
        <v>1E-3</v>
      </c>
      <c r="G53" s="9">
        <v>5.0000000000000001E-3</v>
      </c>
      <c r="H53" s="9">
        <v>5.0000000000000001E-3</v>
      </c>
      <c r="I53" s="9">
        <v>20</v>
      </c>
      <c r="J53" s="9">
        <v>0.1</v>
      </c>
    </row>
    <row r="54" spans="1:10" x14ac:dyDescent="0.25">
      <c r="A54" s="22" t="s">
        <v>321</v>
      </c>
      <c r="B54" s="15">
        <v>800</v>
      </c>
      <c r="C54" s="19">
        <v>-800</v>
      </c>
      <c r="D54" s="10">
        <v>0</v>
      </c>
      <c r="E54" s="9">
        <v>0</v>
      </c>
      <c r="F54" s="9">
        <v>1E-3</v>
      </c>
      <c r="G54" s="9">
        <v>5.0000000000000001E-3</v>
      </c>
      <c r="H54" s="9">
        <v>5.0000000000000001E-3</v>
      </c>
      <c r="I54" s="9">
        <v>20</v>
      </c>
      <c r="J54" s="9">
        <v>0.1</v>
      </c>
    </row>
    <row r="55" spans="1:10" x14ac:dyDescent="0.25">
      <c r="A55" s="22" t="s">
        <v>322</v>
      </c>
      <c r="B55" s="15">
        <v>800</v>
      </c>
      <c r="C55" s="19">
        <v>-1000</v>
      </c>
      <c r="D55" s="10">
        <v>0</v>
      </c>
      <c r="E55" s="9">
        <v>0</v>
      </c>
      <c r="F55" s="9">
        <v>1E-3</v>
      </c>
      <c r="G55" s="9">
        <v>5.0000000000000001E-3</v>
      </c>
      <c r="H55" s="9">
        <v>5.0000000000000001E-3</v>
      </c>
      <c r="I55" s="9">
        <v>20</v>
      </c>
      <c r="J55" s="9">
        <v>0.1</v>
      </c>
    </row>
    <row r="56" spans="1:10" x14ac:dyDescent="0.25">
      <c r="A56" s="22" t="s">
        <v>323</v>
      </c>
      <c r="B56" s="15">
        <v>800</v>
      </c>
      <c r="C56" s="19">
        <v>-1200</v>
      </c>
      <c r="D56" s="10">
        <v>0</v>
      </c>
      <c r="E56" s="9">
        <v>0</v>
      </c>
      <c r="F56" s="9">
        <v>1E-3</v>
      </c>
      <c r="G56" s="9">
        <v>5.0000000000000001E-3</v>
      </c>
      <c r="H56" s="9">
        <v>5.0000000000000001E-3</v>
      </c>
      <c r="I56" s="9">
        <v>20</v>
      </c>
      <c r="J56" s="9">
        <v>0.1</v>
      </c>
    </row>
    <row r="57" spans="1:10" x14ac:dyDescent="0.25">
      <c r="A57" s="22" t="s">
        <v>324</v>
      </c>
      <c r="B57" s="15">
        <v>800</v>
      </c>
      <c r="C57" s="19">
        <v>-1500</v>
      </c>
      <c r="D57" s="10">
        <v>0</v>
      </c>
      <c r="E57" s="9">
        <v>0</v>
      </c>
      <c r="F57" s="9">
        <v>1E-3</v>
      </c>
      <c r="G57" s="9">
        <v>5.0000000000000001E-3</v>
      </c>
      <c r="H57" s="9">
        <v>5.0000000000000001E-3</v>
      </c>
      <c r="I57" s="9">
        <v>20</v>
      </c>
      <c r="J57" s="9">
        <v>0.1</v>
      </c>
    </row>
    <row r="58" spans="1:10" x14ac:dyDescent="0.25">
      <c r="A58" s="22" t="s">
        <v>325</v>
      </c>
      <c r="B58" s="15">
        <v>1000</v>
      </c>
      <c r="C58" s="15">
        <v>-1.2</v>
      </c>
      <c r="D58" s="10">
        <v>0</v>
      </c>
      <c r="E58" s="9">
        <v>0</v>
      </c>
      <c r="F58" s="9">
        <v>1E-3</v>
      </c>
      <c r="G58" s="9">
        <v>7.4999999999999997E-2</v>
      </c>
      <c r="H58" s="9">
        <v>7.4999999999999997E-2</v>
      </c>
      <c r="I58" s="9">
        <v>20</v>
      </c>
      <c r="J58" s="9">
        <v>0.1</v>
      </c>
    </row>
    <row r="59" spans="1:10" x14ac:dyDescent="0.25">
      <c r="A59" s="22" t="s">
        <v>326</v>
      </c>
      <c r="B59" s="15">
        <v>1000</v>
      </c>
      <c r="C59" s="15">
        <v>-4.5</v>
      </c>
      <c r="D59" s="10">
        <v>0</v>
      </c>
      <c r="E59" s="9">
        <v>0</v>
      </c>
      <c r="F59" s="9">
        <v>1E-3</v>
      </c>
      <c r="G59" s="9">
        <v>0.02</v>
      </c>
      <c r="H59" s="9">
        <v>0.02</v>
      </c>
      <c r="I59" s="9">
        <v>20</v>
      </c>
      <c r="J59" s="9">
        <v>0.1</v>
      </c>
    </row>
    <row r="60" spans="1:10" x14ac:dyDescent="0.25">
      <c r="A60" s="22" t="s">
        <v>327</v>
      </c>
      <c r="B60" s="15">
        <v>1000</v>
      </c>
      <c r="C60" s="15">
        <v>-9</v>
      </c>
      <c r="D60" s="10">
        <v>0</v>
      </c>
      <c r="E60" s="9">
        <v>0</v>
      </c>
      <c r="F60" s="9">
        <v>1E-3</v>
      </c>
      <c r="G60" s="9">
        <v>0.01</v>
      </c>
      <c r="H60" s="9">
        <v>0.01</v>
      </c>
      <c r="I60" s="9">
        <v>20</v>
      </c>
      <c r="J60" s="9">
        <v>0.1</v>
      </c>
    </row>
    <row r="61" spans="1:10" x14ac:dyDescent="0.25">
      <c r="A61" s="22" t="s">
        <v>328</v>
      </c>
      <c r="B61" s="15">
        <v>1000</v>
      </c>
      <c r="C61" s="15">
        <v>-15</v>
      </c>
      <c r="D61" s="10">
        <v>0</v>
      </c>
      <c r="E61" s="9">
        <v>0</v>
      </c>
      <c r="F61" s="9">
        <v>1E-3</v>
      </c>
      <c r="G61" s="9">
        <v>0.01</v>
      </c>
      <c r="H61" s="9">
        <v>0.01</v>
      </c>
      <c r="I61" s="9">
        <v>20</v>
      </c>
      <c r="J61" s="9">
        <v>0.1</v>
      </c>
    </row>
    <row r="62" spans="1:10" x14ac:dyDescent="0.25">
      <c r="A62" s="22" t="s">
        <v>329</v>
      </c>
      <c r="B62" s="15">
        <v>1000</v>
      </c>
      <c r="C62" s="15">
        <v>-20</v>
      </c>
      <c r="D62" s="10">
        <v>0</v>
      </c>
      <c r="E62" s="9">
        <v>0</v>
      </c>
      <c r="F62" s="9">
        <v>1E-3</v>
      </c>
      <c r="G62" s="9">
        <v>0.01</v>
      </c>
      <c r="H62" s="9">
        <v>0.01</v>
      </c>
      <c r="I62" s="9">
        <v>20</v>
      </c>
      <c r="J62" s="9">
        <v>0.1</v>
      </c>
    </row>
    <row r="63" spans="1:10" x14ac:dyDescent="0.25">
      <c r="A63" s="22" t="s">
        <v>330</v>
      </c>
      <c r="B63" s="15">
        <v>1000</v>
      </c>
      <c r="C63" s="15">
        <v>-30</v>
      </c>
      <c r="D63" s="10">
        <v>0</v>
      </c>
      <c r="E63" s="9">
        <v>0</v>
      </c>
      <c r="F63" s="9">
        <v>1E-3</v>
      </c>
      <c r="G63" s="9">
        <v>5.0000000000000001E-3</v>
      </c>
      <c r="H63" s="9">
        <v>5.0000000000000001E-3</v>
      </c>
      <c r="I63" s="9">
        <v>20</v>
      </c>
      <c r="J63" s="9">
        <v>0.1</v>
      </c>
    </row>
    <row r="64" spans="1:10" x14ac:dyDescent="0.25">
      <c r="A64" s="22" t="s">
        <v>331</v>
      </c>
      <c r="B64" s="15">
        <v>1000</v>
      </c>
      <c r="C64" s="15">
        <v>-150</v>
      </c>
      <c r="D64" s="10">
        <v>0</v>
      </c>
      <c r="E64" s="9">
        <v>0</v>
      </c>
      <c r="F64" s="9">
        <v>1E-3</v>
      </c>
      <c r="G64" s="9">
        <v>5.0000000000000001E-3</v>
      </c>
      <c r="H64" s="9">
        <v>5.0000000000000001E-3</v>
      </c>
      <c r="I64" s="9">
        <v>20</v>
      </c>
      <c r="J64" s="9">
        <v>0.1</v>
      </c>
    </row>
    <row r="65" spans="1:10" x14ac:dyDescent="0.25">
      <c r="A65" s="22" t="s">
        <v>332</v>
      </c>
      <c r="B65" s="15">
        <v>1000</v>
      </c>
      <c r="C65" s="15">
        <v>-300</v>
      </c>
      <c r="D65" s="10">
        <v>0</v>
      </c>
      <c r="E65" s="9">
        <v>0</v>
      </c>
      <c r="F65" s="9">
        <v>1E-3</v>
      </c>
      <c r="G65" s="9">
        <v>5.0000000000000001E-3</v>
      </c>
      <c r="H65" s="9">
        <v>5.0000000000000001E-3</v>
      </c>
      <c r="I65" s="9">
        <v>20</v>
      </c>
      <c r="J65" s="9">
        <v>0.1</v>
      </c>
    </row>
    <row r="66" spans="1:10" x14ac:dyDescent="0.25">
      <c r="A66" s="22" t="s">
        <v>333</v>
      </c>
      <c r="B66" s="15">
        <v>1000</v>
      </c>
      <c r="C66" s="15">
        <v>-400</v>
      </c>
      <c r="D66" s="10">
        <v>0</v>
      </c>
      <c r="E66" s="9">
        <v>0</v>
      </c>
      <c r="F66" s="9">
        <v>1E-3</v>
      </c>
      <c r="G66" s="9">
        <v>5.0000000000000001E-3</v>
      </c>
      <c r="H66" s="9">
        <v>5.0000000000000001E-3</v>
      </c>
      <c r="I66" s="9">
        <v>20</v>
      </c>
      <c r="J66" s="9">
        <v>0.1</v>
      </c>
    </row>
    <row r="67" spans="1:10" x14ac:dyDescent="0.25">
      <c r="A67" s="22" t="s">
        <v>334</v>
      </c>
      <c r="B67" s="15">
        <v>1000</v>
      </c>
      <c r="C67" s="15">
        <v>-600</v>
      </c>
      <c r="D67" s="10">
        <v>0</v>
      </c>
      <c r="E67" s="9">
        <v>0</v>
      </c>
      <c r="F67" s="9">
        <v>1E-3</v>
      </c>
      <c r="G67" s="9">
        <v>5.0000000000000001E-3</v>
      </c>
      <c r="H67" s="9">
        <v>5.0000000000000001E-3</v>
      </c>
      <c r="I67" s="9">
        <v>20</v>
      </c>
      <c r="J67" s="9">
        <v>0.1</v>
      </c>
    </row>
    <row r="68" spans="1:10" x14ac:dyDescent="0.25">
      <c r="A68" s="22" t="s">
        <v>335</v>
      </c>
      <c r="B68" s="15">
        <v>1000</v>
      </c>
      <c r="C68" s="19">
        <v>-800</v>
      </c>
      <c r="D68" s="10">
        <v>0</v>
      </c>
      <c r="E68" s="9">
        <v>0</v>
      </c>
      <c r="F68" s="9">
        <v>1E-3</v>
      </c>
      <c r="G68" s="9">
        <v>5.0000000000000001E-3</v>
      </c>
      <c r="H68" s="9">
        <v>5.0000000000000001E-3</v>
      </c>
      <c r="I68" s="9">
        <v>20</v>
      </c>
      <c r="J68" s="9">
        <v>0.1</v>
      </c>
    </row>
    <row r="69" spans="1:10" x14ac:dyDescent="0.25">
      <c r="A69" s="22" t="s">
        <v>336</v>
      </c>
      <c r="B69" s="15">
        <v>1000</v>
      </c>
      <c r="C69" s="19">
        <v>-1000</v>
      </c>
      <c r="D69" s="10">
        <v>0</v>
      </c>
      <c r="E69" s="9">
        <v>0</v>
      </c>
      <c r="F69" s="9">
        <v>1E-3</v>
      </c>
      <c r="G69" s="9">
        <v>5.0000000000000001E-3</v>
      </c>
      <c r="H69" s="9">
        <v>5.0000000000000001E-3</v>
      </c>
      <c r="I69" s="9">
        <v>20</v>
      </c>
      <c r="J69" s="9">
        <v>0.1</v>
      </c>
    </row>
    <row r="70" spans="1:10" x14ac:dyDescent="0.25">
      <c r="A70" s="22" t="s">
        <v>337</v>
      </c>
      <c r="B70" s="15">
        <v>1000</v>
      </c>
      <c r="C70" s="19">
        <v>-1200</v>
      </c>
      <c r="D70" s="10">
        <v>0</v>
      </c>
      <c r="E70" s="9">
        <v>0</v>
      </c>
      <c r="F70" s="9">
        <v>1E-3</v>
      </c>
      <c r="G70" s="9">
        <v>5.0000000000000001E-3</v>
      </c>
      <c r="H70" s="9">
        <v>5.0000000000000001E-3</v>
      </c>
      <c r="I70" s="9">
        <v>20</v>
      </c>
      <c r="J70" s="9">
        <v>0.1</v>
      </c>
    </row>
    <row r="71" spans="1:10" x14ac:dyDescent="0.25">
      <c r="A71" s="22" t="s">
        <v>338</v>
      </c>
      <c r="B71" s="15">
        <v>1000</v>
      </c>
      <c r="C71" s="19">
        <v>-1500</v>
      </c>
      <c r="D71" s="10">
        <v>0</v>
      </c>
      <c r="E71" s="9">
        <v>0</v>
      </c>
      <c r="F71" s="9">
        <v>1E-3</v>
      </c>
      <c r="G71" s="9">
        <v>5.0000000000000001E-3</v>
      </c>
      <c r="H71" s="9">
        <v>5.0000000000000001E-3</v>
      </c>
      <c r="I71" s="9">
        <v>20</v>
      </c>
      <c r="J71" s="9">
        <v>0.1</v>
      </c>
    </row>
    <row r="72" spans="1:10" x14ac:dyDescent="0.25">
      <c r="A72" s="22" t="s">
        <v>339</v>
      </c>
      <c r="B72" s="15">
        <v>1200</v>
      </c>
      <c r="C72" s="15">
        <v>-1.2</v>
      </c>
      <c r="D72" s="10">
        <v>0</v>
      </c>
      <c r="E72" s="9">
        <v>0</v>
      </c>
      <c r="F72" s="9">
        <v>1E-3</v>
      </c>
      <c r="G72" s="9">
        <v>7.4999999999999997E-2</v>
      </c>
      <c r="H72" s="9">
        <v>7.4999999999999997E-2</v>
      </c>
      <c r="I72" s="9">
        <v>20</v>
      </c>
      <c r="J72" s="9">
        <v>0.1</v>
      </c>
    </row>
    <row r="73" spans="1:10" x14ac:dyDescent="0.25">
      <c r="A73" s="22" t="s">
        <v>340</v>
      </c>
      <c r="B73" s="15">
        <v>1200</v>
      </c>
      <c r="C73" s="15">
        <v>-4.5</v>
      </c>
      <c r="D73" s="10">
        <v>0</v>
      </c>
      <c r="E73" s="9">
        <v>0</v>
      </c>
      <c r="F73" s="9">
        <v>1E-3</v>
      </c>
      <c r="G73" s="9">
        <v>0.02</v>
      </c>
      <c r="H73" s="9">
        <v>0.02</v>
      </c>
      <c r="I73" s="9">
        <v>20</v>
      </c>
      <c r="J73" s="9">
        <v>0.1</v>
      </c>
    </row>
    <row r="74" spans="1:10" x14ac:dyDescent="0.25">
      <c r="A74" s="22" t="s">
        <v>341</v>
      </c>
      <c r="B74" s="15">
        <v>1200</v>
      </c>
      <c r="C74" s="15">
        <v>-9</v>
      </c>
      <c r="D74" s="10">
        <v>0</v>
      </c>
      <c r="E74" s="9">
        <v>0</v>
      </c>
      <c r="F74" s="9">
        <v>1E-3</v>
      </c>
      <c r="G74" s="9">
        <v>0.01</v>
      </c>
      <c r="H74" s="9">
        <v>0.01</v>
      </c>
      <c r="I74" s="9">
        <v>20</v>
      </c>
      <c r="J74" s="9">
        <v>0.1</v>
      </c>
    </row>
    <row r="75" spans="1:10" x14ac:dyDescent="0.25">
      <c r="A75" s="22" t="s">
        <v>342</v>
      </c>
      <c r="B75" s="15">
        <v>1200</v>
      </c>
      <c r="C75" s="15">
        <v>-15</v>
      </c>
      <c r="D75" s="10">
        <v>0</v>
      </c>
      <c r="E75" s="9">
        <v>0</v>
      </c>
      <c r="F75" s="9">
        <v>1E-3</v>
      </c>
      <c r="G75" s="9">
        <v>0.01</v>
      </c>
      <c r="H75" s="9">
        <v>0.01</v>
      </c>
      <c r="I75" s="9">
        <v>20</v>
      </c>
      <c r="J75" s="9">
        <v>0.1</v>
      </c>
    </row>
    <row r="76" spans="1:10" x14ac:dyDescent="0.25">
      <c r="A76" s="22" t="s">
        <v>343</v>
      </c>
      <c r="B76" s="15">
        <v>1200</v>
      </c>
      <c r="C76" s="15">
        <v>-20</v>
      </c>
      <c r="D76" s="10">
        <v>0</v>
      </c>
      <c r="E76" s="9">
        <v>0</v>
      </c>
      <c r="F76" s="9">
        <v>1E-3</v>
      </c>
      <c r="G76" s="9">
        <v>0.01</v>
      </c>
      <c r="H76" s="9">
        <v>0.01</v>
      </c>
      <c r="I76" s="9">
        <v>20</v>
      </c>
      <c r="J76" s="9">
        <v>0.1</v>
      </c>
    </row>
    <row r="77" spans="1:10" x14ac:dyDescent="0.25">
      <c r="A77" s="22" t="s">
        <v>344</v>
      </c>
      <c r="B77" s="15">
        <v>1200</v>
      </c>
      <c r="C77" s="15">
        <v>-30</v>
      </c>
      <c r="D77" s="10">
        <v>0</v>
      </c>
      <c r="E77" s="9">
        <v>0</v>
      </c>
      <c r="F77" s="9">
        <v>1E-3</v>
      </c>
      <c r="G77" s="9">
        <v>5.0000000000000001E-3</v>
      </c>
      <c r="H77" s="9">
        <v>5.0000000000000001E-3</v>
      </c>
      <c r="I77" s="9">
        <v>20</v>
      </c>
      <c r="J77" s="9">
        <v>0.1</v>
      </c>
    </row>
    <row r="78" spans="1:10" x14ac:dyDescent="0.25">
      <c r="A78" s="22" t="s">
        <v>345</v>
      </c>
      <c r="B78" s="15">
        <v>1200</v>
      </c>
      <c r="C78" s="15">
        <v>-150</v>
      </c>
      <c r="D78" s="10">
        <v>0</v>
      </c>
      <c r="E78" s="9">
        <v>0</v>
      </c>
      <c r="F78" s="9">
        <v>1E-3</v>
      </c>
      <c r="G78" s="9">
        <v>5.0000000000000001E-3</v>
      </c>
      <c r="H78" s="9">
        <v>5.0000000000000001E-3</v>
      </c>
      <c r="I78" s="9">
        <v>20</v>
      </c>
      <c r="J78" s="9">
        <v>0.1</v>
      </c>
    </row>
    <row r="79" spans="1:10" x14ac:dyDescent="0.25">
      <c r="A79" s="22" t="s">
        <v>346</v>
      </c>
      <c r="B79" s="15">
        <v>1200</v>
      </c>
      <c r="C79" s="15">
        <v>-300</v>
      </c>
      <c r="D79" s="10">
        <v>0</v>
      </c>
      <c r="E79" s="9">
        <v>0</v>
      </c>
      <c r="F79" s="9">
        <v>1E-3</v>
      </c>
      <c r="G79" s="9">
        <v>5.0000000000000001E-3</v>
      </c>
      <c r="H79" s="9">
        <v>5.0000000000000001E-3</v>
      </c>
      <c r="I79" s="9">
        <v>20</v>
      </c>
      <c r="J79" s="9">
        <v>0.1</v>
      </c>
    </row>
    <row r="80" spans="1:10" x14ac:dyDescent="0.25">
      <c r="A80" s="22" t="s">
        <v>347</v>
      </c>
      <c r="B80" s="15">
        <v>1200</v>
      </c>
      <c r="C80" s="15">
        <v>-400</v>
      </c>
      <c r="D80" s="10">
        <v>0</v>
      </c>
      <c r="E80" s="9">
        <v>0</v>
      </c>
      <c r="F80" s="9">
        <v>1E-3</v>
      </c>
      <c r="G80" s="9">
        <v>5.0000000000000001E-3</v>
      </c>
      <c r="H80" s="9">
        <v>5.0000000000000001E-3</v>
      </c>
      <c r="I80" s="9">
        <v>20</v>
      </c>
      <c r="J80" s="9">
        <v>0.1</v>
      </c>
    </row>
    <row r="81" spans="1:10" x14ac:dyDescent="0.25">
      <c r="A81" s="22" t="s">
        <v>348</v>
      </c>
      <c r="B81" s="15">
        <v>1200</v>
      </c>
      <c r="C81" s="15">
        <v>-600</v>
      </c>
      <c r="D81" s="10">
        <v>0</v>
      </c>
      <c r="E81" s="9">
        <v>0</v>
      </c>
      <c r="F81" s="9">
        <v>1E-3</v>
      </c>
      <c r="G81" s="9">
        <v>5.0000000000000001E-3</v>
      </c>
      <c r="H81" s="9">
        <v>5.0000000000000001E-3</v>
      </c>
      <c r="I81" s="9">
        <v>20</v>
      </c>
      <c r="J81" s="9">
        <v>0.1</v>
      </c>
    </row>
    <row r="82" spans="1:10" x14ac:dyDescent="0.25">
      <c r="A82" s="22" t="s">
        <v>349</v>
      </c>
      <c r="B82" s="15">
        <v>1200</v>
      </c>
      <c r="C82" s="19">
        <v>-800</v>
      </c>
      <c r="D82" s="10">
        <v>0</v>
      </c>
      <c r="E82" s="9">
        <v>0</v>
      </c>
      <c r="F82" s="9">
        <v>1E-3</v>
      </c>
      <c r="G82" s="9">
        <v>5.0000000000000001E-3</v>
      </c>
      <c r="H82" s="9">
        <v>5.0000000000000001E-3</v>
      </c>
      <c r="I82" s="9">
        <v>20</v>
      </c>
      <c r="J82" s="9">
        <v>0.1</v>
      </c>
    </row>
    <row r="83" spans="1:10" x14ac:dyDescent="0.25">
      <c r="A83" s="22" t="s">
        <v>350</v>
      </c>
      <c r="B83" s="15">
        <v>1200</v>
      </c>
      <c r="C83" s="19">
        <v>-1000</v>
      </c>
      <c r="D83" s="10">
        <v>0</v>
      </c>
      <c r="E83" s="9">
        <v>0</v>
      </c>
      <c r="F83" s="9">
        <v>1E-3</v>
      </c>
      <c r="G83" s="9">
        <v>5.0000000000000001E-3</v>
      </c>
      <c r="H83" s="9">
        <v>5.0000000000000001E-3</v>
      </c>
      <c r="I83" s="9">
        <v>20</v>
      </c>
      <c r="J83" s="9">
        <v>0.1</v>
      </c>
    </row>
    <row r="84" spans="1:10" x14ac:dyDescent="0.25">
      <c r="A84" s="22" t="s">
        <v>351</v>
      </c>
      <c r="B84" s="15">
        <v>1200</v>
      </c>
      <c r="C84" s="19">
        <v>-1200</v>
      </c>
      <c r="D84" s="10">
        <v>0</v>
      </c>
      <c r="E84" s="9">
        <v>0</v>
      </c>
      <c r="F84" s="9">
        <v>1E-3</v>
      </c>
      <c r="G84" s="9">
        <v>5.0000000000000001E-3</v>
      </c>
      <c r="H84" s="9">
        <v>5.0000000000000001E-3</v>
      </c>
      <c r="I84" s="9">
        <v>20</v>
      </c>
      <c r="J84" s="9">
        <v>0.1</v>
      </c>
    </row>
    <row r="85" spans="1:10" x14ac:dyDescent="0.25">
      <c r="A85" s="22" t="s">
        <v>352</v>
      </c>
      <c r="B85" s="15">
        <v>1200</v>
      </c>
      <c r="C85" s="19">
        <v>-1500</v>
      </c>
      <c r="D85" s="10">
        <v>0</v>
      </c>
      <c r="E85" s="9">
        <v>0</v>
      </c>
      <c r="F85" s="9">
        <v>1E-3</v>
      </c>
      <c r="G85" s="9">
        <v>5.0000000000000001E-3</v>
      </c>
      <c r="H85" s="9">
        <v>5.0000000000000001E-3</v>
      </c>
      <c r="I85" s="9">
        <v>20</v>
      </c>
      <c r="J85" s="9">
        <v>0.1</v>
      </c>
    </row>
    <row r="86" spans="1:10" x14ac:dyDescent="0.25">
      <c r="A86" s="22" t="s">
        <v>353</v>
      </c>
      <c r="B86" s="15">
        <v>1500</v>
      </c>
      <c r="C86" s="15">
        <v>-1.2</v>
      </c>
      <c r="D86" s="10">
        <v>0</v>
      </c>
      <c r="E86" s="9">
        <v>0</v>
      </c>
      <c r="F86" s="9">
        <v>1E-3</v>
      </c>
      <c r="G86" s="9">
        <v>7.4999999999999997E-2</v>
      </c>
      <c r="H86" s="9">
        <v>7.4999999999999997E-2</v>
      </c>
      <c r="I86" s="9">
        <v>20</v>
      </c>
      <c r="J86" s="9">
        <v>0.1</v>
      </c>
    </row>
    <row r="87" spans="1:10" x14ac:dyDescent="0.25">
      <c r="A87" s="22" t="s">
        <v>354</v>
      </c>
      <c r="B87" s="15">
        <v>1500</v>
      </c>
      <c r="C87" s="15">
        <v>-4.5</v>
      </c>
      <c r="D87" s="10">
        <v>0</v>
      </c>
      <c r="E87" s="9">
        <v>0</v>
      </c>
      <c r="F87" s="9">
        <v>1E-3</v>
      </c>
      <c r="G87" s="9">
        <v>0.02</v>
      </c>
      <c r="H87" s="9">
        <v>0.02</v>
      </c>
      <c r="I87" s="9">
        <v>20</v>
      </c>
      <c r="J87" s="9">
        <v>0.1</v>
      </c>
    </row>
    <row r="88" spans="1:10" x14ac:dyDescent="0.25">
      <c r="A88" s="22" t="s">
        <v>355</v>
      </c>
      <c r="B88" s="15">
        <v>1500</v>
      </c>
      <c r="C88" s="15">
        <v>-9</v>
      </c>
      <c r="D88" s="10">
        <v>0</v>
      </c>
      <c r="E88" s="9">
        <v>0</v>
      </c>
      <c r="F88" s="9">
        <v>1E-3</v>
      </c>
      <c r="G88" s="9">
        <v>0.01</v>
      </c>
      <c r="H88" s="9">
        <v>0.01</v>
      </c>
      <c r="I88" s="9">
        <v>20</v>
      </c>
      <c r="J88" s="9">
        <v>0.1</v>
      </c>
    </row>
    <row r="89" spans="1:10" x14ac:dyDescent="0.25">
      <c r="A89" s="22" t="s">
        <v>356</v>
      </c>
      <c r="B89" s="15">
        <v>1500</v>
      </c>
      <c r="C89" s="15">
        <v>-15</v>
      </c>
      <c r="D89" s="10">
        <v>0</v>
      </c>
      <c r="E89" s="9">
        <v>0</v>
      </c>
      <c r="F89" s="9">
        <v>1E-3</v>
      </c>
      <c r="G89" s="9">
        <v>0.01</v>
      </c>
      <c r="H89" s="9">
        <v>0.01</v>
      </c>
      <c r="I89" s="9">
        <v>20</v>
      </c>
      <c r="J89" s="9">
        <v>0.1</v>
      </c>
    </row>
    <row r="90" spans="1:10" x14ac:dyDescent="0.25">
      <c r="A90" s="22" t="s">
        <v>357</v>
      </c>
      <c r="B90" s="15">
        <v>1500</v>
      </c>
      <c r="C90" s="15">
        <v>-20</v>
      </c>
      <c r="D90" s="10">
        <v>0</v>
      </c>
      <c r="E90" s="9">
        <v>0</v>
      </c>
      <c r="F90" s="9">
        <v>1E-3</v>
      </c>
      <c r="G90" s="9">
        <v>0.01</v>
      </c>
      <c r="H90" s="9">
        <v>0.01</v>
      </c>
      <c r="I90" s="9">
        <v>20</v>
      </c>
      <c r="J90" s="9">
        <v>0.1</v>
      </c>
    </row>
    <row r="91" spans="1:10" x14ac:dyDescent="0.25">
      <c r="A91" s="22" t="s">
        <v>358</v>
      </c>
      <c r="B91" s="15">
        <v>1500</v>
      </c>
      <c r="C91" s="15">
        <v>-30</v>
      </c>
      <c r="D91" s="10">
        <v>0</v>
      </c>
      <c r="E91" s="9">
        <v>0</v>
      </c>
      <c r="F91" s="9">
        <v>1E-3</v>
      </c>
      <c r="G91" s="9">
        <v>5.0000000000000001E-3</v>
      </c>
      <c r="H91" s="9">
        <v>5.0000000000000001E-3</v>
      </c>
      <c r="I91" s="9">
        <v>20</v>
      </c>
      <c r="J91" s="9">
        <v>0.1</v>
      </c>
    </row>
    <row r="92" spans="1:10" x14ac:dyDescent="0.25">
      <c r="A92" s="22" t="s">
        <v>359</v>
      </c>
      <c r="B92" s="15">
        <v>1500</v>
      </c>
      <c r="C92" s="15">
        <v>-150</v>
      </c>
      <c r="D92" s="10">
        <v>0</v>
      </c>
      <c r="E92" s="9">
        <v>0</v>
      </c>
      <c r="F92" s="9">
        <v>1E-3</v>
      </c>
      <c r="G92" s="9">
        <v>5.0000000000000001E-3</v>
      </c>
      <c r="H92" s="9">
        <v>5.0000000000000001E-3</v>
      </c>
      <c r="I92" s="9">
        <v>20</v>
      </c>
      <c r="J92" s="9">
        <v>0.1</v>
      </c>
    </row>
    <row r="93" spans="1:10" x14ac:dyDescent="0.25">
      <c r="A93" s="22" t="s">
        <v>360</v>
      </c>
      <c r="B93" s="15">
        <v>1500</v>
      </c>
      <c r="C93" s="15">
        <v>-300</v>
      </c>
      <c r="D93" s="10">
        <v>0</v>
      </c>
      <c r="E93" s="9">
        <v>0</v>
      </c>
      <c r="F93" s="9">
        <v>1E-3</v>
      </c>
      <c r="G93" s="9">
        <v>5.0000000000000001E-3</v>
      </c>
      <c r="H93" s="9">
        <v>5.0000000000000001E-3</v>
      </c>
      <c r="I93" s="9">
        <v>20</v>
      </c>
      <c r="J93" s="9">
        <v>0.1</v>
      </c>
    </row>
    <row r="94" spans="1:10" x14ac:dyDescent="0.25">
      <c r="A94" s="22" t="s">
        <v>361</v>
      </c>
      <c r="B94" s="15">
        <v>1500</v>
      </c>
      <c r="C94" s="15">
        <v>-400</v>
      </c>
      <c r="D94" s="10">
        <v>0</v>
      </c>
      <c r="E94" s="9">
        <v>0</v>
      </c>
      <c r="F94" s="9">
        <v>1E-3</v>
      </c>
      <c r="G94" s="9">
        <v>5.0000000000000001E-3</v>
      </c>
      <c r="H94" s="9">
        <v>5.0000000000000001E-3</v>
      </c>
      <c r="I94" s="9">
        <v>20</v>
      </c>
      <c r="J94" s="9">
        <v>0.1</v>
      </c>
    </row>
    <row r="95" spans="1:10" x14ac:dyDescent="0.25">
      <c r="A95" s="22" t="s">
        <v>362</v>
      </c>
      <c r="B95" s="15">
        <v>1500</v>
      </c>
      <c r="C95" s="15">
        <v>-600</v>
      </c>
      <c r="D95" s="10">
        <v>0</v>
      </c>
      <c r="E95" s="9">
        <v>0</v>
      </c>
      <c r="F95" s="9">
        <v>1E-3</v>
      </c>
      <c r="G95" s="9">
        <v>5.0000000000000001E-3</v>
      </c>
      <c r="H95" s="9">
        <v>5.0000000000000001E-3</v>
      </c>
      <c r="I95" s="9">
        <v>20</v>
      </c>
      <c r="J95" s="9">
        <v>0.1</v>
      </c>
    </row>
    <row r="96" spans="1:10" x14ac:dyDescent="0.25">
      <c r="A96" s="22" t="s">
        <v>363</v>
      </c>
      <c r="B96" s="15">
        <v>1500</v>
      </c>
      <c r="C96" s="19">
        <v>-800</v>
      </c>
      <c r="D96" s="10">
        <v>0</v>
      </c>
      <c r="E96" s="9">
        <v>0</v>
      </c>
      <c r="F96" s="9">
        <v>1E-3</v>
      </c>
      <c r="G96" s="9">
        <v>5.0000000000000001E-3</v>
      </c>
      <c r="H96" s="9">
        <v>5.0000000000000001E-3</v>
      </c>
      <c r="I96" s="9">
        <v>20</v>
      </c>
      <c r="J96" s="9">
        <v>0.1</v>
      </c>
    </row>
    <row r="97" spans="1:10" x14ac:dyDescent="0.25">
      <c r="A97" s="22" t="s">
        <v>364</v>
      </c>
      <c r="B97" s="15">
        <v>1500</v>
      </c>
      <c r="C97" s="19">
        <v>-1000</v>
      </c>
      <c r="D97" s="10">
        <v>0</v>
      </c>
      <c r="E97" s="9">
        <v>0</v>
      </c>
      <c r="F97" s="9">
        <v>1E-3</v>
      </c>
      <c r="G97" s="9">
        <v>5.0000000000000001E-3</v>
      </c>
      <c r="H97" s="9">
        <v>5.0000000000000001E-3</v>
      </c>
      <c r="I97" s="9">
        <v>20</v>
      </c>
      <c r="J97" s="9">
        <v>0.1</v>
      </c>
    </row>
    <row r="98" spans="1:10" x14ac:dyDescent="0.25">
      <c r="A98" s="22" t="s">
        <v>365</v>
      </c>
      <c r="B98" s="15">
        <v>1500</v>
      </c>
      <c r="C98" s="19">
        <v>-1200</v>
      </c>
      <c r="D98" s="10">
        <v>0</v>
      </c>
      <c r="E98" s="9">
        <v>0</v>
      </c>
      <c r="F98" s="9">
        <v>1E-3</v>
      </c>
      <c r="G98" s="9">
        <v>5.0000000000000001E-3</v>
      </c>
      <c r="H98" s="9">
        <v>5.0000000000000001E-3</v>
      </c>
      <c r="I98" s="9">
        <v>20</v>
      </c>
      <c r="J98" s="9">
        <v>0.1</v>
      </c>
    </row>
    <row r="99" spans="1:10" x14ac:dyDescent="0.25">
      <c r="A99" s="22" t="s">
        <v>366</v>
      </c>
      <c r="B99" s="15">
        <v>1500</v>
      </c>
      <c r="C99" s="19">
        <v>-1500</v>
      </c>
      <c r="D99" s="10">
        <v>0</v>
      </c>
      <c r="E99" s="9">
        <v>0</v>
      </c>
      <c r="F99" s="9">
        <v>1E-3</v>
      </c>
      <c r="G99" s="9">
        <v>5.0000000000000001E-3</v>
      </c>
      <c r="H99" s="9">
        <v>5.0000000000000001E-3</v>
      </c>
      <c r="I99" s="9">
        <v>20</v>
      </c>
      <c r="J99" s="9">
        <v>0.1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BDA8-32D9-4273-B6A3-42F9D86DDBD2}">
  <dimension ref="A1:J2"/>
  <sheetViews>
    <sheetView workbookViewId="0">
      <selection activeCell="I16" sqref="I16"/>
    </sheetView>
  </sheetViews>
  <sheetFormatPr defaultRowHeight="14.4" x14ac:dyDescent="0.25"/>
  <cols>
    <col min="1" max="1" width="23.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t="s">
        <v>8</v>
      </c>
      <c r="J1" t="s">
        <v>9</v>
      </c>
    </row>
    <row r="2" spans="1:10" x14ac:dyDescent="0.25">
      <c r="A2" s="22" t="s">
        <v>171</v>
      </c>
      <c r="B2" s="15">
        <v>60</v>
      </c>
      <c r="C2" s="15">
        <v>1.2</v>
      </c>
      <c r="D2" s="10">
        <v>0</v>
      </c>
      <c r="E2" s="9">
        <v>0</v>
      </c>
      <c r="F2" s="9">
        <v>1E-3</v>
      </c>
      <c r="G2" s="9">
        <v>7.4999999999999997E-2</v>
      </c>
      <c r="H2" s="9">
        <v>7.4999999999999997E-2</v>
      </c>
      <c r="I2" s="9">
        <v>20</v>
      </c>
      <c r="J2" s="9">
        <v>0.1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2"/>
  <sheetViews>
    <sheetView topLeftCell="A59" workbookViewId="0">
      <selection activeCell="B3" sqref="B3:C102"/>
    </sheetView>
  </sheetViews>
  <sheetFormatPr defaultColWidth="8.88671875" defaultRowHeight="14.4" customHeight="1" x14ac:dyDescent="0.25"/>
  <cols>
    <col min="1" max="1" width="17.5546875" customWidth="1"/>
    <col min="5" max="5" width="13.109375" customWidth="1"/>
    <col min="6" max="6" width="10.44140625" customWidth="1"/>
    <col min="7" max="7" width="10.6640625" customWidth="1"/>
    <col min="8" max="8" width="9.6640625"/>
    <col min="9" max="9" width="11.77734375"/>
    <col min="10" max="11" width="10.6640625"/>
    <col min="12" max="12" width="10.88671875" customWidth="1"/>
    <col min="13" max="13" width="11.6640625" customWidth="1"/>
  </cols>
  <sheetData>
    <row r="1" spans="1:13" ht="14.4" customHeight="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4.4" customHeight="1" x14ac:dyDescent="0.25">
      <c r="A2" s="4" t="s">
        <v>0</v>
      </c>
      <c r="B2" s="4" t="s">
        <v>1</v>
      </c>
      <c r="C2" s="4" t="s">
        <v>2</v>
      </c>
      <c r="D2" s="5" t="s">
        <v>21</v>
      </c>
      <c r="E2" s="6" t="s">
        <v>22</v>
      </c>
      <c r="F2" s="7" t="s">
        <v>23</v>
      </c>
      <c r="G2" s="8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</row>
    <row r="3" spans="1:13" ht="14.4" customHeight="1" x14ac:dyDescent="0.25">
      <c r="A3" s="14" t="s">
        <v>71</v>
      </c>
      <c r="B3" s="15">
        <v>60</v>
      </c>
      <c r="C3" s="15">
        <v>1.2</v>
      </c>
      <c r="D3" s="16">
        <f>B3*C3*0.001</f>
        <v>7.2000000000000008E-2</v>
      </c>
      <c r="E3" s="17">
        <v>5000</v>
      </c>
      <c r="F3" s="16">
        <f>1/E3/D3*3600000</f>
        <v>9999.9999999999982</v>
      </c>
      <c r="G3" s="18">
        <v>7.4999999999999997E-2</v>
      </c>
      <c r="H3" s="16"/>
      <c r="I3" s="16"/>
      <c r="J3" s="16"/>
      <c r="K3" s="16">
        <f t="shared" ref="K3:K66" si="0">(H3-F3)/F3*100</f>
        <v>-100</v>
      </c>
      <c r="L3" s="16">
        <f t="shared" ref="L3:L66" si="1">(I3-F3)/F3*100</f>
        <v>-100</v>
      </c>
      <c r="M3" s="16">
        <f t="shared" ref="M3:M66" si="2">(J3-F3)/F3*100</f>
        <v>-100</v>
      </c>
    </row>
    <row r="4" spans="1:13" ht="14.4" customHeight="1" x14ac:dyDescent="0.25">
      <c r="A4" s="14" t="s">
        <v>72</v>
      </c>
      <c r="B4" s="15">
        <v>60</v>
      </c>
      <c r="C4" s="15">
        <v>4.5</v>
      </c>
      <c r="D4" s="16">
        <f t="shared" ref="D4:D67" si="3">B4*C4*0.001</f>
        <v>0.27</v>
      </c>
      <c r="E4" s="17">
        <v>5000</v>
      </c>
      <c r="F4" s="16">
        <f t="shared" ref="F4:F67" si="4">1/E4/D4*3600000</f>
        <v>2666.6666666666665</v>
      </c>
      <c r="G4" s="18">
        <v>0.02</v>
      </c>
      <c r="H4" s="16"/>
      <c r="I4" s="16"/>
      <c r="J4" s="16"/>
      <c r="K4" s="16">
        <f t="shared" si="0"/>
        <v>-100</v>
      </c>
      <c r="L4" s="16">
        <f t="shared" si="1"/>
        <v>-100</v>
      </c>
      <c r="M4" s="16">
        <f t="shared" si="2"/>
        <v>-100</v>
      </c>
    </row>
    <row r="5" spans="1:13" ht="14.4" customHeight="1" x14ac:dyDescent="0.25">
      <c r="A5" s="14" t="s">
        <v>73</v>
      </c>
      <c r="B5" s="15">
        <v>60</v>
      </c>
      <c r="C5" s="15">
        <v>9</v>
      </c>
      <c r="D5" s="16">
        <f t="shared" si="3"/>
        <v>0.54</v>
      </c>
      <c r="E5" s="17">
        <v>5000</v>
      </c>
      <c r="F5" s="16">
        <f t="shared" si="4"/>
        <v>1333.3333333333333</v>
      </c>
      <c r="G5" s="18">
        <v>0.01</v>
      </c>
      <c r="H5" s="16"/>
      <c r="I5" s="16"/>
      <c r="J5" s="16"/>
      <c r="K5" s="16">
        <f t="shared" si="0"/>
        <v>-100</v>
      </c>
      <c r="L5" s="16">
        <f t="shared" si="1"/>
        <v>-100</v>
      </c>
      <c r="M5" s="16">
        <f t="shared" si="2"/>
        <v>-100</v>
      </c>
    </row>
    <row r="6" spans="1:13" ht="14.4" customHeight="1" x14ac:dyDescent="0.25">
      <c r="A6" s="14" t="s">
        <v>74</v>
      </c>
      <c r="B6" s="15">
        <v>60</v>
      </c>
      <c r="C6" s="15">
        <v>15</v>
      </c>
      <c r="D6" s="16">
        <f t="shared" si="3"/>
        <v>0.9</v>
      </c>
      <c r="E6" s="17">
        <v>5000</v>
      </c>
      <c r="F6" s="16">
        <f t="shared" si="4"/>
        <v>800</v>
      </c>
      <c r="G6" s="18">
        <v>0.01</v>
      </c>
      <c r="H6" s="16"/>
      <c r="I6" s="16"/>
      <c r="J6" s="16"/>
      <c r="K6" s="16">
        <f t="shared" si="0"/>
        <v>-100</v>
      </c>
      <c r="L6" s="16">
        <f t="shared" si="1"/>
        <v>-100</v>
      </c>
      <c r="M6" s="16">
        <f t="shared" si="2"/>
        <v>-100</v>
      </c>
    </row>
    <row r="7" spans="1:13" ht="14.4" customHeight="1" x14ac:dyDescent="0.25">
      <c r="A7" s="14" t="s">
        <v>75</v>
      </c>
      <c r="B7" s="15">
        <v>60</v>
      </c>
      <c r="C7" s="15">
        <v>20</v>
      </c>
      <c r="D7" s="16">
        <f t="shared" si="3"/>
        <v>1.2</v>
      </c>
      <c r="E7" s="17">
        <v>5000</v>
      </c>
      <c r="F7" s="16">
        <f t="shared" si="4"/>
        <v>600.00000000000011</v>
      </c>
      <c r="G7" s="18">
        <v>0.01</v>
      </c>
      <c r="H7" s="16"/>
      <c r="I7" s="16"/>
      <c r="J7" s="16"/>
      <c r="K7" s="16">
        <f t="shared" si="0"/>
        <v>-100</v>
      </c>
      <c r="L7" s="16">
        <f t="shared" si="1"/>
        <v>-100</v>
      </c>
      <c r="M7" s="16">
        <f t="shared" si="2"/>
        <v>-100</v>
      </c>
    </row>
    <row r="8" spans="1:13" ht="14.4" customHeight="1" x14ac:dyDescent="0.25">
      <c r="A8" s="14" t="s">
        <v>76</v>
      </c>
      <c r="B8" s="15">
        <v>60</v>
      </c>
      <c r="C8" s="15">
        <v>30</v>
      </c>
      <c r="D8" s="16">
        <f t="shared" si="3"/>
        <v>1.8</v>
      </c>
      <c r="E8" s="17">
        <v>1000</v>
      </c>
      <c r="F8" s="16">
        <f t="shared" si="4"/>
        <v>2000</v>
      </c>
      <c r="G8" s="18">
        <v>5.0000000000000001E-3</v>
      </c>
      <c r="H8" s="16"/>
      <c r="I8" s="16"/>
      <c r="J8" s="16"/>
      <c r="K8" s="16">
        <f t="shared" si="0"/>
        <v>-100</v>
      </c>
      <c r="L8" s="16">
        <f t="shared" si="1"/>
        <v>-100</v>
      </c>
      <c r="M8" s="16">
        <f t="shared" si="2"/>
        <v>-100</v>
      </c>
    </row>
    <row r="9" spans="1:13" ht="14.4" customHeight="1" x14ac:dyDescent="0.25">
      <c r="A9" s="14" t="s">
        <v>77</v>
      </c>
      <c r="B9" s="15">
        <v>60</v>
      </c>
      <c r="C9" s="15">
        <v>150</v>
      </c>
      <c r="D9" s="16">
        <f t="shared" si="3"/>
        <v>9</v>
      </c>
      <c r="E9" s="17">
        <v>100</v>
      </c>
      <c r="F9" s="16">
        <f t="shared" si="4"/>
        <v>4000</v>
      </c>
      <c r="G9" s="18">
        <v>5.0000000000000001E-3</v>
      </c>
      <c r="H9" s="16"/>
      <c r="I9" s="16"/>
      <c r="J9" s="16"/>
      <c r="K9" s="16">
        <f t="shared" si="0"/>
        <v>-100</v>
      </c>
      <c r="L9" s="16">
        <f t="shared" si="1"/>
        <v>-100</v>
      </c>
      <c r="M9" s="16">
        <f t="shared" si="2"/>
        <v>-100</v>
      </c>
    </row>
    <row r="10" spans="1:13" ht="14.4" customHeight="1" x14ac:dyDescent="0.25">
      <c r="A10" s="14" t="s">
        <v>78</v>
      </c>
      <c r="B10" s="15">
        <v>60</v>
      </c>
      <c r="C10" s="15">
        <v>300</v>
      </c>
      <c r="D10" s="16">
        <f t="shared" si="3"/>
        <v>18</v>
      </c>
      <c r="E10" s="17">
        <v>100</v>
      </c>
      <c r="F10" s="16">
        <f t="shared" si="4"/>
        <v>2000</v>
      </c>
      <c r="G10" s="18">
        <v>5.0000000000000001E-3</v>
      </c>
      <c r="H10" s="16"/>
      <c r="I10" s="16"/>
      <c r="J10" s="16"/>
      <c r="K10" s="16">
        <f t="shared" si="0"/>
        <v>-100</v>
      </c>
      <c r="L10" s="16">
        <f t="shared" si="1"/>
        <v>-100</v>
      </c>
      <c r="M10" s="16">
        <f t="shared" si="2"/>
        <v>-100</v>
      </c>
    </row>
    <row r="11" spans="1:13" ht="14.4" customHeight="1" x14ac:dyDescent="0.25">
      <c r="A11" s="14" t="s">
        <v>79</v>
      </c>
      <c r="B11" s="15">
        <v>60</v>
      </c>
      <c r="C11" s="15">
        <v>400</v>
      </c>
      <c r="D11" s="16">
        <f t="shared" si="3"/>
        <v>24</v>
      </c>
      <c r="E11" s="17">
        <v>100</v>
      </c>
      <c r="F11" s="16">
        <f t="shared" si="4"/>
        <v>1500</v>
      </c>
      <c r="G11" s="18">
        <v>5.0000000000000001E-3</v>
      </c>
      <c r="H11" s="16"/>
      <c r="I11" s="16"/>
      <c r="J11" s="16"/>
      <c r="K11" s="16">
        <f t="shared" si="0"/>
        <v>-100</v>
      </c>
      <c r="L11" s="16">
        <f t="shared" si="1"/>
        <v>-100</v>
      </c>
      <c r="M11" s="16">
        <f t="shared" si="2"/>
        <v>-100</v>
      </c>
    </row>
    <row r="12" spans="1:13" ht="14.4" customHeight="1" x14ac:dyDescent="0.25">
      <c r="A12" s="14" t="s">
        <v>80</v>
      </c>
      <c r="B12" s="15">
        <v>60</v>
      </c>
      <c r="C12" s="15">
        <v>600</v>
      </c>
      <c r="D12" s="16">
        <f t="shared" si="3"/>
        <v>36</v>
      </c>
      <c r="E12" s="17">
        <v>100</v>
      </c>
      <c r="F12" s="16">
        <f t="shared" si="4"/>
        <v>1000</v>
      </c>
      <c r="G12" s="18">
        <v>5.0000000000000001E-3</v>
      </c>
      <c r="H12" s="16"/>
      <c r="I12" s="16"/>
      <c r="J12" s="16"/>
      <c r="K12" s="16">
        <f t="shared" si="0"/>
        <v>-100</v>
      </c>
      <c r="L12" s="16">
        <f t="shared" si="1"/>
        <v>-100</v>
      </c>
      <c r="M12" s="16">
        <f t="shared" si="2"/>
        <v>-100</v>
      </c>
    </row>
    <row r="13" spans="1:13" ht="14.4" customHeight="1" x14ac:dyDescent="0.25">
      <c r="A13" s="14" t="s">
        <v>81</v>
      </c>
      <c r="B13" s="19">
        <v>60</v>
      </c>
      <c r="C13" s="19">
        <v>800</v>
      </c>
      <c r="D13" s="16">
        <f t="shared" si="3"/>
        <v>48</v>
      </c>
      <c r="E13" s="17">
        <v>100</v>
      </c>
      <c r="F13" s="16">
        <f t="shared" si="4"/>
        <v>750</v>
      </c>
      <c r="G13" s="20">
        <v>5.0000000000000001E-3</v>
      </c>
      <c r="H13" s="16"/>
      <c r="I13" s="16"/>
      <c r="J13" s="16"/>
      <c r="K13" s="16">
        <f t="shared" si="0"/>
        <v>-100</v>
      </c>
      <c r="L13" s="16">
        <f t="shared" si="1"/>
        <v>-100</v>
      </c>
      <c r="M13" s="16">
        <f t="shared" si="2"/>
        <v>-100</v>
      </c>
    </row>
    <row r="14" spans="1:13" ht="14.4" customHeight="1" x14ac:dyDescent="0.25">
      <c r="A14" s="14" t="s">
        <v>82</v>
      </c>
      <c r="B14" s="19">
        <v>60</v>
      </c>
      <c r="C14" s="19">
        <v>1000</v>
      </c>
      <c r="D14" s="16">
        <f t="shared" si="3"/>
        <v>60</v>
      </c>
      <c r="E14" s="17">
        <v>100</v>
      </c>
      <c r="F14" s="16">
        <f t="shared" si="4"/>
        <v>600</v>
      </c>
      <c r="G14" s="20">
        <v>5.0000000000000001E-3</v>
      </c>
      <c r="H14" s="16"/>
      <c r="I14" s="16"/>
      <c r="J14" s="16"/>
      <c r="K14" s="16">
        <f t="shared" si="0"/>
        <v>-100</v>
      </c>
      <c r="L14" s="16">
        <f t="shared" si="1"/>
        <v>-100</v>
      </c>
      <c r="M14" s="16">
        <f t="shared" si="2"/>
        <v>-100</v>
      </c>
    </row>
    <row r="15" spans="1:13" ht="14.4" customHeight="1" x14ac:dyDescent="0.25">
      <c r="A15" s="14" t="s">
        <v>83</v>
      </c>
      <c r="B15" s="19">
        <v>60</v>
      </c>
      <c r="C15" s="19">
        <v>1200</v>
      </c>
      <c r="D15" s="16">
        <f t="shared" si="3"/>
        <v>72</v>
      </c>
      <c r="E15" s="17">
        <v>100</v>
      </c>
      <c r="F15" s="16">
        <f t="shared" si="4"/>
        <v>500</v>
      </c>
      <c r="G15" s="20">
        <v>5.0000000000000001E-3</v>
      </c>
      <c r="H15" s="16"/>
      <c r="I15" s="16"/>
      <c r="J15" s="16"/>
      <c r="K15" s="16">
        <f t="shared" si="0"/>
        <v>-100</v>
      </c>
      <c r="L15" s="16">
        <f t="shared" si="1"/>
        <v>-100</v>
      </c>
      <c r="M15" s="16">
        <f t="shared" si="2"/>
        <v>-100</v>
      </c>
    </row>
    <row r="16" spans="1:13" ht="14.4" customHeight="1" x14ac:dyDescent="0.25">
      <c r="A16" s="14" t="s">
        <v>84</v>
      </c>
      <c r="B16" s="19">
        <v>60</v>
      </c>
      <c r="C16" s="19">
        <v>1500</v>
      </c>
      <c r="D16" s="16">
        <f t="shared" si="3"/>
        <v>90</v>
      </c>
      <c r="E16" s="17">
        <v>100</v>
      </c>
      <c r="F16" s="16">
        <f t="shared" si="4"/>
        <v>400</v>
      </c>
      <c r="G16" s="20">
        <v>5.0000000000000001E-3</v>
      </c>
      <c r="H16" s="16"/>
      <c r="I16" s="16"/>
      <c r="J16" s="16"/>
      <c r="K16" s="16">
        <f t="shared" si="0"/>
        <v>-100</v>
      </c>
      <c r="L16" s="16">
        <f t="shared" si="1"/>
        <v>-100</v>
      </c>
      <c r="M16" s="16">
        <f t="shared" si="2"/>
        <v>-100</v>
      </c>
    </row>
    <row r="17" spans="1:13" ht="14.4" customHeight="1" x14ac:dyDescent="0.25">
      <c r="A17" s="14" t="s">
        <v>85</v>
      </c>
      <c r="B17" s="15">
        <v>200</v>
      </c>
      <c r="C17" s="15">
        <v>1.2</v>
      </c>
      <c r="D17" s="16">
        <f t="shared" si="3"/>
        <v>0.24</v>
      </c>
      <c r="E17" s="17">
        <v>5000</v>
      </c>
      <c r="F17" s="16">
        <f t="shared" si="4"/>
        <v>3000</v>
      </c>
      <c r="G17" s="18">
        <v>7.4999999999999997E-2</v>
      </c>
      <c r="H17" s="16"/>
      <c r="I17" s="16"/>
      <c r="J17" s="16"/>
      <c r="K17" s="16">
        <f t="shared" si="0"/>
        <v>-100</v>
      </c>
      <c r="L17" s="16">
        <f t="shared" si="1"/>
        <v>-100</v>
      </c>
      <c r="M17" s="16">
        <f t="shared" si="2"/>
        <v>-100</v>
      </c>
    </row>
    <row r="18" spans="1:13" ht="14.4" customHeight="1" x14ac:dyDescent="0.25">
      <c r="A18" s="14" t="s">
        <v>86</v>
      </c>
      <c r="B18" s="15">
        <v>200</v>
      </c>
      <c r="C18" s="15">
        <v>4.5</v>
      </c>
      <c r="D18" s="16">
        <f t="shared" si="3"/>
        <v>0.9</v>
      </c>
      <c r="E18" s="17">
        <v>5000</v>
      </c>
      <c r="F18" s="16">
        <f t="shared" si="4"/>
        <v>800</v>
      </c>
      <c r="G18" s="18">
        <v>0.02</v>
      </c>
      <c r="H18" s="16"/>
      <c r="I18" s="16"/>
      <c r="J18" s="16"/>
      <c r="K18" s="16">
        <f t="shared" si="0"/>
        <v>-100</v>
      </c>
      <c r="L18" s="16">
        <f t="shared" si="1"/>
        <v>-100</v>
      </c>
      <c r="M18" s="16">
        <f t="shared" si="2"/>
        <v>-100</v>
      </c>
    </row>
    <row r="19" spans="1:13" ht="14.4" customHeight="1" x14ac:dyDescent="0.25">
      <c r="A19" s="14" t="s">
        <v>87</v>
      </c>
      <c r="B19" s="15">
        <v>200</v>
      </c>
      <c r="C19" s="15">
        <v>9</v>
      </c>
      <c r="D19" s="16">
        <f t="shared" si="3"/>
        <v>1.8</v>
      </c>
      <c r="E19" s="17">
        <v>1000</v>
      </c>
      <c r="F19" s="16">
        <f t="shared" si="4"/>
        <v>2000</v>
      </c>
      <c r="G19" s="18">
        <v>0.01</v>
      </c>
      <c r="H19" s="16"/>
      <c r="I19" s="16"/>
      <c r="J19" s="16"/>
      <c r="K19" s="16">
        <f t="shared" si="0"/>
        <v>-100</v>
      </c>
      <c r="L19" s="16">
        <f t="shared" si="1"/>
        <v>-100</v>
      </c>
      <c r="M19" s="16">
        <f t="shared" si="2"/>
        <v>-100</v>
      </c>
    </row>
    <row r="20" spans="1:13" ht="14.4" customHeight="1" x14ac:dyDescent="0.25">
      <c r="A20" s="14" t="s">
        <v>88</v>
      </c>
      <c r="B20" s="15">
        <v>200</v>
      </c>
      <c r="C20" s="15">
        <v>15</v>
      </c>
      <c r="D20" s="16">
        <f t="shared" si="3"/>
        <v>3</v>
      </c>
      <c r="E20" s="17">
        <v>1000</v>
      </c>
      <c r="F20" s="16">
        <f t="shared" si="4"/>
        <v>1200</v>
      </c>
      <c r="G20" s="18">
        <v>0.01</v>
      </c>
      <c r="H20" s="16"/>
      <c r="I20" s="16"/>
      <c r="J20" s="16"/>
      <c r="K20" s="16">
        <f t="shared" si="0"/>
        <v>-100</v>
      </c>
      <c r="L20" s="16">
        <f t="shared" si="1"/>
        <v>-100</v>
      </c>
      <c r="M20" s="16">
        <f t="shared" si="2"/>
        <v>-100</v>
      </c>
    </row>
    <row r="21" spans="1:13" ht="14.4" customHeight="1" x14ac:dyDescent="0.25">
      <c r="A21" s="14" t="s">
        <v>89</v>
      </c>
      <c r="B21" s="15">
        <v>200</v>
      </c>
      <c r="C21" s="15">
        <v>20</v>
      </c>
      <c r="D21" s="16">
        <f t="shared" si="3"/>
        <v>4</v>
      </c>
      <c r="E21" s="17">
        <v>1000</v>
      </c>
      <c r="F21" s="16">
        <f t="shared" si="4"/>
        <v>900</v>
      </c>
      <c r="G21" s="18">
        <v>0.01</v>
      </c>
      <c r="H21" s="16"/>
      <c r="I21" s="16"/>
      <c r="J21" s="16"/>
      <c r="K21" s="16">
        <f t="shared" si="0"/>
        <v>-100</v>
      </c>
      <c r="L21" s="16">
        <f t="shared" si="1"/>
        <v>-100</v>
      </c>
      <c r="M21" s="16">
        <f t="shared" si="2"/>
        <v>-100</v>
      </c>
    </row>
    <row r="22" spans="1:13" ht="14.4" customHeight="1" x14ac:dyDescent="0.25">
      <c r="A22" s="14" t="s">
        <v>90</v>
      </c>
      <c r="B22" s="15">
        <v>200</v>
      </c>
      <c r="C22" s="15">
        <v>30</v>
      </c>
      <c r="D22" s="16">
        <f t="shared" si="3"/>
        <v>6</v>
      </c>
      <c r="E22" s="17">
        <v>1000</v>
      </c>
      <c r="F22" s="16">
        <f t="shared" si="4"/>
        <v>600</v>
      </c>
      <c r="G22" s="18">
        <v>5.0000000000000001E-3</v>
      </c>
      <c r="H22" s="16"/>
      <c r="I22" s="16"/>
      <c r="J22" s="16"/>
      <c r="K22" s="16">
        <f t="shared" si="0"/>
        <v>-100</v>
      </c>
      <c r="L22" s="16">
        <f t="shared" si="1"/>
        <v>-100</v>
      </c>
      <c r="M22" s="16">
        <f t="shared" si="2"/>
        <v>-100</v>
      </c>
    </row>
    <row r="23" spans="1:13" ht="14.4" customHeight="1" x14ac:dyDescent="0.25">
      <c r="A23" s="14" t="s">
        <v>91</v>
      </c>
      <c r="B23" s="15">
        <v>200</v>
      </c>
      <c r="C23" s="15">
        <v>150</v>
      </c>
      <c r="D23" s="16">
        <f t="shared" si="3"/>
        <v>30</v>
      </c>
      <c r="E23" s="17">
        <v>100</v>
      </c>
      <c r="F23" s="16">
        <f t="shared" si="4"/>
        <v>1200</v>
      </c>
      <c r="G23" s="18">
        <v>5.0000000000000001E-3</v>
      </c>
      <c r="H23" s="16"/>
      <c r="I23" s="16"/>
      <c r="J23" s="16"/>
      <c r="K23" s="16">
        <f t="shared" si="0"/>
        <v>-100</v>
      </c>
      <c r="L23" s="16">
        <f t="shared" si="1"/>
        <v>-100</v>
      </c>
      <c r="M23" s="16">
        <f t="shared" si="2"/>
        <v>-100</v>
      </c>
    </row>
    <row r="24" spans="1:13" ht="14.4" customHeight="1" x14ac:dyDescent="0.25">
      <c r="A24" s="14" t="s">
        <v>92</v>
      </c>
      <c r="B24" s="15">
        <v>200</v>
      </c>
      <c r="C24" s="15">
        <v>300</v>
      </c>
      <c r="D24" s="16">
        <f t="shared" si="3"/>
        <v>60</v>
      </c>
      <c r="E24" s="17">
        <v>100</v>
      </c>
      <c r="F24" s="16">
        <f t="shared" si="4"/>
        <v>600</v>
      </c>
      <c r="G24" s="18">
        <v>5.0000000000000001E-3</v>
      </c>
      <c r="H24" s="16"/>
      <c r="I24" s="16"/>
      <c r="J24" s="16"/>
      <c r="K24" s="16">
        <f t="shared" si="0"/>
        <v>-100</v>
      </c>
      <c r="L24" s="16">
        <f t="shared" si="1"/>
        <v>-100</v>
      </c>
      <c r="M24" s="16">
        <f t="shared" si="2"/>
        <v>-100</v>
      </c>
    </row>
    <row r="25" spans="1:13" ht="14.4" customHeight="1" x14ac:dyDescent="0.25">
      <c r="A25" s="14" t="s">
        <v>93</v>
      </c>
      <c r="B25" s="15">
        <v>200</v>
      </c>
      <c r="C25" s="15">
        <v>400</v>
      </c>
      <c r="D25" s="16">
        <f t="shared" si="3"/>
        <v>80</v>
      </c>
      <c r="E25" s="17">
        <v>100</v>
      </c>
      <c r="F25" s="16">
        <f t="shared" si="4"/>
        <v>450</v>
      </c>
      <c r="G25" s="18">
        <v>5.0000000000000001E-3</v>
      </c>
      <c r="H25" s="16"/>
      <c r="I25" s="16"/>
      <c r="J25" s="16"/>
      <c r="K25" s="16">
        <f t="shared" si="0"/>
        <v>-100</v>
      </c>
      <c r="L25" s="16">
        <f t="shared" si="1"/>
        <v>-100</v>
      </c>
      <c r="M25" s="16">
        <f t="shared" si="2"/>
        <v>-100</v>
      </c>
    </row>
    <row r="26" spans="1:13" ht="14.4" customHeight="1" x14ac:dyDescent="0.25">
      <c r="A26" s="14" t="s">
        <v>94</v>
      </c>
      <c r="B26" s="15">
        <v>200</v>
      </c>
      <c r="C26" s="15">
        <v>600</v>
      </c>
      <c r="D26" s="16">
        <f t="shared" si="3"/>
        <v>120</v>
      </c>
      <c r="E26" s="17">
        <v>100</v>
      </c>
      <c r="F26" s="16">
        <f t="shared" si="4"/>
        <v>300</v>
      </c>
      <c r="G26" s="18">
        <v>5.0000000000000001E-3</v>
      </c>
      <c r="H26" s="16"/>
      <c r="I26" s="16"/>
      <c r="J26" s="16"/>
      <c r="K26" s="16">
        <f t="shared" si="0"/>
        <v>-100</v>
      </c>
      <c r="L26" s="16">
        <f t="shared" si="1"/>
        <v>-100</v>
      </c>
      <c r="M26" s="16">
        <f t="shared" si="2"/>
        <v>-100</v>
      </c>
    </row>
    <row r="27" spans="1:13" ht="14.4" customHeight="1" x14ac:dyDescent="0.25">
      <c r="A27" s="14" t="s">
        <v>95</v>
      </c>
      <c r="B27" s="15">
        <v>200</v>
      </c>
      <c r="C27" s="15">
        <v>800</v>
      </c>
      <c r="D27" s="16">
        <f t="shared" si="3"/>
        <v>160</v>
      </c>
      <c r="E27" s="17">
        <v>100</v>
      </c>
      <c r="F27" s="16">
        <f t="shared" si="4"/>
        <v>225</v>
      </c>
      <c r="G27" s="20">
        <v>5.0000000000000001E-3</v>
      </c>
      <c r="H27" s="16"/>
      <c r="I27" s="16"/>
      <c r="J27" s="16"/>
      <c r="K27" s="16">
        <f t="shared" si="0"/>
        <v>-100</v>
      </c>
      <c r="L27" s="16">
        <f t="shared" si="1"/>
        <v>-100</v>
      </c>
      <c r="M27" s="16">
        <f t="shared" si="2"/>
        <v>-100</v>
      </c>
    </row>
    <row r="28" spans="1:13" ht="14.4" customHeight="1" x14ac:dyDescent="0.25">
      <c r="A28" s="14" t="s">
        <v>96</v>
      </c>
      <c r="B28" s="15">
        <v>200</v>
      </c>
      <c r="C28" s="15">
        <v>1000</v>
      </c>
      <c r="D28" s="16">
        <f t="shared" si="3"/>
        <v>200</v>
      </c>
      <c r="E28" s="17">
        <v>100</v>
      </c>
      <c r="F28" s="16">
        <f t="shared" si="4"/>
        <v>180</v>
      </c>
      <c r="G28" s="20">
        <v>5.0000000000000001E-3</v>
      </c>
      <c r="H28" s="16"/>
      <c r="I28" s="16"/>
      <c r="J28" s="16"/>
      <c r="K28" s="16">
        <f t="shared" si="0"/>
        <v>-100</v>
      </c>
      <c r="L28" s="16">
        <f t="shared" si="1"/>
        <v>-100</v>
      </c>
      <c r="M28" s="16">
        <f t="shared" si="2"/>
        <v>-100</v>
      </c>
    </row>
    <row r="29" spans="1:13" ht="14.4" customHeight="1" x14ac:dyDescent="0.25">
      <c r="A29" s="14" t="s">
        <v>97</v>
      </c>
      <c r="B29" s="15">
        <v>200</v>
      </c>
      <c r="C29" s="15">
        <v>1200</v>
      </c>
      <c r="D29" s="16">
        <f t="shared" si="3"/>
        <v>240</v>
      </c>
      <c r="E29" s="17">
        <v>100</v>
      </c>
      <c r="F29" s="16">
        <f t="shared" si="4"/>
        <v>150</v>
      </c>
      <c r="G29" s="20">
        <v>5.0000000000000001E-3</v>
      </c>
      <c r="H29" s="16"/>
      <c r="I29" s="16"/>
      <c r="J29" s="16"/>
      <c r="K29" s="16">
        <f t="shared" si="0"/>
        <v>-100</v>
      </c>
      <c r="L29" s="16">
        <f t="shared" si="1"/>
        <v>-100</v>
      </c>
      <c r="M29" s="16">
        <f t="shared" si="2"/>
        <v>-100</v>
      </c>
    </row>
    <row r="30" spans="1:13" ht="14.4" customHeight="1" x14ac:dyDescent="0.25">
      <c r="A30" s="14" t="s">
        <v>98</v>
      </c>
      <c r="B30" s="15">
        <v>200</v>
      </c>
      <c r="C30" s="15">
        <v>1500</v>
      </c>
      <c r="D30" s="16">
        <f t="shared" si="3"/>
        <v>300</v>
      </c>
      <c r="E30" s="17">
        <v>100</v>
      </c>
      <c r="F30" s="16">
        <f t="shared" si="4"/>
        <v>120</v>
      </c>
      <c r="G30" s="20">
        <v>5.0000000000000001E-3</v>
      </c>
      <c r="H30" s="16"/>
      <c r="I30" s="16"/>
      <c r="J30" s="16"/>
      <c r="K30" s="16">
        <f t="shared" si="0"/>
        <v>-100</v>
      </c>
      <c r="L30" s="16">
        <f t="shared" si="1"/>
        <v>-100</v>
      </c>
      <c r="M30" s="16">
        <f t="shared" si="2"/>
        <v>-100</v>
      </c>
    </row>
    <row r="31" spans="1:13" ht="14.4" customHeight="1" x14ac:dyDescent="0.25">
      <c r="A31" s="14" t="s">
        <v>99</v>
      </c>
      <c r="B31" s="15">
        <v>500</v>
      </c>
      <c r="C31" s="15">
        <v>1.2</v>
      </c>
      <c r="D31" s="16">
        <f t="shared" si="3"/>
        <v>0.6</v>
      </c>
      <c r="E31" s="17">
        <v>5000</v>
      </c>
      <c r="F31" s="16">
        <f t="shared" si="4"/>
        <v>1200.0000000000002</v>
      </c>
      <c r="G31" s="18">
        <v>7.4999999999999997E-2</v>
      </c>
      <c r="H31" s="16"/>
      <c r="I31" s="16"/>
      <c r="J31" s="16"/>
      <c r="K31" s="16">
        <f t="shared" si="0"/>
        <v>-100</v>
      </c>
      <c r="L31" s="16">
        <f t="shared" si="1"/>
        <v>-100</v>
      </c>
      <c r="M31" s="16">
        <f t="shared" si="2"/>
        <v>-100</v>
      </c>
    </row>
    <row r="32" spans="1:13" ht="14.4" customHeight="1" x14ac:dyDescent="0.25">
      <c r="A32" s="14" t="s">
        <v>100</v>
      </c>
      <c r="B32" s="15">
        <v>500</v>
      </c>
      <c r="C32" s="15">
        <v>4.5</v>
      </c>
      <c r="D32" s="16">
        <f t="shared" si="3"/>
        <v>2.25</v>
      </c>
      <c r="E32" s="17">
        <v>1000</v>
      </c>
      <c r="F32" s="16">
        <f t="shared" si="4"/>
        <v>1600</v>
      </c>
      <c r="G32" s="18">
        <v>0.02</v>
      </c>
      <c r="H32" s="16"/>
      <c r="I32" s="16"/>
      <c r="J32" s="16"/>
      <c r="K32" s="16">
        <f t="shared" si="0"/>
        <v>-100</v>
      </c>
      <c r="L32" s="16">
        <f t="shared" si="1"/>
        <v>-100</v>
      </c>
      <c r="M32" s="16">
        <f t="shared" si="2"/>
        <v>-100</v>
      </c>
    </row>
    <row r="33" spans="1:13" ht="14.4" customHeight="1" x14ac:dyDescent="0.25">
      <c r="A33" s="14" t="s">
        <v>101</v>
      </c>
      <c r="B33" s="15">
        <v>500</v>
      </c>
      <c r="C33" s="15">
        <v>9</v>
      </c>
      <c r="D33" s="16">
        <f t="shared" si="3"/>
        <v>4.5</v>
      </c>
      <c r="E33" s="17">
        <v>1000</v>
      </c>
      <c r="F33" s="16">
        <f t="shared" si="4"/>
        <v>800</v>
      </c>
      <c r="G33" s="18">
        <v>0.01</v>
      </c>
      <c r="H33" s="16"/>
      <c r="I33" s="16"/>
      <c r="J33" s="16"/>
      <c r="K33" s="16">
        <f t="shared" si="0"/>
        <v>-100</v>
      </c>
      <c r="L33" s="16">
        <f t="shared" si="1"/>
        <v>-100</v>
      </c>
      <c r="M33" s="16">
        <f t="shared" si="2"/>
        <v>-100</v>
      </c>
    </row>
    <row r="34" spans="1:13" ht="14.4" customHeight="1" x14ac:dyDescent="0.25">
      <c r="A34" s="14" t="s">
        <v>102</v>
      </c>
      <c r="B34" s="15">
        <v>500</v>
      </c>
      <c r="C34" s="15">
        <v>15</v>
      </c>
      <c r="D34" s="16">
        <f t="shared" si="3"/>
        <v>7.5</v>
      </c>
      <c r="E34" s="17">
        <v>1000</v>
      </c>
      <c r="F34" s="16">
        <f t="shared" si="4"/>
        <v>480</v>
      </c>
      <c r="G34" s="18">
        <v>0.01</v>
      </c>
      <c r="H34" s="16"/>
      <c r="I34" s="16"/>
      <c r="J34" s="16"/>
      <c r="K34" s="16">
        <f t="shared" si="0"/>
        <v>-100</v>
      </c>
      <c r="L34" s="16">
        <f t="shared" si="1"/>
        <v>-100</v>
      </c>
      <c r="M34" s="16">
        <f t="shared" si="2"/>
        <v>-100</v>
      </c>
    </row>
    <row r="35" spans="1:13" ht="14.4" customHeight="1" x14ac:dyDescent="0.25">
      <c r="A35" s="14" t="s">
        <v>103</v>
      </c>
      <c r="B35" s="15">
        <v>500</v>
      </c>
      <c r="C35" s="15">
        <v>20</v>
      </c>
      <c r="D35" s="16">
        <f t="shared" si="3"/>
        <v>10</v>
      </c>
      <c r="E35" s="17">
        <v>1000</v>
      </c>
      <c r="F35" s="16">
        <f t="shared" si="4"/>
        <v>360</v>
      </c>
      <c r="G35" s="18">
        <v>0.01</v>
      </c>
      <c r="H35" s="16"/>
      <c r="I35" s="16"/>
      <c r="J35" s="16"/>
      <c r="K35" s="16">
        <f t="shared" si="0"/>
        <v>-100</v>
      </c>
      <c r="L35" s="16">
        <f t="shared" si="1"/>
        <v>-100</v>
      </c>
      <c r="M35" s="16">
        <f t="shared" si="2"/>
        <v>-100</v>
      </c>
    </row>
    <row r="36" spans="1:13" ht="14.4" customHeight="1" x14ac:dyDescent="0.25">
      <c r="A36" s="14" t="s">
        <v>104</v>
      </c>
      <c r="B36" s="15">
        <v>500</v>
      </c>
      <c r="C36" s="15">
        <v>30</v>
      </c>
      <c r="D36" s="16">
        <f t="shared" si="3"/>
        <v>15</v>
      </c>
      <c r="E36" s="17">
        <v>1000</v>
      </c>
      <c r="F36" s="16">
        <f t="shared" si="4"/>
        <v>240</v>
      </c>
      <c r="G36" s="18">
        <v>5.0000000000000001E-3</v>
      </c>
      <c r="H36" s="16"/>
      <c r="I36" s="16"/>
      <c r="J36" s="16"/>
      <c r="K36" s="16">
        <f t="shared" si="0"/>
        <v>-100</v>
      </c>
      <c r="L36" s="16">
        <f t="shared" si="1"/>
        <v>-100</v>
      </c>
      <c r="M36" s="16">
        <f t="shared" si="2"/>
        <v>-100</v>
      </c>
    </row>
    <row r="37" spans="1:13" ht="14.4" customHeight="1" x14ac:dyDescent="0.25">
      <c r="A37" s="14" t="s">
        <v>105</v>
      </c>
      <c r="B37" s="15">
        <v>500</v>
      </c>
      <c r="C37" s="15">
        <v>150</v>
      </c>
      <c r="D37" s="16">
        <f t="shared" si="3"/>
        <v>75</v>
      </c>
      <c r="E37" s="17">
        <v>100</v>
      </c>
      <c r="F37" s="16">
        <f t="shared" si="4"/>
        <v>480</v>
      </c>
      <c r="G37" s="18">
        <v>5.0000000000000001E-3</v>
      </c>
      <c r="H37" s="16"/>
      <c r="I37" s="16"/>
      <c r="J37" s="16"/>
      <c r="K37" s="16">
        <f t="shared" si="0"/>
        <v>-100</v>
      </c>
      <c r="L37" s="16">
        <f t="shared" si="1"/>
        <v>-100</v>
      </c>
      <c r="M37" s="16">
        <f t="shared" si="2"/>
        <v>-100</v>
      </c>
    </row>
    <row r="38" spans="1:13" ht="14.4" customHeight="1" x14ac:dyDescent="0.25">
      <c r="A38" s="14" t="s">
        <v>106</v>
      </c>
      <c r="B38" s="15">
        <v>500</v>
      </c>
      <c r="C38" s="15">
        <v>300</v>
      </c>
      <c r="D38" s="16">
        <f t="shared" si="3"/>
        <v>150</v>
      </c>
      <c r="E38" s="17">
        <v>100</v>
      </c>
      <c r="F38" s="16">
        <f t="shared" si="4"/>
        <v>240</v>
      </c>
      <c r="G38" s="18">
        <v>5.0000000000000001E-3</v>
      </c>
      <c r="H38" s="16"/>
      <c r="I38" s="16"/>
      <c r="J38" s="16"/>
      <c r="K38" s="16">
        <f t="shared" si="0"/>
        <v>-100</v>
      </c>
      <c r="L38" s="16">
        <f t="shared" si="1"/>
        <v>-100</v>
      </c>
      <c r="M38" s="16">
        <f t="shared" si="2"/>
        <v>-100</v>
      </c>
    </row>
    <row r="39" spans="1:13" ht="14.4" customHeight="1" x14ac:dyDescent="0.25">
      <c r="A39" s="14" t="s">
        <v>107</v>
      </c>
      <c r="B39" s="15">
        <v>500</v>
      </c>
      <c r="C39" s="15">
        <v>400</v>
      </c>
      <c r="D39" s="16">
        <f t="shared" si="3"/>
        <v>200</v>
      </c>
      <c r="E39" s="17">
        <v>100</v>
      </c>
      <c r="F39" s="16">
        <f t="shared" si="4"/>
        <v>180</v>
      </c>
      <c r="G39" s="18">
        <v>5.0000000000000001E-3</v>
      </c>
      <c r="H39" s="16"/>
      <c r="I39" s="16"/>
      <c r="J39" s="16"/>
      <c r="K39" s="16">
        <f t="shared" si="0"/>
        <v>-100</v>
      </c>
      <c r="L39" s="16">
        <f t="shared" si="1"/>
        <v>-100</v>
      </c>
      <c r="M39" s="16">
        <f t="shared" si="2"/>
        <v>-100</v>
      </c>
    </row>
    <row r="40" spans="1:13" ht="14.4" customHeight="1" x14ac:dyDescent="0.25">
      <c r="A40" s="14" t="s">
        <v>108</v>
      </c>
      <c r="B40" s="15">
        <v>500</v>
      </c>
      <c r="C40" s="15">
        <v>600</v>
      </c>
      <c r="D40" s="16">
        <f t="shared" si="3"/>
        <v>300</v>
      </c>
      <c r="E40" s="17">
        <v>100</v>
      </c>
      <c r="F40" s="16">
        <f t="shared" si="4"/>
        <v>120</v>
      </c>
      <c r="G40" s="18">
        <v>5.0000000000000001E-3</v>
      </c>
      <c r="H40" s="16"/>
      <c r="I40" s="16"/>
      <c r="J40" s="16"/>
      <c r="K40" s="16">
        <f t="shared" si="0"/>
        <v>-100</v>
      </c>
      <c r="L40" s="16">
        <f t="shared" si="1"/>
        <v>-100</v>
      </c>
      <c r="M40" s="16">
        <f t="shared" si="2"/>
        <v>-100</v>
      </c>
    </row>
    <row r="41" spans="1:13" ht="14.4" customHeight="1" x14ac:dyDescent="0.25">
      <c r="A41" s="14" t="s">
        <v>109</v>
      </c>
      <c r="B41" s="15">
        <v>500</v>
      </c>
      <c r="C41" s="15">
        <v>800</v>
      </c>
      <c r="D41" s="16">
        <f t="shared" si="3"/>
        <v>400</v>
      </c>
      <c r="E41" s="17">
        <v>100</v>
      </c>
      <c r="F41" s="16">
        <f t="shared" si="4"/>
        <v>90</v>
      </c>
      <c r="G41" s="20">
        <v>5.0000000000000001E-3</v>
      </c>
      <c r="H41" s="16"/>
      <c r="I41" s="16"/>
      <c r="J41" s="16"/>
      <c r="K41" s="16">
        <f t="shared" si="0"/>
        <v>-100</v>
      </c>
      <c r="L41" s="16">
        <f t="shared" si="1"/>
        <v>-100</v>
      </c>
      <c r="M41" s="16">
        <f t="shared" si="2"/>
        <v>-100</v>
      </c>
    </row>
    <row r="42" spans="1:13" ht="14.4" customHeight="1" x14ac:dyDescent="0.25">
      <c r="A42" s="14" t="s">
        <v>110</v>
      </c>
      <c r="B42" s="15">
        <v>500</v>
      </c>
      <c r="C42" s="15">
        <v>1000</v>
      </c>
      <c r="D42" s="16">
        <f t="shared" si="3"/>
        <v>500</v>
      </c>
      <c r="E42" s="17">
        <v>100</v>
      </c>
      <c r="F42" s="16">
        <f t="shared" si="4"/>
        <v>72</v>
      </c>
      <c r="G42" s="20">
        <v>5.0000000000000001E-3</v>
      </c>
      <c r="H42" s="16"/>
      <c r="I42" s="16"/>
      <c r="J42" s="16"/>
      <c r="K42" s="16">
        <f t="shared" si="0"/>
        <v>-100</v>
      </c>
      <c r="L42" s="16">
        <f t="shared" si="1"/>
        <v>-100</v>
      </c>
      <c r="M42" s="16">
        <f t="shared" si="2"/>
        <v>-100</v>
      </c>
    </row>
    <row r="43" spans="1:13" ht="14.4" customHeight="1" x14ac:dyDescent="0.25">
      <c r="A43" s="14" t="s">
        <v>111</v>
      </c>
      <c r="B43" s="15">
        <v>500</v>
      </c>
      <c r="C43" s="15">
        <v>1200</v>
      </c>
      <c r="D43" s="16">
        <f t="shared" si="3"/>
        <v>600</v>
      </c>
      <c r="E43" s="17">
        <v>100</v>
      </c>
      <c r="F43" s="16">
        <f t="shared" si="4"/>
        <v>60</v>
      </c>
      <c r="G43" s="20">
        <v>5.0000000000000001E-3</v>
      </c>
      <c r="H43" s="16"/>
      <c r="I43" s="16"/>
      <c r="J43" s="16"/>
      <c r="K43" s="16">
        <f t="shared" si="0"/>
        <v>-100</v>
      </c>
      <c r="L43" s="16">
        <f t="shared" si="1"/>
        <v>-100</v>
      </c>
      <c r="M43" s="16">
        <f t="shared" si="2"/>
        <v>-100</v>
      </c>
    </row>
    <row r="44" spans="1:13" ht="14.4" customHeight="1" x14ac:dyDescent="0.25">
      <c r="A44" s="14" t="s">
        <v>112</v>
      </c>
      <c r="B44" s="15">
        <v>500</v>
      </c>
      <c r="C44" s="15">
        <v>1500</v>
      </c>
      <c r="D44" s="16">
        <f t="shared" si="3"/>
        <v>750</v>
      </c>
      <c r="E44" s="17">
        <v>100</v>
      </c>
      <c r="F44" s="16">
        <f t="shared" si="4"/>
        <v>48</v>
      </c>
      <c r="G44" s="20">
        <v>5.0000000000000001E-3</v>
      </c>
      <c r="H44" s="16"/>
      <c r="I44" s="16"/>
      <c r="J44" s="16"/>
      <c r="K44" s="16">
        <f t="shared" si="0"/>
        <v>-100</v>
      </c>
      <c r="L44" s="16">
        <f t="shared" si="1"/>
        <v>-100</v>
      </c>
      <c r="M44" s="16">
        <f t="shared" si="2"/>
        <v>-100</v>
      </c>
    </row>
    <row r="45" spans="1:13" ht="14.4" customHeight="1" x14ac:dyDescent="0.25">
      <c r="A45" s="14" t="s">
        <v>113</v>
      </c>
      <c r="B45" s="15">
        <v>800</v>
      </c>
      <c r="C45" s="15">
        <v>1.2</v>
      </c>
      <c r="D45" s="16">
        <f t="shared" si="3"/>
        <v>0.96</v>
      </c>
      <c r="E45" s="17">
        <v>1000</v>
      </c>
      <c r="F45" s="16">
        <f t="shared" si="4"/>
        <v>3750</v>
      </c>
      <c r="G45" s="18">
        <v>7.4999999999999997E-2</v>
      </c>
      <c r="H45" s="16"/>
      <c r="I45" s="16"/>
      <c r="J45" s="16"/>
      <c r="K45" s="16">
        <f t="shared" si="0"/>
        <v>-100</v>
      </c>
      <c r="L45" s="16">
        <f t="shared" si="1"/>
        <v>-100</v>
      </c>
      <c r="M45" s="16">
        <f t="shared" si="2"/>
        <v>-100</v>
      </c>
    </row>
    <row r="46" spans="1:13" ht="14.4" customHeight="1" x14ac:dyDescent="0.25">
      <c r="A46" s="14" t="s">
        <v>114</v>
      </c>
      <c r="B46" s="15">
        <v>800</v>
      </c>
      <c r="C46" s="15">
        <v>4.5</v>
      </c>
      <c r="D46" s="16">
        <f t="shared" si="3"/>
        <v>3.6</v>
      </c>
      <c r="E46" s="17">
        <v>1000</v>
      </c>
      <c r="F46" s="16">
        <f t="shared" si="4"/>
        <v>1000</v>
      </c>
      <c r="G46" s="18">
        <v>0.02</v>
      </c>
      <c r="H46" s="16"/>
      <c r="I46" s="16"/>
      <c r="J46" s="16"/>
      <c r="K46" s="16">
        <f t="shared" si="0"/>
        <v>-100</v>
      </c>
      <c r="L46" s="16">
        <f t="shared" si="1"/>
        <v>-100</v>
      </c>
      <c r="M46" s="16">
        <f t="shared" si="2"/>
        <v>-100</v>
      </c>
    </row>
    <row r="47" spans="1:13" ht="14.4" customHeight="1" x14ac:dyDescent="0.25">
      <c r="A47" s="14" t="s">
        <v>115</v>
      </c>
      <c r="B47" s="15">
        <v>800</v>
      </c>
      <c r="C47" s="15">
        <v>9</v>
      </c>
      <c r="D47" s="16">
        <f t="shared" si="3"/>
        <v>7.2</v>
      </c>
      <c r="E47" s="17">
        <v>1000</v>
      </c>
      <c r="F47" s="16">
        <f t="shared" si="4"/>
        <v>500</v>
      </c>
      <c r="G47" s="18">
        <v>0.01</v>
      </c>
      <c r="H47" s="16"/>
      <c r="I47" s="16"/>
      <c r="J47" s="16"/>
      <c r="K47" s="16">
        <f t="shared" si="0"/>
        <v>-100</v>
      </c>
      <c r="L47" s="16">
        <f t="shared" si="1"/>
        <v>-100</v>
      </c>
      <c r="M47" s="16">
        <f t="shared" si="2"/>
        <v>-100</v>
      </c>
    </row>
    <row r="48" spans="1:13" ht="14.4" customHeight="1" x14ac:dyDescent="0.25">
      <c r="A48" s="14" t="s">
        <v>116</v>
      </c>
      <c r="B48" s="15">
        <v>800</v>
      </c>
      <c r="C48" s="15">
        <v>15</v>
      </c>
      <c r="D48" s="16">
        <f t="shared" si="3"/>
        <v>12</v>
      </c>
      <c r="E48" s="17">
        <v>1000</v>
      </c>
      <c r="F48" s="16">
        <f t="shared" si="4"/>
        <v>300</v>
      </c>
      <c r="G48" s="18">
        <v>0.01</v>
      </c>
      <c r="H48" s="16"/>
      <c r="I48" s="16"/>
      <c r="J48" s="16"/>
      <c r="K48" s="16">
        <f t="shared" si="0"/>
        <v>-100</v>
      </c>
      <c r="L48" s="16">
        <f t="shared" si="1"/>
        <v>-100</v>
      </c>
      <c r="M48" s="16">
        <f t="shared" si="2"/>
        <v>-100</v>
      </c>
    </row>
    <row r="49" spans="1:13" ht="14.4" customHeight="1" x14ac:dyDescent="0.25">
      <c r="A49" s="14" t="s">
        <v>117</v>
      </c>
      <c r="B49" s="15">
        <v>800</v>
      </c>
      <c r="C49" s="15">
        <v>20</v>
      </c>
      <c r="D49" s="16">
        <f t="shared" si="3"/>
        <v>16</v>
      </c>
      <c r="E49" s="17">
        <v>1000</v>
      </c>
      <c r="F49" s="16">
        <f t="shared" si="4"/>
        <v>225</v>
      </c>
      <c r="G49" s="18">
        <v>0.01</v>
      </c>
      <c r="H49" s="16"/>
      <c r="I49" s="16"/>
      <c r="J49" s="16"/>
      <c r="K49" s="16">
        <f t="shared" si="0"/>
        <v>-100</v>
      </c>
      <c r="L49" s="16">
        <f t="shared" si="1"/>
        <v>-100</v>
      </c>
      <c r="M49" s="16">
        <f t="shared" si="2"/>
        <v>-100</v>
      </c>
    </row>
    <row r="50" spans="1:13" ht="14.4" customHeight="1" x14ac:dyDescent="0.25">
      <c r="A50" s="14" t="s">
        <v>118</v>
      </c>
      <c r="B50" s="15">
        <v>800</v>
      </c>
      <c r="C50" s="15">
        <v>30</v>
      </c>
      <c r="D50" s="16">
        <f t="shared" si="3"/>
        <v>24</v>
      </c>
      <c r="E50" s="17">
        <v>100</v>
      </c>
      <c r="F50" s="16">
        <f t="shared" si="4"/>
        <v>1500</v>
      </c>
      <c r="G50" s="18">
        <v>5.0000000000000001E-3</v>
      </c>
      <c r="H50" s="16"/>
      <c r="I50" s="16"/>
      <c r="J50" s="16"/>
      <c r="K50" s="16">
        <f t="shared" si="0"/>
        <v>-100</v>
      </c>
      <c r="L50" s="16">
        <f t="shared" si="1"/>
        <v>-100</v>
      </c>
      <c r="M50" s="16">
        <f t="shared" si="2"/>
        <v>-100</v>
      </c>
    </row>
    <row r="51" spans="1:13" ht="14.4" customHeight="1" x14ac:dyDescent="0.25">
      <c r="A51" s="14" t="s">
        <v>119</v>
      </c>
      <c r="B51" s="15">
        <v>800</v>
      </c>
      <c r="C51" s="15">
        <v>150</v>
      </c>
      <c r="D51" s="16">
        <f t="shared" si="3"/>
        <v>120</v>
      </c>
      <c r="E51" s="17">
        <v>100</v>
      </c>
      <c r="F51" s="16">
        <f t="shared" si="4"/>
        <v>300</v>
      </c>
      <c r="G51" s="18">
        <v>5.0000000000000001E-3</v>
      </c>
      <c r="H51" s="16"/>
      <c r="I51" s="16"/>
      <c r="J51" s="16"/>
      <c r="K51" s="16">
        <f t="shared" si="0"/>
        <v>-100</v>
      </c>
      <c r="L51" s="16">
        <f t="shared" si="1"/>
        <v>-100</v>
      </c>
      <c r="M51" s="16">
        <f t="shared" si="2"/>
        <v>-100</v>
      </c>
    </row>
    <row r="52" spans="1:13" ht="14.4" customHeight="1" x14ac:dyDescent="0.25">
      <c r="A52" s="14" t="s">
        <v>120</v>
      </c>
      <c r="B52" s="15">
        <v>800</v>
      </c>
      <c r="C52" s="15">
        <v>300</v>
      </c>
      <c r="D52" s="16">
        <f t="shared" si="3"/>
        <v>240</v>
      </c>
      <c r="E52" s="17">
        <v>100</v>
      </c>
      <c r="F52" s="16">
        <f t="shared" si="4"/>
        <v>150</v>
      </c>
      <c r="G52" s="18">
        <v>5.0000000000000001E-3</v>
      </c>
      <c r="H52" s="16"/>
      <c r="I52" s="16"/>
      <c r="J52" s="16"/>
      <c r="K52" s="16">
        <f t="shared" si="0"/>
        <v>-100</v>
      </c>
      <c r="L52" s="16">
        <f t="shared" si="1"/>
        <v>-100</v>
      </c>
      <c r="M52" s="16">
        <f t="shared" si="2"/>
        <v>-100</v>
      </c>
    </row>
    <row r="53" spans="1:13" ht="14.4" customHeight="1" x14ac:dyDescent="0.25">
      <c r="A53" s="14" t="s">
        <v>121</v>
      </c>
      <c r="B53" s="15">
        <v>800</v>
      </c>
      <c r="C53" s="15">
        <v>400</v>
      </c>
      <c r="D53" s="16">
        <f t="shared" si="3"/>
        <v>320</v>
      </c>
      <c r="E53" s="17">
        <v>100</v>
      </c>
      <c r="F53" s="16">
        <f t="shared" si="4"/>
        <v>112.5</v>
      </c>
      <c r="G53" s="18">
        <v>5.0000000000000001E-3</v>
      </c>
      <c r="H53" s="16"/>
      <c r="I53" s="16"/>
      <c r="J53" s="16"/>
      <c r="K53" s="16">
        <f t="shared" si="0"/>
        <v>-100</v>
      </c>
      <c r="L53" s="16">
        <f t="shared" si="1"/>
        <v>-100</v>
      </c>
      <c r="M53" s="16">
        <f t="shared" si="2"/>
        <v>-100</v>
      </c>
    </row>
    <row r="54" spans="1:13" ht="14.4" customHeight="1" x14ac:dyDescent="0.25">
      <c r="A54" s="14" t="s">
        <v>122</v>
      </c>
      <c r="B54" s="15">
        <v>800</v>
      </c>
      <c r="C54" s="15">
        <v>600</v>
      </c>
      <c r="D54" s="16">
        <f t="shared" si="3"/>
        <v>480</v>
      </c>
      <c r="E54" s="17">
        <v>10</v>
      </c>
      <c r="F54" s="16">
        <f t="shared" si="4"/>
        <v>750</v>
      </c>
      <c r="G54" s="18">
        <v>5.0000000000000001E-3</v>
      </c>
      <c r="H54" s="16"/>
      <c r="I54" s="16"/>
      <c r="J54" s="16"/>
      <c r="K54" s="16">
        <f t="shared" si="0"/>
        <v>-100</v>
      </c>
      <c r="L54" s="16">
        <f t="shared" si="1"/>
        <v>-100</v>
      </c>
      <c r="M54" s="16">
        <f t="shared" si="2"/>
        <v>-100</v>
      </c>
    </row>
    <row r="55" spans="1:13" ht="14.4" customHeight="1" x14ac:dyDescent="0.25">
      <c r="A55" s="14" t="s">
        <v>123</v>
      </c>
      <c r="B55" s="15">
        <v>800</v>
      </c>
      <c r="C55" s="15">
        <v>800</v>
      </c>
      <c r="D55" s="16">
        <f t="shared" si="3"/>
        <v>640</v>
      </c>
      <c r="E55" s="17">
        <v>10</v>
      </c>
      <c r="F55" s="16">
        <f t="shared" si="4"/>
        <v>562.5</v>
      </c>
      <c r="G55" s="20">
        <v>5.0000000000000001E-3</v>
      </c>
      <c r="H55" s="16"/>
      <c r="I55" s="16"/>
      <c r="J55" s="16"/>
      <c r="K55" s="16">
        <f t="shared" si="0"/>
        <v>-100</v>
      </c>
      <c r="L55" s="16">
        <f t="shared" si="1"/>
        <v>-100</v>
      </c>
      <c r="M55" s="16">
        <f t="shared" si="2"/>
        <v>-100</v>
      </c>
    </row>
    <row r="56" spans="1:13" ht="14.4" customHeight="1" x14ac:dyDescent="0.25">
      <c r="A56" s="14" t="s">
        <v>124</v>
      </c>
      <c r="B56" s="15">
        <v>800</v>
      </c>
      <c r="C56" s="15">
        <v>1000</v>
      </c>
      <c r="D56" s="16">
        <f t="shared" si="3"/>
        <v>800</v>
      </c>
      <c r="E56" s="17">
        <v>10</v>
      </c>
      <c r="F56" s="16">
        <f t="shared" si="4"/>
        <v>450</v>
      </c>
      <c r="G56" s="20">
        <v>5.0000000000000001E-3</v>
      </c>
      <c r="H56" s="16"/>
      <c r="I56" s="16"/>
      <c r="J56" s="16"/>
      <c r="K56" s="16">
        <f t="shared" si="0"/>
        <v>-100</v>
      </c>
      <c r="L56" s="16">
        <f t="shared" si="1"/>
        <v>-100</v>
      </c>
      <c r="M56" s="16">
        <f t="shared" si="2"/>
        <v>-100</v>
      </c>
    </row>
    <row r="57" spans="1:13" ht="14.4" customHeight="1" x14ac:dyDescent="0.25">
      <c r="A57" s="14" t="s">
        <v>125</v>
      </c>
      <c r="B57" s="15">
        <v>800</v>
      </c>
      <c r="C57" s="15">
        <v>1200</v>
      </c>
      <c r="D57" s="16">
        <f t="shared" si="3"/>
        <v>960</v>
      </c>
      <c r="E57" s="17">
        <v>10</v>
      </c>
      <c r="F57" s="16">
        <f t="shared" si="4"/>
        <v>375</v>
      </c>
      <c r="G57" s="20">
        <v>5.0000000000000001E-3</v>
      </c>
      <c r="H57" s="16"/>
      <c r="I57" s="16"/>
      <c r="J57" s="16"/>
      <c r="K57" s="16">
        <f t="shared" si="0"/>
        <v>-100</v>
      </c>
      <c r="L57" s="16">
        <f t="shared" si="1"/>
        <v>-100</v>
      </c>
      <c r="M57" s="16">
        <f t="shared" si="2"/>
        <v>-100</v>
      </c>
    </row>
    <row r="58" spans="1:13" ht="14.4" customHeight="1" x14ac:dyDescent="0.25">
      <c r="A58" s="14" t="s">
        <v>126</v>
      </c>
      <c r="B58" s="15">
        <v>800</v>
      </c>
      <c r="C58" s="15">
        <v>1500</v>
      </c>
      <c r="D58" s="16">
        <f t="shared" si="3"/>
        <v>1200</v>
      </c>
      <c r="E58" s="17">
        <v>10</v>
      </c>
      <c r="F58" s="16">
        <f t="shared" si="4"/>
        <v>300.00000000000006</v>
      </c>
      <c r="G58" s="20">
        <v>5.0000000000000001E-3</v>
      </c>
      <c r="H58" s="16"/>
      <c r="I58" s="16"/>
      <c r="J58" s="16"/>
      <c r="K58" s="16">
        <f t="shared" si="0"/>
        <v>-100</v>
      </c>
      <c r="L58" s="16">
        <f t="shared" si="1"/>
        <v>-100</v>
      </c>
      <c r="M58" s="16">
        <f t="shared" si="2"/>
        <v>-100</v>
      </c>
    </row>
    <row r="59" spans="1:13" ht="14.4" customHeight="1" x14ac:dyDescent="0.25">
      <c r="A59" s="14" t="s">
        <v>127</v>
      </c>
      <c r="B59" s="15">
        <v>1000</v>
      </c>
      <c r="C59" s="15">
        <v>1.2</v>
      </c>
      <c r="D59" s="16">
        <f t="shared" si="3"/>
        <v>1.2</v>
      </c>
      <c r="E59" s="17">
        <v>100</v>
      </c>
      <c r="F59" s="16">
        <f t="shared" si="4"/>
        <v>30000</v>
      </c>
      <c r="G59" s="18">
        <v>7.4999999999999997E-2</v>
      </c>
      <c r="H59" s="16"/>
      <c r="I59" s="16"/>
      <c r="J59" s="16"/>
      <c r="K59" s="16">
        <f t="shared" si="0"/>
        <v>-100</v>
      </c>
      <c r="L59" s="16">
        <f t="shared" si="1"/>
        <v>-100</v>
      </c>
      <c r="M59" s="16">
        <f t="shared" si="2"/>
        <v>-100</v>
      </c>
    </row>
    <row r="60" spans="1:13" ht="14.4" customHeight="1" x14ac:dyDescent="0.25">
      <c r="A60" s="14" t="s">
        <v>128</v>
      </c>
      <c r="B60" s="15">
        <v>1000</v>
      </c>
      <c r="C60" s="15">
        <v>4.5</v>
      </c>
      <c r="D60" s="16">
        <f t="shared" si="3"/>
        <v>4.5</v>
      </c>
      <c r="E60" s="17">
        <v>100</v>
      </c>
      <c r="F60" s="16">
        <f t="shared" si="4"/>
        <v>8000</v>
      </c>
      <c r="G60" s="18">
        <v>0.02</v>
      </c>
      <c r="H60" s="16"/>
      <c r="I60" s="16"/>
      <c r="J60" s="16"/>
      <c r="K60" s="16">
        <f t="shared" si="0"/>
        <v>-100</v>
      </c>
      <c r="L60" s="16">
        <f t="shared" si="1"/>
        <v>-100</v>
      </c>
      <c r="M60" s="16">
        <f t="shared" si="2"/>
        <v>-100</v>
      </c>
    </row>
    <row r="61" spans="1:13" ht="14.4" customHeight="1" x14ac:dyDescent="0.25">
      <c r="A61" s="14" t="s">
        <v>129</v>
      </c>
      <c r="B61" s="15">
        <v>1000</v>
      </c>
      <c r="C61" s="15">
        <v>9</v>
      </c>
      <c r="D61" s="16">
        <f t="shared" si="3"/>
        <v>9</v>
      </c>
      <c r="E61" s="17">
        <v>100</v>
      </c>
      <c r="F61" s="16">
        <f t="shared" si="4"/>
        <v>4000</v>
      </c>
      <c r="G61" s="18">
        <v>0.01</v>
      </c>
      <c r="H61" s="16"/>
      <c r="I61" s="16"/>
      <c r="J61" s="16"/>
      <c r="K61" s="16">
        <f t="shared" si="0"/>
        <v>-100</v>
      </c>
      <c r="L61" s="16">
        <f t="shared" si="1"/>
        <v>-100</v>
      </c>
      <c r="M61" s="16">
        <f t="shared" si="2"/>
        <v>-100</v>
      </c>
    </row>
    <row r="62" spans="1:13" ht="14.4" customHeight="1" x14ac:dyDescent="0.25">
      <c r="A62" s="14" t="s">
        <v>130</v>
      </c>
      <c r="B62" s="15">
        <v>1000</v>
      </c>
      <c r="C62" s="15">
        <v>15</v>
      </c>
      <c r="D62" s="16">
        <f t="shared" si="3"/>
        <v>15</v>
      </c>
      <c r="E62" s="17">
        <v>100</v>
      </c>
      <c r="F62" s="16">
        <f t="shared" si="4"/>
        <v>2400</v>
      </c>
      <c r="G62" s="18">
        <v>0.01</v>
      </c>
      <c r="H62" s="16"/>
      <c r="I62" s="16"/>
      <c r="J62" s="16"/>
      <c r="K62" s="16">
        <f t="shared" si="0"/>
        <v>-100</v>
      </c>
      <c r="L62" s="16">
        <f t="shared" si="1"/>
        <v>-100</v>
      </c>
      <c r="M62" s="16">
        <f t="shared" si="2"/>
        <v>-100</v>
      </c>
    </row>
    <row r="63" spans="1:13" ht="14.4" customHeight="1" x14ac:dyDescent="0.25">
      <c r="A63" s="14" t="s">
        <v>131</v>
      </c>
      <c r="B63" s="15">
        <v>1000</v>
      </c>
      <c r="C63" s="15">
        <v>20</v>
      </c>
      <c r="D63" s="16">
        <f t="shared" si="3"/>
        <v>20</v>
      </c>
      <c r="E63" s="17">
        <v>100</v>
      </c>
      <c r="F63" s="16">
        <f t="shared" si="4"/>
        <v>1800</v>
      </c>
      <c r="G63" s="18">
        <v>0.01</v>
      </c>
      <c r="H63" s="16"/>
      <c r="I63" s="16"/>
      <c r="J63" s="16"/>
      <c r="K63" s="16">
        <f t="shared" si="0"/>
        <v>-100</v>
      </c>
      <c r="L63" s="16">
        <f t="shared" si="1"/>
        <v>-100</v>
      </c>
      <c r="M63" s="16">
        <f t="shared" si="2"/>
        <v>-100</v>
      </c>
    </row>
    <row r="64" spans="1:13" ht="14.4" customHeight="1" x14ac:dyDescent="0.25">
      <c r="A64" s="14" t="s">
        <v>132</v>
      </c>
      <c r="B64" s="15">
        <v>1000</v>
      </c>
      <c r="C64" s="15">
        <v>30</v>
      </c>
      <c r="D64" s="16">
        <f t="shared" si="3"/>
        <v>30</v>
      </c>
      <c r="E64" s="17">
        <v>100</v>
      </c>
      <c r="F64" s="16">
        <f t="shared" si="4"/>
        <v>1200</v>
      </c>
      <c r="G64" s="18">
        <v>5.0000000000000001E-3</v>
      </c>
      <c r="H64" s="16"/>
      <c r="I64" s="16"/>
      <c r="J64" s="16"/>
      <c r="K64" s="16">
        <f t="shared" si="0"/>
        <v>-100</v>
      </c>
      <c r="L64" s="16">
        <f t="shared" si="1"/>
        <v>-100</v>
      </c>
      <c r="M64" s="16">
        <f t="shared" si="2"/>
        <v>-100</v>
      </c>
    </row>
    <row r="65" spans="1:13" ht="14.4" customHeight="1" x14ac:dyDescent="0.25">
      <c r="A65" s="14" t="s">
        <v>133</v>
      </c>
      <c r="B65" s="15">
        <v>1000</v>
      </c>
      <c r="C65" s="15">
        <v>150</v>
      </c>
      <c r="D65" s="16">
        <f t="shared" si="3"/>
        <v>150</v>
      </c>
      <c r="E65" s="17">
        <v>100</v>
      </c>
      <c r="F65" s="16">
        <f t="shared" si="4"/>
        <v>240</v>
      </c>
      <c r="G65" s="18">
        <v>5.0000000000000001E-3</v>
      </c>
      <c r="H65" s="16"/>
      <c r="I65" s="16"/>
      <c r="J65" s="16"/>
      <c r="K65" s="16">
        <f t="shared" si="0"/>
        <v>-100</v>
      </c>
      <c r="L65" s="16">
        <f t="shared" si="1"/>
        <v>-100</v>
      </c>
      <c r="M65" s="16">
        <f t="shared" si="2"/>
        <v>-100</v>
      </c>
    </row>
    <row r="66" spans="1:13" ht="14.4" customHeight="1" x14ac:dyDescent="0.25">
      <c r="A66" s="14" t="s">
        <v>134</v>
      </c>
      <c r="B66" s="15">
        <v>1000</v>
      </c>
      <c r="C66" s="15">
        <v>300</v>
      </c>
      <c r="D66" s="16">
        <f t="shared" si="3"/>
        <v>300</v>
      </c>
      <c r="E66" s="17">
        <v>100</v>
      </c>
      <c r="F66" s="16">
        <f t="shared" si="4"/>
        <v>120</v>
      </c>
      <c r="G66" s="18">
        <v>5.0000000000000001E-3</v>
      </c>
      <c r="H66" s="16"/>
      <c r="I66" s="16"/>
      <c r="J66" s="16"/>
      <c r="K66" s="16">
        <f t="shared" si="0"/>
        <v>-100</v>
      </c>
      <c r="L66" s="16">
        <f t="shared" si="1"/>
        <v>-100</v>
      </c>
      <c r="M66" s="16">
        <f t="shared" si="2"/>
        <v>-100</v>
      </c>
    </row>
    <row r="67" spans="1:13" ht="14.4" customHeight="1" x14ac:dyDescent="0.25">
      <c r="A67" s="14" t="s">
        <v>135</v>
      </c>
      <c r="B67" s="15">
        <v>1000</v>
      </c>
      <c r="C67" s="15">
        <v>400</v>
      </c>
      <c r="D67" s="16">
        <f t="shared" si="3"/>
        <v>400</v>
      </c>
      <c r="E67" s="17">
        <v>10</v>
      </c>
      <c r="F67" s="16">
        <f t="shared" si="4"/>
        <v>900</v>
      </c>
      <c r="G67" s="18">
        <v>5.0000000000000001E-3</v>
      </c>
      <c r="H67" s="16"/>
      <c r="I67" s="16"/>
      <c r="J67" s="16"/>
      <c r="K67" s="16">
        <f t="shared" ref="K67:K102" si="5">(H67-F67)/F67*100</f>
        <v>-100</v>
      </c>
      <c r="L67" s="16">
        <f t="shared" ref="L67:L102" si="6">(I67-F67)/F67*100</f>
        <v>-100</v>
      </c>
      <c r="M67" s="16">
        <f t="shared" ref="M67:M102" si="7">(J67-F67)/F67*100</f>
        <v>-100</v>
      </c>
    </row>
    <row r="68" spans="1:13" ht="14.4" customHeight="1" x14ac:dyDescent="0.25">
      <c r="A68" s="14" t="s">
        <v>136</v>
      </c>
      <c r="B68" s="15">
        <v>1000</v>
      </c>
      <c r="C68" s="15">
        <v>600</v>
      </c>
      <c r="D68" s="16">
        <f t="shared" ref="D68:D99" si="8">B68*C68*0.001</f>
        <v>600</v>
      </c>
      <c r="E68" s="17">
        <v>10</v>
      </c>
      <c r="F68" s="16">
        <f t="shared" ref="F68:F99" si="9">1/E68/D68*3600000</f>
        <v>600.00000000000011</v>
      </c>
      <c r="G68" s="18">
        <v>5.0000000000000001E-3</v>
      </c>
      <c r="H68" s="16"/>
      <c r="I68" s="16"/>
      <c r="J68" s="16"/>
      <c r="K68" s="16">
        <f t="shared" si="5"/>
        <v>-100</v>
      </c>
      <c r="L68" s="16">
        <f t="shared" si="6"/>
        <v>-100</v>
      </c>
      <c r="M68" s="16">
        <f t="shared" si="7"/>
        <v>-100</v>
      </c>
    </row>
    <row r="69" spans="1:13" ht="14.4" customHeight="1" x14ac:dyDescent="0.25">
      <c r="A69" s="14" t="s">
        <v>137</v>
      </c>
      <c r="B69" s="15">
        <v>1000</v>
      </c>
      <c r="C69" s="15">
        <v>800</v>
      </c>
      <c r="D69" s="16">
        <f t="shared" si="8"/>
        <v>800</v>
      </c>
      <c r="E69" s="17">
        <v>10</v>
      </c>
      <c r="F69" s="16">
        <f t="shared" si="9"/>
        <v>450</v>
      </c>
      <c r="G69" s="20">
        <v>5.0000000000000001E-3</v>
      </c>
      <c r="H69" s="16"/>
      <c r="I69" s="16"/>
      <c r="J69" s="16"/>
      <c r="K69" s="16">
        <f t="shared" si="5"/>
        <v>-100</v>
      </c>
      <c r="L69" s="16">
        <f t="shared" si="6"/>
        <v>-100</v>
      </c>
      <c r="M69" s="16">
        <f t="shared" si="7"/>
        <v>-100</v>
      </c>
    </row>
    <row r="70" spans="1:13" ht="14.4" customHeight="1" x14ac:dyDescent="0.25">
      <c r="A70" s="14" t="s">
        <v>138</v>
      </c>
      <c r="B70" s="15">
        <v>1000</v>
      </c>
      <c r="C70" s="15">
        <v>1000</v>
      </c>
      <c r="D70" s="16">
        <f t="shared" si="8"/>
        <v>1000</v>
      </c>
      <c r="E70" s="17">
        <v>10</v>
      </c>
      <c r="F70" s="16">
        <f t="shared" si="9"/>
        <v>360</v>
      </c>
      <c r="G70" s="20">
        <v>5.0000000000000001E-3</v>
      </c>
      <c r="H70" s="16"/>
      <c r="I70" s="16"/>
      <c r="J70" s="16"/>
      <c r="K70" s="16">
        <f t="shared" si="5"/>
        <v>-100</v>
      </c>
      <c r="L70" s="16">
        <f t="shared" si="6"/>
        <v>-100</v>
      </c>
      <c r="M70" s="16">
        <f t="shared" si="7"/>
        <v>-100</v>
      </c>
    </row>
    <row r="71" spans="1:13" ht="14.4" customHeight="1" x14ac:dyDescent="0.25">
      <c r="A71" s="14" t="s">
        <v>139</v>
      </c>
      <c r="B71" s="15">
        <v>1000</v>
      </c>
      <c r="C71" s="15">
        <v>1200</v>
      </c>
      <c r="D71" s="16">
        <f t="shared" si="8"/>
        <v>1200</v>
      </c>
      <c r="E71" s="17">
        <v>10</v>
      </c>
      <c r="F71" s="16">
        <f t="shared" si="9"/>
        <v>300.00000000000006</v>
      </c>
      <c r="G71" s="20">
        <v>5.0000000000000001E-3</v>
      </c>
      <c r="H71" s="16"/>
      <c r="I71" s="16"/>
      <c r="J71" s="16"/>
      <c r="K71" s="16">
        <f t="shared" si="5"/>
        <v>-100</v>
      </c>
      <c r="L71" s="16">
        <f t="shared" si="6"/>
        <v>-100</v>
      </c>
      <c r="M71" s="16">
        <f t="shared" si="7"/>
        <v>-100</v>
      </c>
    </row>
    <row r="72" spans="1:13" ht="14.4" customHeight="1" x14ac:dyDescent="0.25">
      <c r="A72" s="14" t="s">
        <v>140</v>
      </c>
      <c r="B72" s="15">
        <v>1000</v>
      </c>
      <c r="C72" s="15">
        <v>1500</v>
      </c>
      <c r="D72" s="16">
        <f t="shared" si="8"/>
        <v>1500</v>
      </c>
      <c r="E72" s="17">
        <v>10</v>
      </c>
      <c r="F72" s="16">
        <f t="shared" si="9"/>
        <v>240</v>
      </c>
      <c r="G72" s="20">
        <v>5.0000000000000001E-3</v>
      </c>
      <c r="H72" s="16"/>
      <c r="I72" s="16"/>
      <c r="J72" s="16"/>
      <c r="K72" s="16">
        <f t="shared" si="5"/>
        <v>-100</v>
      </c>
      <c r="L72" s="16">
        <f t="shared" si="6"/>
        <v>-100</v>
      </c>
      <c r="M72" s="16">
        <f t="shared" si="7"/>
        <v>-100</v>
      </c>
    </row>
    <row r="73" spans="1:13" ht="14.4" customHeight="1" x14ac:dyDescent="0.25">
      <c r="A73" s="14" t="s">
        <v>141</v>
      </c>
      <c r="B73" s="15">
        <v>1000</v>
      </c>
      <c r="C73" s="15">
        <v>1.2</v>
      </c>
      <c r="D73" s="16">
        <f t="shared" si="8"/>
        <v>1.2</v>
      </c>
      <c r="E73" s="17">
        <v>5000</v>
      </c>
      <c r="F73" s="16">
        <f t="shared" si="9"/>
        <v>600.00000000000011</v>
      </c>
      <c r="G73" s="18">
        <v>7.4999999999999997E-2</v>
      </c>
      <c r="H73" s="16"/>
      <c r="I73" s="16"/>
      <c r="J73" s="16"/>
      <c r="K73" s="16">
        <f t="shared" si="5"/>
        <v>-100</v>
      </c>
      <c r="L73" s="16">
        <f t="shared" si="6"/>
        <v>-100</v>
      </c>
      <c r="M73" s="16">
        <f t="shared" si="7"/>
        <v>-100</v>
      </c>
    </row>
    <row r="74" spans="1:13" ht="14.4" customHeight="1" x14ac:dyDescent="0.25">
      <c r="A74" s="14" t="s">
        <v>142</v>
      </c>
      <c r="B74" s="15">
        <v>1000</v>
      </c>
      <c r="C74" s="15">
        <v>4.5</v>
      </c>
      <c r="D74" s="16">
        <f t="shared" si="8"/>
        <v>4.5</v>
      </c>
      <c r="E74" s="17">
        <v>5000</v>
      </c>
      <c r="F74" s="16">
        <f t="shared" si="9"/>
        <v>160</v>
      </c>
      <c r="G74" s="18">
        <v>0.02</v>
      </c>
      <c r="H74" s="16"/>
      <c r="I74" s="16"/>
      <c r="J74" s="16"/>
      <c r="K74" s="16">
        <f t="shared" si="5"/>
        <v>-100</v>
      </c>
      <c r="L74" s="16">
        <f t="shared" si="6"/>
        <v>-100</v>
      </c>
      <c r="M74" s="16">
        <f t="shared" si="7"/>
        <v>-100</v>
      </c>
    </row>
    <row r="75" spans="1:13" ht="14.4" customHeight="1" x14ac:dyDescent="0.25">
      <c r="A75" s="14" t="s">
        <v>143</v>
      </c>
      <c r="B75" s="15">
        <v>1200</v>
      </c>
      <c r="C75" s="15">
        <v>1.2</v>
      </c>
      <c r="D75" s="16">
        <f t="shared" si="8"/>
        <v>1.44</v>
      </c>
      <c r="E75" s="17">
        <v>1000</v>
      </c>
      <c r="F75" s="16">
        <f t="shared" si="9"/>
        <v>2500</v>
      </c>
      <c r="G75" s="18">
        <v>7.4999999999999997E-2</v>
      </c>
      <c r="H75" s="16"/>
      <c r="I75" s="16"/>
      <c r="J75" s="16"/>
      <c r="K75" s="16">
        <f t="shared" si="5"/>
        <v>-100</v>
      </c>
      <c r="L75" s="16">
        <f t="shared" si="6"/>
        <v>-100</v>
      </c>
      <c r="M75" s="16">
        <f t="shared" si="7"/>
        <v>-100</v>
      </c>
    </row>
    <row r="76" spans="1:13" ht="14.4" customHeight="1" x14ac:dyDescent="0.25">
      <c r="A76" s="14" t="s">
        <v>144</v>
      </c>
      <c r="B76" s="15">
        <v>1200</v>
      </c>
      <c r="C76" s="15">
        <v>4.5</v>
      </c>
      <c r="D76" s="16">
        <f t="shared" si="8"/>
        <v>5.4</v>
      </c>
      <c r="E76" s="17">
        <v>100</v>
      </c>
      <c r="F76" s="16">
        <f t="shared" si="9"/>
        <v>6666.6666666666661</v>
      </c>
      <c r="G76" s="18">
        <v>0.02</v>
      </c>
      <c r="H76" s="16"/>
      <c r="I76" s="16"/>
      <c r="J76" s="16"/>
      <c r="K76" s="16">
        <f t="shared" si="5"/>
        <v>-100</v>
      </c>
      <c r="L76" s="16">
        <f t="shared" si="6"/>
        <v>-100</v>
      </c>
      <c r="M76" s="16">
        <f t="shared" si="7"/>
        <v>-100</v>
      </c>
    </row>
    <row r="77" spans="1:13" ht="14.4" customHeight="1" x14ac:dyDescent="0.25">
      <c r="A77" s="14" t="s">
        <v>145</v>
      </c>
      <c r="B77" s="15">
        <v>1200</v>
      </c>
      <c r="C77" s="15">
        <v>9</v>
      </c>
      <c r="D77" s="16">
        <f t="shared" si="8"/>
        <v>10.8</v>
      </c>
      <c r="E77" s="17">
        <v>100</v>
      </c>
      <c r="F77" s="16">
        <f t="shared" si="9"/>
        <v>3333.333333333333</v>
      </c>
      <c r="G77" s="18">
        <v>0.01</v>
      </c>
      <c r="H77" s="16"/>
      <c r="I77" s="16"/>
      <c r="J77" s="16"/>
      <c r="K77" s="16">
        <f t="shared" si="5"/>
        <v>-100</v>
      </c>
      <c r="L77" s="16">
        <f t="shared" si="6"/>
        <v>-100</v>
      </c>
      <c r="M77" s="16">
        <f t="shared" si="7"/>
        <v>-100</v>
      </c>
    </row>
    <row r="78" spans="1:13" ht="14.4" customHeight="1" x14ac:dyDescent="0.25">
      <c r="A78" s="14" t="s">
        <v>146</v>
      </c>
      <c r="B78" s="15">
        <v>1200</v>
      </c>
      <c r="C78" s="15">
        <v>15</v>
      </c>
      <c r="D78" s="16">
        <f t="shared" si="8"/>
        <v>18</v>
      </c>
      <c r="E78" s="17">
        <v>100</v>
      </c>
      <c r="F78" s="16">
        <f t="shared" si="9"/>
        <v>2000</v>
      </c>
      <c r="G78" s="18">
        <v>0.01</v>
      </c>
      <c r="H78" s="16"/>
      <c r="I78" s="16"/>
      <c r="J78" s="16"/>
      <c r="K78" s="16">
        <f t="shared" si="5"/>
        <v>-100</v>
      </c>
      <c r="L78" s="16">
        <f t="shared" si="6"/>
        <v>-100</v>
      </c>
      <c r="M78" s="16">
        <f t="shared" si="7"/>
        <v>-100</v>
      </c>
    </row>
    <row r="79" spans="1:13" ht="14.4" customHeight="1" x14ac:dyDescent="0.25">
      <c r="A79" s="14" t="s">
        <v>147</v>
      </c>
      <c r="B79" s="15">
        <v>1200</v>
      </c>
      <c r="C79" s="15">
        <v>20</v>
      </c>
      <c r="D79" s="16">
        <f t="shared" si="8"/>
        <v>24</v>
      </c>
      <c r="E79" s="17">
        <v>100</v>
      </c>
      <c r="F79" s="16">
        <f t="shared" si="9"/>
        <v>1500</v>
      </c>
      <c r="G79" s="18">
        <v>0.01</v>
      </c>
      <c r="H79" s="16"/>
      <c r="I79" s="16"/>
      <c r="J79" s="16"/>
      <c r="K79" s="16">
        <f t="shared" si="5"/>
        <v>-100</v>
      </c>
      <c r="L79" s="16">
        <f t="shared" si="6"/>
        <v>-100</v>
      </c>
      <c r="M79" s="16">
        <f t="shared" si="7"/>
        <v>-100</v>
      </c>
    </row>
    <row r="80" spans="1:13" ht="14.4" customHeight="1" x14ac:dyDescent="0.25">
      <c r="A80" s="14" t="s">
        <v>148</v>
      </c>
      <c r="B80" s="15">
        <v>1200</v>
      </c>
      <c r="C80" s="15">
        <v>30</v>
      </c>
      <c r="D80" s="16">
        <f t="shared" si="8"/>
        <v>36</v>
      </c>
      <c r="E80" s="17">
        <v>100</v>
      </c>
      <c r="F80" s="16">
        <f t="shared" si="9"/>
        <v>1000</v>
      </c>
      <c r="G80" s="18">
        <v>5.0000000000000001E-3</v>
      </c>
      <c r="H80" s="16"/>
      <c r="I80" s="16"/>
      <c r="J80" s="16"/>
      <c r="K80" s="16">
        <f t="shared" si="5"/>
        <v>-100</v>
      </c>
      <c r="L80" s="16">
        <f t="shared" si="6"/>
        <v>-100</v>
      </c>
      <c r="M80" s="16">
        <f t="shared" si="7"/>
        <v>-100</v>
      </c>
    </row>
    <row r="81" spans="1:13" ht="14.4" customHeight="1" x14ac:dyDescent="0.25">
      <c r="A81" s="14" t="s">
        <v>149</v>
      </c>
      <c r="B81" s="15">
        <v>1200</v>
      </c>
      <c r="C81" s="15">
        <v>150</v>
      </c>
      <c r="D81" s="16">
        <f t="shared" si="8"/>
        <v>180</v>
      </c>
      <c r="E81" s="17">
        <v>100</v>
      </c>
      <c r="F81" s="16">
        <f t="shared" si="9"/>
        <v>200</v>
      </c>
      <c r="G81" s="18">
        <v>5.0000000000000001E-3</v>
      </c>
      <c r="H81" s="16"/>
      <c r="I81" s="16"/>
      <c r="J81" s="16"/>
      <c r="K81" s="16">
        <f t="shared" si="5"/>
        <v>-100</v>
      </c>
      <c r="L81" s="16">
        <f t="shared" si="6"/>
        <v>-100</v>
      </c>
      <c r="M81" s="16">
        <f t="shared" si="7"/>
        <v>-100</v>
      </c>
    </row>
    <row r="82" spans="1:13" ht="14.4" customHeight="1" x14ac:dyDescent="0.25">
      <c r="A82" s="14" t="s">
        <v>150</v>
      </c>
      <c r="B82" s="15">
        <v>1200</v>
      </c>
      <c r="C82" s="15">
        <v>300</v>
      </c>
      <c r="D82" s="16">
        <f t="shared" si="8"/>
        <v>360</v>
      </c>
      <c r="E82" s="17">
        <v>100</v>
      </c>
      <c r="F82" s="16">
        <f t="shared" si="9"/>
        <v>100</v>
      </c>
      <c r="G82" s="18">
        <v>5.0000000000000001E-3</v>
      </c>
      <c r="H82" s="16"/>
      <c r="I82" s="16"/>
      <c r="J82" s="16"/>
      <c r="K82" s="16">
        <f t="shared" si="5"/>
        <v>-100</v>
      </c>
      <c r="L82" s="16">
        <f t="shared" si="6"/>
        <v>-100</v>
      </c>
      <c r="M82" s="16">
        <f t="shared" si="7"/>
        <v>-100</v>
      </c>
    </row>
    <row r="83" spans="1:13" ht="14.4" customHeight="1" x14ac:dyDescent="0.25">
      <c r="A83" s="14" t="s">
        <v>151</v>
      </c>
      <c r="B83" s="15">
        <v>1200</v>
      </c>
      <c r="C83" s="15">
        <v>400</v>
      </c>
      <c r="D83" s="16">
        <f t="shared" si="8"/>
        <v>480</v>
      </c>
      <c r="E83" s="17">
        <v>10</v>
      </c>
      <c r="F83" s="16">
        <f t="shared" si="9"/>
        <v>750</v>
      </c>
      <c r="G83" s="18">
        <v>5.0000000000000001E-3</v>
      </c>
      <c r="H83" s="16"/>
      <c r="I83" s="16"/>
      <c r="J83" s="16"/>
      <c r="K83" s="16">
        <f t="shared" si="5"/>
        <v>-100</v>
      </c>
      <c r="L83" s="16">
        <f t="shared" si="6"/>
        <v>-100</v>
      </c>
      <c r="M83" s="16">
        <f t="shared" si="7"/>
        <v>-100</v>
      </c>
    </row>
    <row r="84" spans="1:13" ht="14.4" customHeight="1" x14ac:dyDescent="0.25">
      <c r="A84" s="14" t="s">
        <v>152</v>
      </c>
      <c r="B84" s="15">
        <v>1200</v>
      </c>
      <c r="C84" s="15">
        <v>600</v>
      </c>
      <c r="D84" s="16">
        <f t="shared" si="8"/>
        <v>720</v>
      </c>
      <c r="E84" s="17">
        <v>10</v>
      </c>
      <c r="F84" s="16">
        <f t="shared" si="9"/>
        <v>500</v>
      </c>
      <c r="G84" s="18">
        <v>5.0000000000000001E-3</v>
      </c>
      <c r="H84" s="16"/>
      <c r="I84" s="16"/>
      <c r="J84" s="16"/>
      <c r="K84" s="16">
        <f t="shared" si="5"/>
        <v>-100</v>
      </c>
      <c r="L84" s="16">
        <f t="shared" si="6"/>
        <v>-100</v>
      </c>
      <c r="M84" s="16">
        <f t="shared" si="7"/>
        <v>-100</v>
      </c>
    </row>
    <row r="85" spans="1:13" ht="14.4" customHeight="1" x14ac:dyDescent="0.25">
      <c r="A85" s="14" t="s">
        <v>153</v>
      </c>
      <c r="B85" s="15">
        <v>1200</v>
      </c>
      <c r="C85" s="15">
        <v>800</v>
      </c>
      <c r="D85" s="16">
        <f t="shared" si="8"/>
        <v>960</v>
      </c>
      <c r="E85" s="17">
        <v>10</v>
      </c>
      <c r="F85" s="16">
        <f t="shared" si="9"/>
        <v>375</v>
      </c>
      <c r="G85" s="20">
        <v>5.0000000000000001E-3</v>
      </c>
      <c r="H85" s="16"/>
      <c r="I85" s="16"/>
      <c r="J85" s="16"/>
      <c r="K85" s="16">
        <f t="shared" si="5"/>
        <v>-100</v>
      </c>
      <c r="L85" s="16">
        <f t="shared" si="6"/>
        <v>-100</v>
      </c>
      <c r="M85" s="16">
        <f t="shared" si="7"/>
        <v>-100</v>
      </c>
    </row>
    <row r="86" spans="1:13" ht="14.4" customHeight="1" x14ac:dyDescent="0.25">
      <c r="A86" s="14" t="s">
        <v>154</v>
      </c>
      <c r="B86" s="15">
        <v>1200</v>
      </c>
      <c r="C86" s="15">
        <v>1000</v>
      </c>
      <c r="D86" s="16">
        <f t="shared" si="8"/>
        <v>1200</v>
      </c>
      <c r="E86" s="17">
        <v>10</v>
      </c>
      <c r="F86" s="16">
        <f t="shared" si="9"/>
        <v>300.00000000000006</v>
      </c>
      <c r="G86" s="20">
        <v>5.0000000000000001E-3</v>
      </c>
      <c r="H86" s="16"/>
      <c r="I86" s="16"/>
      <c r="J86" s="16"/>
      <c r="K86" s="16">
        <f t="shared" si="5"/>
        <v>-100</v>
      </c>
      <c r="L86" s="16">
        <f t="shared" si="6"/>
        <v>-100</v>
      </c>
      <c r="M86" s="16">
        <f t="shared" si="7"/>
        <v>-100</v>
      </c>
    </row>
    <row r="87" spans="1:13" ht="14.4" customHeight="1" x14ac:dyDescent="0.25">
      <c r="A87" s="14" t="s">
        <v>155</v>
      </c>
      <c r="B87" s="15">
        <v>1200</v>
      </c>
      <c r="C87" s="15">
        <v>1200</v>
      </c>
      <c r="D87" s="16">
        <f t="shared" si="8"/>
        <v>1440</v>
      </c>
      <c r="E87" s="17">
        <v>10</v>
      </c>
      <c r="F87" s="16">
        <f t="shared" si="9"/>
        <v>250</v>
      </c>
      <c r="G87" s="20">
        <v>5.0000000000000001E-3</v>
      </c>
      <c r="H87" s="16"/>
      <c r="I87" s="16"/>
      <c r="J87" s="16"/>
      <c r="K87" s="16">
        <f t="shared" si="5"/>
        <v>-100</v>
      </c>
      <c r="L87" s="16">
        <f t="shared" si="6"/>
        <v>-100</v>
      </c>
      <c r="M87" s="16">
        <f t="shared" si="7"/>
        <v>-100</v>
      </c>
    </row>
    <row r="88" spans="1:13" ht="14.4" customHeight="1" x14ac:dyDescent="0.25">
      <c r="A88" s="14" t="s">
        <v>156</v>
      </c>
      <c r="B88" s="15">
        <v>1200</v>
      </c>
      <c r="C88" s="15">
        <v>1500</v>
      </c>
      <c r="D88" s="16">
        <f t="shared" si="8"/>
        <v>1800</v>
      </c>
      <c r="E88" s="17">
        <v>10</v>
      </c>
      <c r="F88" s="16">
        <f t="shared" si="9"/>
        <v>200</v>
      </c>
      <c r="G88" s="20">
        <v>5.0000000000000001E-3</v>
      </c>
      <c r="H88" s="16"/>
      <c r="I88" s="16"/>
      <c r="J88" s="16"/>
      <c r="K88" s="16">
        <f t="shared" si="5"/>
        <v>-100</v>
      </c>
      <c r="L88" s="16">
        <f t="shared" si="6"/>
        <v>-100</v>
      </c>
      <c r="M88" s="16">
        <f t="shared" si="7"/>
        <v>-100</v>
      </c>
    </row>
    <row r="89" spans="1:13" ht="14.4" customHeight="1" x14ac:dyDescent="0.25">
      <c r="A89" s="14" t="s">
        <v>157</v>
      </c>
      <c r="B89" s="15">
        <v>1500</v>
      </c>
      <c r="C89" s="15">
        <v>1.2</v>
      </c>
      <c r="D89" s="16">
        <f t="shared" si="8"/>
        <v>1.8</v>
      </c>
      <c r="E89" s="17">
        <v>1000</v>
      </c>
      <c r="F89" s="16">
        <f t="shared" si="9"/>
        <v>2000</v>
      </c>
      <c r="G89" s="18">
        <v>7.4999999999999997E-2</v>
      </c>
      <c r="H89" s="16"/>
      <c r="I89" s="16"/>
      <c r="J89" s="16"/>
      <c r="K89" s="16">
        <f t="shared" si="5"/>
        <v>-100</v>
      </c>
      <c r="L89" s="16">
        <f t="shared" si="6"/>
        <v>-100</v>
      </c>
      <c r="M89" s="16">
        <f t="shared" si="7"/>
        <v>-100</v>
      </c>
    </row>
    <row r="90" spans="1:13" ht="14.4" customHeight="1" x14ac:dyDescent="0.25">
      <c r="A90" s="14" t="s">
        <v>158</v>
      </c>
      <c r="B90" s="15">
        <v>1500</v>
      </c>
      <c r="C90" s="15">
        <v>4.5</v>
      </c>
      <c r="D90" s="16">
        <f t="shared" si="8"/>
        <v>6.75</v>
      </c>
      <c r="E90" s="17">
        <v>100</v>
      </c>
      <c r="F90" s="16">
        <f t="shared" si="9"/>
        <v>5333.333333333333</v>
      </c>
      <c r="G90" s="18">
        <v>0.02</v>
      </c>
      <c r="H90" s="16"/>
      <c r="I90" s="16"/>
      <c r="J90" s="16"/>
      <c r="K90" s="16">
        <f t="shared" si="5"/>
        <v>-100</v>
      </c>
      <c r="L90" s="16">
        <f t="shared" si="6"/>
        <v>-100</v>
      </c>
      <c r="M90" s="16">
        <f t="shared" si="7"/>
        <v>-100</v>
      </c>
    </row>
    <row r="91" spans="1:13" ht="14.4" customHeight="1" x14ac:dyDescent="0.25">
      <c r="A91" s="14" t="s">
        <v>159</v>
      </c>
      <c r="B91" s="15">
        <v>1500</v>
      </c>
      <c r="C91" s="15">
        <v>9</v>
      </c>
      <c r="D91" s="16">
        <f t="shared" si="8"/>
        <v>13.5</v>
      </c>
      <c r="E91" s="17">
        <v>100</v>
      </c>
      <c r="F91" s="16">
        <f t="shared" si="9"/>
        <v>2666.6666666666665</v>
      </c>
      <c r="G91" s="18">
        <v>0.01</v>
      </c>
      <c r="H91" s="16"/>
      <c r="I91" s="16"/>
      <c r="J91" s="16"/>
      <c r="K91" s="16">
        <f t="shared" si="5"/>
        <v>-100</v>
      </c>
      <c r="L91" s="16">
        <f t="shared" si="6"/>
        <v>-100</v>
      </c>
      <c r="M91" s="16">
        <f t="shared" si="7"/>
        <v>-100</v>
      </c>
    </row>
    <row r="92" spans="1:13" ht="14.4" customHeight="1" x14ac:dyDescent="0.25">
      <c r="A92" s="14" t="s">
        <v>160</v>
      </c>
      <c r="B92" s="15">
        <v>1500</v>
      </c>
      <c r="C92" s="15">
        <v>15</v>
      </c>
      <c r="D92" s="16">
        <f t="shared" si="8"/>
        <v>22.5</v>
      </c>
      <c r="E92" s="17">
        <v>100</v>
      </c>
      <c r="F92" s="16">
        <f t="shared" si="9"/>
        <v>1600</v>
      </c>
      <c r="G92" s="18">
        <v>0.01</v>
      </c>
      <c r="H92" s="16"/>
      <c r="I92" s="16"/>
      <c r="J92" s="16"/>
      <c r="K92" s="16">
        <f t="shared" si="5"/>
        <v>-100</v>
      </c>
      <c r="L92" s="16">
        <f t="shared" si="6"/>
        <v>-100</v>
      </c>
      <c r="M92" s="16">
        <f t="shared" si="7"/>
        <v>-100</v>
      </c>
    </row>
    <row r="93" spans="1:13" ht="14.4" customHeight="1" x14ac:dyDescent="0.25">
      <c r="A93" s="14" t="s">
        <v>161</v>
      </c>
      <c r="B93" s="15">
        <v>1500</v>
      </c>
      <c r="C93" s="15">
        <v>20</v>
      </c>
      <c r="D93" s="16">
        <f t="shared" si="8"/>
        <v>30</v>
      </c>
      <c r="E93" s="17">
        <v>100</v>
      </c>
      <c r="F93" s="16">
        <f t="shared" si="9"/>
        <v>1200</v>
      </c>
      <c r="G93" s="18">
        <v>0.01</v>
      </c>
      <c r="H93" s="16"/>
      <c r="I93" s="16"/>
      <c r="J93" s="16"/>
      <c r="K93" s="16">
        <f t="shared" si="5"/>
        <v>-100</v>
      </c>
      <c r="L93" s="16">
        <f t="shared" si="6"/>
        <v>-100</v>
      </c>
      <c r="M93" s="16">
        <f t="shared" si="7"/>
        <v>-100</v>
      </c>
    </row>
    <row r="94" spans="1:13" ht="14.4" customHeight="1" x14ac:dyDescent="0.25">
      <c r="A94" s="14" t="s">
        <v>162</v>
      </c>
      <c r="B94" s="15">
        <v>1500</v>
      </c>
      <c r="C94" s="15">
        <v>30</v>
      </c>
      <c r="D94" s="16">
        <f t="shared" si="8"/>
        <v>45</v>
      </c>
      <c r="E94" s="17">
        <v>100</v>
      </c>
      <c r="F94" s="16">
        <f t="shared" si="9"/>
        <v>800</v>
      </c>
      <c r="G94" s="18">
        <v>5.0000000000000001E-3</v>
      </c>
      <c r="H94" s="16"/>
      <c r="I94" s="16"/>
      <c r="J94" s="16"/>
      <c r="K94" s="16">
        <f t="shared" si="5"/>
        <v>-100</v>
      </c>
      <c r="L94" s="16">
        <f t="shared" si="6"/>
        <v>-100</v>
      </c>
      <c r="M94" s="16">
        <f t="shared" si="7"/>
        <v>-100</v>
      </c>
    </row>
    <row r="95" spans="1:13" ht="14.4" customHeight="1" x14ac:dyDescent="0.25">
      <c r="A95" s="14" t="s">
        <v>163</v>
      </c>
      <c r="B95" s="15">
        <v>1500</v>
      </c>
      <c r="C95" s="15">
        <v>150</v>
      </c>
      <c r="D95" s="16">
        <f t="shared" si="8"/>
        <v>225</v>
      </c>
      <c r="E95" s="17">
        <v>100</v>
      </c>
      <c r="F95" s="16">
        <f t="shared" si="9"/>
        <v>160</v>
      </c>
      <c r="G95" s="18">
        <v>5.0000000000000001E-3</v>
      </c>
      <c r="H95" s="16"/>
      <c r="I95" s="16"/>
      <c r="J95" s="16"/>
      <c r="K95" s="16">
        <f t="shared" si="5"/>
        <v>-100</v>
      </c>
      <c r="L95" s="16">
        <f t="shared" si="6"/>
        <v>-100</v>
      </c>
      <c r="M95" s="16">
        <f t="shared" si="7"/>
        <v>-100</v>
      </c>
    </row>
    <row r="96" spans="1:13" ht="14.4" customHeight="1" x14ac:dyDescent="0.25">
      <c r="A96" s="14" t="s">
        <v>164</v>
      </c>
      <c r="B96" s="15">
        <v>1500</v>
      </c>
      <c r="C96" s="15">
        <v>300</v>
      </c>
      <c r="D96" s="16">
        <f t="shared" si="8"/>
        <v>450</v>
      </c>
      <c r="E96" s="17">
        <v>100</v>
      </c>
      <c r="F96" s="16">
        <f t="shared" si="9"/>
        <v>80</v>
      </c>
      <c r="G96" s="18">
        <v>5.0000000000000001E-3</v>
      </c>
      <c r="H96" s="16"/>
      <c r="I96" s="16"/>
      <c r="J96" s="16"/>
      <c r="K96" s="16">
        <f t="shared" si="5"/>
        <v>-100</v>
      </c>
      <c r="L96" s="16">
        <f t="shared" si="6"/>
        <v>-100</v>
      </c>
      <c r="M96" s="16">
        <f t="shared" si="7"/>
        <v>-100</v>
      </c>
    </row>
    <row r="97" spans="1:13" ht="14.4" customHeight="1" x14ac:dyDescent="0.25">
      <c r="A97" s="14" t="s">
        <v>165</v>
      </c>
      <c r="B97" s="15">
        <v>1500</v>
      </c>
      <c r="C97" s="15">
        <v>400</v>
      </c>
      <c r="D97" s="16">
        <f t="shared" si="8"/>
        <v>600</v>
      </c>
      <c r="E97" s="17">
        <v>10</v>
      </c>
      <c r="F97" s="16">
        <f t="shared" si="9"/>
        <v>600.00000000000011</v>
      </c>
      <c r="G97" s="18">
        <v>5.0000000000000001E-3</v>
      </c>
      <c r="H97" s="16"/>
      <c r="I97" s="16"/>
      <c r="J97" s="16"/>
      <c r="K97" s="16">
        <f t="shared" si="5"/>
        <v>-100</v>
      </c>
      <c r="L97" s="16">
        <f t="shared" si="6"/>
        <v>-100</v>
      </c>
      <c r="M97" s="16">
        <f t="shared" si="7"/>
        <v>-100</v>
      </c>
    </row>
    <row r="98" spans="1:13" ht="14.4" customHeight="1" x14ac:dyDescent="0.25">
      <c r="A98" s="14" t="s">
        <v>166</v>
      </c>
      <c r="B98" s="15">
        <v>1500</v>
      </c>
      <c r="C98" s="15">
        <v>600</v>
      </c>
      <c r="D98" s="16">
        <f>B98*C98*0.001</f>
        <v>900</v>
      </c>
      <c r="E98" s="17">
        <v>10</v>
      </c>
      <c r="F98" s="16">
        <f t="shared" si="9"/>
        <v>400</v>
      </c>
      <c r="G98" s="18">
        <v>5.0000000000000001E-3</v>
      </c>
      <c r="H98" s="16"/>
      <c r="I98" s="16"/>
      <c r="J98" s="16"/>
      <c r="K98" s="16">
        <f t="shared" si="5"/>
        <v>-100</v>
      </c>
      <c r="L98" s="16">
        <f t="shared" si="6"/>
        <v>-100</v>
      </c>
      <c r="M98" s="16">
        <f t="shared" si="7"/>
        <v>-100</v>
      </c>
    </row>
    <row r="99" spans="1:13" ht="14.4" customHeight="1" x14ac:dyDescent="0.25">
      <c r="A99" s="14" t="s">
        <v>167</v>
      </c>
      <c r="B99" s="15">
        <v>1500</v>
      </c>
      <c r="C99" s="15">
        <v>800</v>
      </c>
      <c r="D99" s="16">
        <f>B99*C99*0.001</f>
        <v>1200</v>
      </c>
      <c r="E99" s="17">
        <v>10</v>
      </c>
      <c r="F99" s="16">
        <f t="shared" si="9"/>
        <v>300.00000000000006</v>
      </c>
      <c r="G99" s="20">
        <v>5.0000000000000001E-3</v>
      </c>
      <c r="H99" s="16"/>
      <c r="I99" s="16"/>
      <c r="J99" s="16"/>
      <c r="K99" s="16">
        <f t="shared" si="5"/>
        <v>-100</v>
      </c>
      <c r="L99" s="16">
        <f t="shared" si="6"/>
        <v>-100</v>
      </c>
      <c r="M99" s="16">
        <f t="shared" si="7"/>
        <v>-100</v>
      </c>
    </row>
    <row r="100" spans="1:13" ht="14.4" customHeight="1" x14ac:dyDescent="0.25">
      <c r="A100" s="14" t="s">
        <v>168</v>
      </c>
      <c r="B100" s="15">
        <v>1500</v>
      </c>
      <c r="C100" s="15">
        <v>1000</v>
      </c>
      <c r="D100" s="16">
        <f>B100*C100*0.001</f>
        <v>1500</v>
      </c>
      <c r="E100" s="17">
        <v>10</v>
      </c>
      <c r="F100" s="16">
        <f>1/E100/D100*3600000</f>
        <v>240</v>
      </c>
      <c r="G100" s="20">
        <v>5.0000000000000001E-3</v>
      </c>
      <c r="H100" s="16"/>
      <c r="I100" s="16"/>
      <c r="J100" s="16"/>
      <c r="K100" s="16">
        <f t="shared" si="5"/>
        <v>-100</v>
      </c>
      <c r="L100" s="16">
        <f t="shared" si="6"/>
        <v>-100</v>
      </c>
      <c r="M100" s="16">
        <f t="shared" si="7"/>
        <v>-100</v>
      </c>
    </row>
    <row r="101" spans="1:13" ht="14.4" customHeight="1" x14ac:dyDescent="0.25">
      <c r="A101" s="14" t="s">
        <v>169</v>
      </c>
      <c r="B101" s="15">
        <v>1500</v>
      </c>
      <c r="C101" s="15">
        <v>1200</v>
      </c>
      <c r="D101" s="16">
        <f>B101*C101*0.001</f>
        <v>1800</v>
      </c>
      <c r="E101" s="17">
        <v>10</v>
      </c>
      <c r="F101" s="16">
        <f>1/E101/D101*3600000</f>
        <v>200</v>
      </c>
      <c r="G101" s="20">
        <v>5.0000000000000001E-3</v>
      </c>
      <c r="H101" s="16"/>
      <c r="I101" s="16"/>
      <c r="J101" s="16"/>
      <c r="K101" s="16">
        <f t="shared" si="5"/>
        <v>-100</v>
      </c>
      <c r="L101" s="16">
        <f t="shared" si="6"/>
        <v>-100</v>
      </c>
      <c r="M101" s="16">
        <f t="shared" si="7"/>
        <v>-100</v>
      </c>
    </row>
    <row r="102" spans="1:13" ht="14.4" customHeight="1" x14ac:dyDescent="0.25">
      <c r="A102" s="14" t="s">
        <v>170</v>
      </c>
      <c r="B102" s="15">
        <v>1500</v>
      </c>
      <c r="C102" s="15">
        <v>1500</v>
      </c>
      <c r="D102" s="16">
        <f>B102*C102*0.001</f>
        <v>2250</v>
      </c>
      <c r="E102" s="17">
        <v>10</v>
      </c>
      <c r="F102" s="16">
        <f>1/E102/D102*3600000</f>
        <v>160</v>
      </c>
      <c r="G102" s="20">
        <v>5.0000000000000001E-3</v>
      </c>
      <c r="H102" s="16"/>
      <c r="I102" s="16"/>
      <c r="J102" s="16"/>
      <c r="K102" s="16">
        <f t="shared" si="5"/>
        <v>-100</v>
      </c>
      <c r="L102" s="16">
        <f t="shared" si="6"/>
        <v>-100</v>
      </c>
      <c r="M102" s="16">
        <f t="shared" si="7"/>
        <v>-100</v>
      </c>
    </row>
  </sheetData>
  <mergeCells count="1">
    <mergeCell ref="A1:M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85" zoomScaleNormal="85" workbookViewId="0">
      <selection activeCell="C28" sqref="C28"/>
    </sheetView>
  </sheetViews>
  <sheetFormatPr defaultColWidth="9" defaultRowHeight="14.4" x14ac:dyDescent="0.25"/>
  <cols>
    <col min="1" max="1" width="35.33203125" customWidth="1"/>
    <col min="2" max="2" width="17.109375" customWidth="1"/>
    <col min="3" max="4" width="19.109375" customWidth="1"/>
    <col min="5" max="5" width="14.5546875" customWidth="1"/>
    <col min="6" max="7" width="18.6640625" customWidth="1"/>
    <col min="8" max="8" width="18.77734375" customWidth="1"/>
    <col min="10" max="10" width="9.6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t="s">
        <v>8</v>
      </c>
      <c r="J1" t="s">
        <v>9</v>
      </c>
    </row>
    <row r="2" spans="1:10" x14ac:dyDescent="0.25">
      <c r="A2" t="s">
        <v>10</v>
      </c>
      <c r="B2" s="12">
        <v>60</v>
      </c>
      <c r="C2" s="12">
        <v>0.52</v>
      </c>
      <c r="D2" s="12">
        <v>0.52</v>
      </c>
      <c r="E2">
        <v>0</v>
      </c>
      <c r="F2">
        <v>1E-3</v>
      </c>
      <c r="G2">
        <v>2E-3</v>
      </c>
      <c r="H2">
        <v>5.0000000000000001E-3</v>
      </c>
      <c r="I2">
        <v>20</v>
      </c>
      <c r="J2">
        <v>0.1</v>
      </c>
    </row>
    <row r="3" spans="1:10" x14ac:dyDescent="0.25">
      <c r="A3" t="s">
        <v>11</v>
      </c>
      <c r="B3" s="12">
        <v>100</v>
      </c>
      <c r="C3" s="12">
        <v>3.9</v>
      </c>
      <c r="D3" s="12">
        <v>3.9</v>
      </c>
      <c r="E3">
        <v>0</v>
      </c>
      <c r="F3">
        <v>1E-3</v>
      </c>
      <c r="G3">
        <v>2E-3</v>
      </c>
      <c r="H3">
        <v>5.0000000000000001E-3</v>
      </c>
      <c r="I3">
        <v>20</v>
      </c>
      <c r="J3">
        <v>0.1</v>
      </c>
    </row>
    <row r="4" spans="1:10" x14ac:dyDescent="0.25">
      <c r="A4" t="s">
        <v>12</v>
      </c>
      <c r="B4" s="12">
        <v>100</v>
      </c>
      <c r="C4" s="12">
        <v>5</v>
      </c>
      <c r="D4" s="12">
        <v>5</v>
      </c>
      <c r="E4">
        <v>0</v>
      </c>
      <c r="F4">
        <v>1E-3</v>
      </c>
      <c r="G4">
        <v>2E-3</v>
      </c>
      <c r="H4">
        <v>5.0000000000000001E-3</v>
      </c>
      <c r="I4">
        <v>20</v>
      </c>
      <c r="J4">
        <v>0.1</v>
      </c>
    </row>
    <row r="5" spans="1:10" x14ac:dyDescent="0.25">
      <c r="A5" t="s">
        <v>13</v>
      </c>
      <c r="B5" s="12">
        <v>150</v>
      </c>
      <c r="C5" s="12">
        <v>6.5</v>
      </c>
      <c r="D5" s="12">
        <v>6.5</v>
      </c>
      <c r="E5">
        <v>0</v>
      </c>
      <c r="F5">
        <v>1E-3</v>
      </c>
      <c r="G5">
        <v>2E-3</v>
      </c>
      <c r="H5">
        <v>5.0000000000000001E-3</v>
      </c>
      <c r="I5">
        <v>20</v>
      </c>
      <c r="J5">
        <v>0.1</v>
      </c>
    </row>
    <row r="6" spans="1:10" x14ac:dyDescent="0.25">
      <c r="A6" t="s">
        <v>14</v>
      </c>
      <c r="B6" s="12">
        <v>200</v>
      </c>
      <c r="C6" s="12">
        <v>10</v>
      </c>
      <c r="D6" s="12">
        <v>10</v>
      </c>
      <c r="E6">
        <v>0</v>
      </c>
      <c r="F6">
        <v>1E-3</v>
      </c>
      <c r="G6">
        <v>2E-3</v>
      </c>
      <c r="H6">
        <v>5.0000000000000001E-3</v>
      </c>
      <c r="I6">
        <v>20</v>
      </c>
      <c r="J6">
        <v>0.1</v>
      </c>
    </row>
    <row r="7" spans="1:10" x14ac:dyDescent="0.25">
      <c r="A7" t="s">
        <v>15</v>
      </c>
      <c r="B7" s="12">
        <v>500</v>
      </c>
      <c r="C7" s="12">
        <v>13</v>
      </c>
      <c r="D7" s="12">
        <v>13</v>
      </c>
      <c r="E7">
        <v>0</v>
      </c>
      <c r="F7">
        <v>1E-3</v>
      </c>
      <c r="G7">
        <v>2E-3</v>
      </c>
      <c r="H7">
        <v>5.0000000000000001E-3</v>
      </c>
      <c r="I7">
        <v>20</v>
      </c>
      <c r="J7">
        <v>0.1</v>
      </c>
    </row>
    <row r="8" spans="1:10" x14ac:dyDescent="0.25">
      <c r="A8" t="s">
        <v>16</v>
      </c>
      <c r="B8" s="12">
        <v>500</v>
      </c>
      <c r="C8" s="12">
        <v>80</v>
      </c>
      <c r="D8" s="12">
        <v>80</v>
      </c>
      <c r="E8">
        <v>0</v>
      </c>
      <c r="F8">
        <v>1E-3</v>
      </c>
      <c r="G8">
        <v>2E-3</v>
      </c>
      <c r="H8">
        <v>5.0000000000000001E-3</v>
      </c>
      <c r="I8">
        <v>20</v>
      </c>
      <c r="J8">
        <v>0.1</v>
      </c>
    </row>
    <row r="9" spans="1:10" x14ac:dyDescent="0.25">
      <c r="A9" t="s">
        <v>17</v>
      </c>
      <c r="B9" s="12">
        <v>800</v>
      </c>
      <c r="C9" s="12">
        <v>130</v>
      </c>
      <c r="D9" s="12">
        <v>130</v>
      </c>
      <c r="E9">
        <v>0</v>
      </c>
      <c r="F9">
        <v>1E-3</v>
      </c>
      <c r="G9">
        <v>2E-3</v>
      </c>
      <c r="H9">
        <v>5.0000000000000001E-3</v>
      </c>
      <c r="I9">
        <v>20</v>
      </c>
      <c r="J9">
        <v>0.1</v>
      </c>
    </row>
    <row r="10" spans="1:10" x14ac:dyDescent="0.25">
      <c r="A10" t="s">
        <v>18</v>
      </c>
      <c r="B10" s="12">
        <v>1000</v>
      </c>
      <c r="C10" s="12">
        <v>400</v>
      </c>
      <c r="D10" s="12">
        <v>400</v>
      </c>
      <c r="E10">
        <v>0</v>
      </c>
      <c r="F10">
        <v>1E-3</v>
      </c>
      <c r="G10">
        <v>2E-3</v>
      </c>
      <c r="H10">
        <v>5.0000000000000001E-3</v>
      </c>
      <c r="I10">
        <v>20</v>
      </c>
      <c r="J10">
        <v>0.1</v>
      </c>
    </row>
    <row r="11" spans="1:10" x14ac:dyDescent="0.25">
      <c r="A11" t="s">
        <v>19</v>
      </c>
      <c r="B11" s="12">
        <v>1000</v>
      </c>
      <c r="C11" s="12">
        <v>600</v>
      </c>
      <c r="D11" s="12">
        <v>600</v>
      </c>
      <c r="E11">
        <v>0</v>
      </c>
      <c r="F11">
        <v>1E-3</v>
      </c>
      <c r="G11">
        <v>2E-3</v>
      </c>
      <c r="H11">
        <v>5.0000000000000001E-3</v>
      </c>
      <c r="I11">
        <v>20</v>
      </c>
      <c r="J11">
        <v>0.1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zoomScale="85" zoomScaleNormal="85" workbookViewId="0">
      <selection activeCell="B2" sqref="B2"/>
    </sheetView>
  </sheetViews>
  <sheetFormatPr defaultColWidth="8.88671875" defaultRowHeight="14.4" x14ac:dyDescent="0.25"/>
  <cols>
    <col min="1" max="1" width="17.6640625" customWidth="1"/>
    <col min="2" max="2" width="11.44140625" customWidth="1"/>
    <col min="21" max="21" width="31.44140625" customWidth="1"/>
  </cols>
  <sheetData>
    <row r="1" spans="1:26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</v>
      </c>
      <c r="O1" s="1" t="s">
        <v>43</v>
      </c>
      <c r="P1" s="1" t="s">
        <v>44</v>
      </c>
      <c r="Q1" t="s">
        <v>45</v>
      </c>
      <c r="R1" s="1" t="s">
        <v>5</v>
      </c>
      <c r="S1" s="1" t="s">
        <v>6</v>
      </c>
      <c r="T1" s="1" t="s">
        <v>46</v>
      </c>
      <c r="U1" s="1" t="s">
        <v>47</v>
      </c>
      <c r="V1" s="3" t="s">
        <v>48</v>
      </c>
      <c r="W1" s="3" t="s">
        <v>49</v>
      </c>
      <c r="X1" t="s">
        <v>8</v>
      </c>
      <c r="Y1" t="s">
        <v>9</v>
      </c>
      <c r="Z1" t="s">
        <v>50</v>
      </c>
    </row>
    <row r="2" spans="1:26" x14ac:dyDescent="0.25">
      <c r="A2" t="s">
        <v>51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52</v>
      </c>
      <c r="Q2">
        <v>60</v>
      </c>
      <c r="R2">
        <v>1E-3</v>
      </c>
      <c r="S2">
        <v>1E-3</v>
      </c>
      <c r="T2">
        <v>0.1</v>
      </c>
      <c r="U2" t="s">
        <v>53</v>
      </c>
      <c r="V2">
        <v>0</v>
      </c>
      <c r="W2">
        <v>0</v>
      </c>
      <c r="X2">
        <v>5</v>
      </c>
      <c r="Y2">
        <v>0.1</v>
      </c>
      <c r="Z2" t="s">
        <v>53</v>
      </c>
    </row>
    <row r="3" spans="1:26" x14ac:dyDescent="0.25">
      <c r="A3" t="s">
        <v>54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52</v>
      </c>
      <c r="Q3">
        <v>60</v>
      </c>
      <c r="R3">
        <v>1E-3</v>
      </c>
      <c r="S3">
        <v>1E-3</v>
      </c>
      <c r="T3">
        <v>0.1</v>
      </c>
      <c r="U3" t="s">
        <v>55</v>
      </c>
      <c r="V3">
        <v>0</v>
      </c>
      <c r="W3">
        <v>0</v>
      </c>
      <c r="X3">
        <v>5</v>
      </c>
      <c r="Y3">
        <v>0.1</v>
      </c>
      <c r="Z3" t="s">
        <v>55</v>
      </c>
    </row>
    <row r="4" spans="1:26" x14ac:dyDescent="0.25">
      <c r="A4" t="s">
        <v>56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52</v>
      </c>
      <c r="Q4">
        <v>60</v>
      </c>
      <c r="R4">
        <v>1E-3</v>
      </c>
      <c r="S4">
        <v>1E-3</v>
      </c>
      <c r="T4">
        <v>0.1</v>
      </c>
      <c r="U4" t="s">
        <v>57</v>
      </c>
      <c r="V4">
        <v>0</v>
      </c>
      <c r="W4">
        <v>0</v>
      </c>
      <c r="X4">
        <v>5</v>
      </c>
      <c r="Y4">
        <v>0.1</v>
      </c>
      <c r="Z4" t="s">
        <v>57</v>
      </c>
    </row>
    <row r="5" spans="1:26" x14ac:dyDescent="0.25">
      <c r="A5" t="s">
        <v>58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52</v>
      </c>
      <c r="Q5">
        <v>60</v>
      </c>
      <c r="R5">
        <v>1E-3</v>
      </c>
      <c r="S5">
        <v>1E-3</v>
      </c>
      <c r="T5">
        <v>0.1</v>
      </c>
      <c r="U5" t="s">
        <v>53</v>
      </c>
      <c r="V5">
        <v>0</v>
      </c>
      <c r="W5">
        <v>0</v>
      </c>
      <c r="X5">
        <v>5</v>
      </c>
      <c r="Y5">
        <v>0.1</v>
      </c>
      <c r="Z5" t="s">
        <v>53</v>
      </c>
    </row>
    <row r="6" spans="1:26" x14ac:dyDescent="0.25">
      <c r="A6" t="s">
        <v>59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52</v>
      </c>
      <c r="Q6">
        <v>60</v>
      </c>
      <c r="R6">
        <v>1E-3</v>
      </c>
      <c r="S6">
        <v>1E-3</v>
      </c>
      <c r="T6">
        <v>0.1</v>
      </c>
      <c r="U6" t="s">
        <v>55</v>
      </c>
      <c r="V6">
        <v>0</v>
      </c>
      <c r="W6">
        <v>0</v>
      </c>
      <c r="X6">
        <v>5</v>
      </c>
      <c r="Y6">
        <v>0.1</v>
      </c>
      <c r="Z6" t="s">
        <v>55</v>
      </c>
    </row>
    <row r="7" spans="1:26" x14ac:dyDescent="0.25">
      <c r="A7" t="s">
        <v>60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52</v>
      </c>
      <c r="Q7">
        <v>60</v>
      </c>
      <c r="R7">
        <v>1E-3</v>
      </c>
      <c r="S7">
        <v>1E-3</v>
      </c>
      <c r="T7">
        <v>0.1</v>
      </c>
      <c r="U7" t="s">
        <v>57</v>
      </c>
      <c r="V7">
        <v>0</v>
      </c>
      <c r="W7">
        <v>0</v>
      </c>
      <c r="X7">
        <v>5</v>
      </c>
      <c r="Y7">
        <v>0.1</v>
      </c>
      <c r="Z7" t="s">
        <v>57</v>
      </c>
    </row>
    <row r="8" spans="1:26" x14ac:dyDescent="0.25">
      <c r="A8" t="s">
        <v>61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52</v>
      </c>
      <c r="Q8">
        <v>57</v>
      </c>
      <c r="R8">
        <v>1E-3</v>
      </c>
      <c r="S8">
        <v>1E-3</v>
      </c>
      <c r="T8">
        <v>0.1</v>
      </c>
      <c r="U8" t="s">
        <v>53</v>
      </c>
      <c r="V8">
        <v>0</v>
      </c>
      <c r="W8">
        <v>0</v>
      </c>
      <c r="X8">
        <v>5</v>
      </c>
      <c r="Y8">
        <v>0.1</v>
      </c>
      <c r="Z8" t="s">
        <v>53</v>
      </c>
    </row>
    <row r="9" spans="1:26" x14ac:dyDescent="0.25">
      <c r="A9" t="s">
        <v>62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52</v>
      </c>
      <c r="Q9">
        <v>63</v>
      </c>
      <c r="R9">
        <v>1E-3</v>
      </c>
      <c r="S9">
        <v>1E-3</v>
      </c>
      <c r="T9">
        <v>0.1</v>
      </c>
      <c r="U9" t="s">
        <v>53</v>
      </c>
      <c r="V9">
        <v>0</v>
      </c>
      <c r="W9">
        <v>0</v>
      </c>
      <c r="X9">
        <v>5</v>
      </c>
      <c r="Y9">
        <v>0.1</v>
      </c>
      <c r="Z9" t="s">
        <v>53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"/>
  <sheetViews>
    <sheetView workbookViewId="0">
      <selection activeCell="F12" sqref="F12"/>
    </sheetView>
  </sheetViews>
  <sheetFormatPr defaultColWidth="8.88671875" defaultRowHeight="14.4" x14ac:dyDescent="0.25"/>
  <cols>
    <col min="1" max="1" width="19.5546875" customWidth="1"/>
  </cols>
  <sheetData>
    <row r="1" spans="1:26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</v>
      </c>
      <c r="O1" s="1" t="s">
        <v>43</v>
      </c>
      <c r="P1" s="1" t="s">
        <v>44</v>
      </c>
      <c r="Q1" t="s">
        <v>45</v>
      </c>
      <c r="R1" s="1" t="s">
        <v>5</v>
      </c>
      <c r="S1" s="1" t="s">
        <v>6</v>
      </c>
      <c r="T1" s="1" t="s">
        <v>46</v>
      </c>
      <c r="U1" s="1" t="s">
        <v>47</v>
      </c>
      <c r="V1" s="3" t="s">
        <v>48</v>
      </c>
      <c r="W1" s="3" t="s">
        <v>49</v>
      </c>
      <c r="X1" t="s">
        <v>8</v>
      </c>
      <c r="Y1" t="s">
        <v>9</v>
      </c>
      <c r="Z1" t="s">
        <v>50</v>
      </c>
    </row>
    <row r="2" spans="1:26" x14ac:dyDescent="0.25">
      <c r="A2" t="s">
        <v>51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52</v>
      </c>
      <c r="Q2">
        <v>60</v>
      </c>
      <c r="R2">
        <v>1E-3</v>
      </c>
      <c r="S2">
        <v>1E-3</v>
      </c>
      <c r="T2">
        <v>0.1</v>
      </c>
      <c r="U2" t="s">
        <v>53</v>
      </c>
      <c r="V2">
        <v>0</v>
      </c>
      <c r="W2">
        <v>0</v>
      </c>
      <c r="X2">
        <v>5</v>
      </c>
      <c r="Y2">
        <v>0.1</v>
      </c>
      <c r="Z2" t="s">
        <v>53</v>
      </c>
    </row>
    <row r="3" spans="1:26" x14ac:dyDescent="0.25">
      <c r="A3" t="s">
        <v>54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52</v>
      </c>
      <c r="Q3">
        <v>60</v>
      </c>
      <c r="R3">
        <v>1E-3</v>
      </c>
      <c r="S3">
        <v>1E-3</v>
      </c>
      <c r="T3">
        <v>0.1</v>
      </c>
      <c r="U3" t="s">
        <v>55</v>
      </c>
      <c r="V3">
        <v>0</v>
      </c>
      <c r="W3">
        <v>0</v>
      </c>
      <c r="X3">
        <v>5</v>
      </c>
      <c r="Y3">
        <v>0.1</v>
      </c>
      <c r="Z3" t="s">
        <v>55</v>
      </c>
    </row>
    <row r="4" spans="1:26" x14ac:dyDescent="0.25">
      <c r="A4" t="s">
        <v>56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52</v>
      </c>
      <c r="Q4">
        <v>60</v>
      </c>
      <c r="R4">
        <v>1E-3</v>
      </c>
      <c r="S4">
        <v>1E-3</v>
      </c>
      <c r="T4">
        <v>0.1</v>
      </c>
      <c r="U4" t="s">
        <v>57</v>
      </c>
      <c r="V4">
        <v>0</v>
      </c>
      <c r="W4">
        <v>0</v>
      </c>
      <c r="X4">
        <v>5</v>
      </c>
      <c r="Y4">
        <v>0.1</v>
      </c>
      <c r="Z4" t="s">
        <v>57</v>
      </c>
    </row>
    <row r="5" spans="1:26" x14ac:dyDescent="0.25">
      <c r="A5" t="s">
        <v>58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52</v>
      </c>
      <c r="Q5">
        <v>60</v>
      </c>
      <c r="R5">
        <v>1E-3</v>
      </c>
      <c r="S5">
        <v>1E-3</v>
      </c>
      <c r="T5">
        <v>0.1</v>
      </c>
      <c r="U5" t="s">
        <v>53</v>
      </c>
      <c r="V5">
        <v>0</v>
      </c>
      <c r="W5">
        <v>0</v>
      </c>
      <c r="X5">
        <v>5</v>
      </c>
      <c r="Y5">
        <v>0.1</v>
      </c>
      <c r="Z5" t="s">
        <v>53</v>
      </c>
    </row>
    <row r="6" spans="1:26" x14ac:dyDescent="0.25">
      <c r="A6" t="s">
        <v>59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52</v>
      </c>
      <c r="Q6">
        <v>60</v>
      </c>
      <c r="R6">
        <v>1E-3</v>
      </c>
      <c r="S6">
        <v>1E-3</v>
      </c>
      <c r="T6">
        <v>0.1</v>
      </c>
      <c r="U6" t="s">
        <v>55</v>
      </c>
      <c r="V6">
        <v>0</v>
      </c>
      <c r="W6">
        <v>0</v>
      </c>
      <c r="X6">
        <v>5</v>
      </c>
      <c r="Y6">
        <v>0.1</v>
      </c>
      <c r="Z6" t="s">
        <v>55</v>
      </c>
    </row>
    <row r="7" spans="1:26" x14ac:dyDescent="0.25">
      <c r="A7" t="s">
        <v>60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52</v>
      </c>
      <c r="Q7">
        <v>60</v>
      </c>
      <c r="R7">
        <v>1E-3</v>
      </c>
      <c r="S7">
        <v>1E-3</v>
      </c>
      <c r="T7">
        <v>0.1</v>
      </c>
      <c r="U7" t="s">
        <v>57</v>
      </c>
      <c r="V7">
        <v>0</v>
      </c>
      <c r="W7">
        <v>0</v>
      </c>
      <c r="X7">
        <v>5</v>
      </c>
      <c r="Y7">
        <v>0.1</v>
      </c>
      <c r="Z7" t="s">
        <v>57</v>
      </c>
    </row>
    <row r="8" spans="1:26" x14ac:dyDescent="0.25">
      <c r="A8" t="s">
        <v>61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52</v>
      </c>
      <c r="Q8">
        <v>57</v>
      </c>
      <c r="R8">
        <v>1E-3</v>
      </c>
      <c r="S8">
        <v>1E-3</v>
      </c>
      <c r="T8">
        <v>0.1</v>
      </c>
      <c r="U8" t="s">
        <v>53</v>
      </c>
      <c r="V8">
        <v>0</v>
      </c>
      <c r="W8">
        <v>0</v>
      </c>
      <c r="X8">
        <v>5</v>
      </c>
      <c r="Y8">
        <v>0.1</v>
      </c>
      <c r="Z8" t="s">
        <v>53</v>
      </c>
    </row>
    <row r="9" spans="1:26" x14ac:dyDescent="0.25">
      <c r="A9" t="s">
        <v>62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52</v>
      </c>
      <c r="Q9">
        <v>63</v>
      </c>
      <c r="R9">
        <v>1E-3</v>
      </c>
      <c r="S9">
        <v>1E-3</v>
      </c>
      <c r="T9">
        <v>0.1</v>
      </c>
      <c r="U9" t="s">
        <v>53</v>
      </c>
      <c r="V9">
        <v>0</v>
      </c>
      <c r="W9">
        <v>0</v>
      </c>
      <c r="X9">
        <v>5</v>
      </c>
      <c r="Y9">
        <v>0.1</v>
      </c>
      <c r="Z9" t="s">
        <v>53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"/>
  <sheetViews>
    <sheetView workbookViewId="0">
      <selection activeCell="J23" sqref="J23"/>
    </sheetView>
  </sheetViews>
  <sheetFormatPr defaultColWidth="8.88671875" defaultRowHeight="14.4" x14ac:dyDescent="0.25"/>
  <cols>
    <col min="1" max="1" width="17.6640625" customWidth="1"/>
    <col min="5" max="5" width="12.88671875"/>
  </cols>
  <sheetData>
    <row r="1" spans="1:26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</v>
      </c>
      <c r="O1" s="1" t="s">
        <v>43</v>
      </c>
      <c r="P1" s="1" t="s">
        <v>44</v>
      </c>
      <c r="Q1" t="s">
        <v>45</v>
      </c>
      <c r="R1" s="1" t="s">
        <v>5</v>
      </c>
      <c r="S1" s="1" t="s">
        <v>6</v>
      </c>
      <c r="T1" s="1" t="s">
        <v>46</v>
      </c>
      <c r="U1" s="1" t="s">
        <v>47</v>
      </c>
      <c r="V1" s="3" t="s">
        <v>48</v>
      </c>
      <c r="W1" s="3" t="s">
        <v>49</v>
      </c>
      <c r="X1" t="s">
        <v>8</v>
      </c>
      <c r="Y1" t="s">
        <v>9</v>
      </c>
      <c r="Z1" t="s">
        <v>50</v>
      </c>
    </row>
    <row r="2" spans="1:26" x14ac:dyDescent="0.25">
      <c r="A2" t="s">
        <v>63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52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5">
      <c r="A3" t="s">
        <v>64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52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5">
      <c r="A4" t="s">
        <v>65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52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5">
      <c r="A5" t="s">
        <v>66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52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5">
      <c r="A6" t="s">
        <v>67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52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5">
      <c r="A7" t="s">
        <v>68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52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5">
      <c r="A8" t="s">
        <v>69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52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5">
      <c r="A9" t="s">
        <v>70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52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test_case_dc320_all</vt:lpstr>
      <vt:lpstr>test_case_dc320_负电流</vt:lpstr>
      <vt:lpstr>Sheet2</vt:lpstr>
      <vt:lpstr>能量脉冲</vt:lpstr>
      <vt:lpstr>test_case_dc260-bak</vt:lpstr>
      <vt:lpstr>test_case_mV-1e2w1p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Congsong Liu</cp:lastModifiedBy>
  <dcterms:created xsi:type="dcterms:W3CDTF">2024-11-11T01:20:00Z</dcterms:created>
  <dcterms:modified xsi:type="dcterms:W3CDTF">2025-11-11T03:02:17Z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