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autotest_local\autotest\comm\test_data\"/>
    </mc:Choice>
  </mc:AlternateContent>
  <xr:revisionPtr revIDLastSave="0" documentId="13_ncr:1_{78D76727-11BA-41AF-B321-E699C480F954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modbus_address_aiao_setting" sheetId="6" r:id="rId1"/>
    <sheet name="modbus_address_aiao_reading" sheetId="7" r:id="rId2"/>
    <sheet name="set_ai_voltage_current_dc" sheetId="1" r:id="rId3"/>
    <sheet name="set_ao_voltage_current_dc" sheetId="5" r:id="rId4"/>
    <sheet name="comm_setting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7" l="1"/>
  <c r="D43" i="7"/>
  <c r="E43" i="7" s="1"/>
  <c r="E42" i="7"/>
  <c r="C42" i="7"/>
  <c r="B42" i="7"/>
  <c r="I41" i="7"/>
  <c r="D38" i="7"/>
  <c r="B38" i="7" s="1"/>
  <c r="E37" i="7"/>
  <c r="C37" i="7"/>
  <c r="B37" i="7"/>
  <c r="I36" i="7"/>
  <c r="E20" i="7"/>
  <c r="D21" i="7" s="1"/>
  <c r="C20" i="7"/>
  <c r="B20" i="7"/>
  <c r="I19" i="7"/>
  <c r="E3" i="7"/>
  <c r="D4" i="7" s="1"/>
  <c r="C3" i="7"/>
  <c r="B3" i="7"/>
  <c r="I71" i="6"/>
  <c r="E47" i="6"/>
  <c r="D48" i="6" s="1"/>
  <c r="C47" i="6"/>
  <c r="B47" i="6"/>
  <c r="I46" i="6"/>
  <c r="D40" i="6"/>
  <c r="E40" i="6" s="1"/>
  <c r="B40" i="6"/>
  <c r="E3" i="6"/>
  <c r="D4" i="6" s="1"/>
  <c r="C3" i="6"/>
  <c r="B3" i="6"/>
  <c r="E4" i="7" l="1"/>
  <c r="B4" i="7"/>
  <c r="E21" i="7"/>
  <c r="B21" i="7"/>
  <c r="D44" i="7"/>
  <c r="C43" i="7"/>
  <c r="E38" i="7"/>
  <c r="B43" i="7"/>
  <c r="E4" i="6"/>
  <c r="B4" i="6"/>
  <c r="D41" i="6"/>
  <c r="C40" i="6"/>
  <c r="E48" i="6"/>
  <c r="B48" i="6"/>
  <c r="C21" i="7" l="1"/>
  <c r="D22" i="7"/>
  <c r="D5" i="7"/>
  <c r="C4" i="7"/>
  <c r="C38" i="7"/>
  <c r="D39" i="7"/>
  <c r="E44" i="7"/>
  <c r="B44" i="7"/>
  <c r="D49" i="6"/>
  <c r="C48" i="6"/>
  <c r="E41" i="6"/>
  <c r="B41" i="6"/>
  <c r="D5" i="6"/>
  <c r="C4" i="6"/>
  <c r="D45" i="7" l="1"/>
  <c r="C44" i="7"/>
  <c r="E39" i="7"/>
  <c r="B39" i="7"/>
  <c r="E5" i="7"/>
  <c r="B5" i="7"/>
  <c r="B22" i="7"/>
  <c r="E22" i="7"/>
  <c r="E5" i="6"/>
  <c r="B5" i="6"/>
  <c r="C41" i="6"/>
  <c r="D42" i="6"/>
  <c r="E49" i="6"/>
  <c r="B49" i="6"/>
  <c r="D6" i="7" l="1"/>
  <c r="C5" i="7"/>
  <c r="C39" i="7"/>
  <c r="D40" i="7"/>
  <c r="B45" i="7"/>
  <c r="E45" i="7"/>
  <c r="C45" i="7" s="1"/>
  <c r="C22" i="7"/>
  <c r="D23" i="7"/>
  <c r="B42" i="6"/>
  <c r="E42" i="6"/>
  <c r="C49" i="6"/>
  <c r="D50" i="6"/>
  <c r="C5" i="6"/>
  <c r="D6" i="6"/>
  <c r="E6" i="7" l="1"/>
  <c r="B6" i="7"/>
  <c r="B23" i="7"/>
  <c r="E23" i="7"/>
  <c r="E40" i="7"/>
  <c r="C40" i="7" s="1"/>
  <c r="B40" i="7"/>
  <c r="C42" i="6"/>
  <c r="D43" i="6"/>
  <c r="B6" i="6"/>
  <c r="E6" i="6"/>
  <c r="B50" i="6"/>
  <c r="E50" i="6"/>
  <c r="C6" i="7" l="1"/>
  <c r="D7" i="7"/>
  <c r="D24" i="7"/>
  <c r="C23" i="7"/>
  <c r="D51" i="6"/>
  <c r="C50" i="6"/>
  <c r="D7" i="6"/>
  <c r="C6" i="6"/>
  <c r="B43" i="6"/>
  <c r="E43" i="6"/>
  <c r="B7" i="7" l="1"/>
  <c r="E7" i="7"/>
  <c r="B24" i="7"/>
  <c r="E24" i="7"/>
  <c r="E7" i="6"/>
  <c r="B7" i="6"/>
  <c r="D44" i="6"/>
  <c r="C43" i="6"/>
  <c r="B51" i="6"/>
  <c r="E51" i="6"/>
  <c r="C7" i="7" l="1"/>
  <c r="D8" i="7"/>
  <c r="D25" i="7"/>
  <c r="C24" i="7"/>
  <c r="D52" i="6"/>
  <c r="C51" i="6"/>
  <c r="E44" i="6"/>
  <c r="B44" i="6"/>
  <c r="D8" i="6"/>
  <c r="C7" i="6"/>
  <c r="E25" i="7" l="1"/>
  <c r="B25" i="7"/>
  <c r="B8" i="7"/>
  <c r="E8" i="7"/>
  <c r="D45" i="6"/>
  <c r="C44" i="6"/>
  <c r="E8" i="6"/>
  <c r="B8" i="6"/>
  <c r="E52" i="6"/>
  <c r="B52" i="6"/>
  <c r="D9" i="7" l="1"/>
  <c r="C8" i="7"/>
  <c r="D26" i="7"/>
  <c r="C25" i="7"/>
  <c r="D9" i="6"/>
  <c r="C8" i="6"/>
  <c r="D53" i="6"/>
  <c r="C52" i="6"/>
  <c r="E45" i="6"/>
  <c r="C45" i="6" s="1"/>
  <c r="B45" i="6"/>
  <c r="E26" i="7" l="1"/>
  <c r="B26" i="7"/>
  <c r="E9" i="7"/>
  <c r="B9" i="7"/>
  <c r="E53" i="6"/>
  <c r="B53" i="6"/>
  <c r="E9" i="6"/>
  <c r="B9" i="6"/>
  <c r="D10" i="7" l="1"/>
  <c r="C9" i="7"/>
  <c r="D27" i="7"/>
  <c r="C26" i="7"/>
  <c r="D10" i="6"/>
  <c r="C9" i="6"/>
  <c r="D54" i="6"/>
  <c r="C53" i="6"/>
  <c r="E27" i="7" l="1"/>
  <c r="B27" i="7"/>
  <c r="E10" i="7"/>
  <c r="B10" i="7"/>
  <c r="E54" i="6"/>
  <c r="B54" i="6"/>
  <c r="E10" i="6"/>
  <c r="B10" i="6"/>
  <c r="C10" i="7" l="1"/>
  <c r="D11" i="7"/>
  <c r="D28" i="7"/>
  <c r="C27" i="7"/>
  <c r="D11" i="6"/>
  <c r="C10" i="6"/>
  <c r="D55" i="6"/>
  <c r="C54" i="6"/>
  <c r="E28" i="7" l="1"/>
  <c r="B28" i="7"/>
  <c r="E11" i="7"/>
  <c r="B11" i="7"/>
  <c r="E55" i="6"/>
  <c r="B55" i="6"/>
  <c r="E11" i="6"/>
  <c r="B11" i="6"/>
  <c r="D12" i="7" l="1"/>
  <c r="C11" i="7"/>
  <c r="C28" i="7"/>
  <c r="D29" i="7"/>
  <c r="D12" i="6"/>
  <c r="C11" i="6"/>
  <c r="D56" i="6"/>
  <c r="C55" i="6"/>
  <c r="B29" i="7" l="1"/>
  <c r="E29" i="7"/>
  <c r="E12" i="7"/>
  <c r="B12" i="7"/>
  <c r="E56" i="6"/>
  <c r="B56" i="6"/>
  <c r="E12" i="6"/>
  <c r="B12" i="6"/>
  <c r="C29" i="7" l="1"/>
  <c r="D30" i="7"/>
  <c r="D13" i="7"/>
  <c r="C12" i="7"/>
  <c r="C12" i="6"/>
  <c r="D13" i="6"/>
  <c r="C56" i="6"/>
  <c r="D57" i="6"/>
  <c r="E13" i="7" l="1"/>
  <c r="B13" i="7"/>
  <c r="B30" i="7"/>
  <c r="E30" i="7"/>
  <c r="B57" i="6"/>
  <c r="E57" i="6"/>
  <c r="B13" i="6"/>
  <c r="E13" i="6"/>
  <c r="C30" i="7" l="1"/>
  <c r="D31" i="7"/>
  <c r="C13" i="7"/>
  <c r="D14" i="7"/>
  <c r="C13" i="6"/>
  <c r="D14" i="6"/>
  <c r="D58" i="6"/>
  <c r="C57" i="6"/>
  <c r="E31" i="7" l="1"/>
  <c r="B31" i="7"/>
  <c r="B14" i="7"/>
  <c r="E14" i="7"/>
  <c r="B14" i="6"/>
  <c r="E14" i="6"/>
  <c r="E58" i="6"/>
  <c r="B58" i="6"/>
  <c r="C14" i="7" l="1"/>
  <c r="D15" i="7"/>
  <c r="D32" i="7"/>
  <c r="C31" i="7"/>
  <c r="D15" i="6"/>
  <c r="C14" i="6"/>
  <c r="D59" i="6"/>
  <c r="C58" i="6"/>
  <c r="B32" i="7" l="1"/>
  <c r="E32" i="7"/>
  <c r="B15" i="7"/>
  <c r="E15" i="7"/>
  <c r="E59" i="6"/>
  <c r="B59" i="6"/>
  <c r="E15" i="6"/>
  <c r="B15" i="6"/>
  <c r="D16" i="7" l="1"/>
  <c r="C15" i="7"/>
  <c r="C32" i="7"/>
  <c r="D33" i="7"/>
  <c r="D16" i="6"/>
  <c r="C15" i="6"/>
  <c r="D60" i="6"/>
  <c r="C59" i="6"/>
  <c r="E33" i="7" l="1"/>
  <c r="B33" i="7"/>
  <c r="E16" i="7"/>
  <c r="B16" i="7"/>
  <c r="E60" i="6"/>
  <c r="B60" i="6"/>
  <c r="E16" i="6"/>
  <c r="B16" i="6"/>
  <c r="D17" i="7" l="1"/>
  <c r="C16" i="7"/>
  <c r="D34" i="7"/>
  <c r="C33" i="7"/>
  <c r="D17" i="6"/>
  <c r="C16" i="6"/>
  <c r="D61" i="6"/>
  <c r="C60" i="6"/>
  <c r="E34" i="7" l="1"/>
  <c r="B34" i="7"/>
  <c r="E17" i="7"/>
  <c r="B17" i="7"/>
  <c r="E61" i="6"/>
  <c r="B61" i="6"/>
  <c r="E17" i="6"/>
  <c r="B17" i="6"/>
  <c r="D18" i="7" l="1"/>
  <c r="C17" i="7"/>
  <c r="D35" i="7"/>
  <c r="C34" i="7"/>
  <c r="D18" i="6"/>
  <c r="C17" i="6"/>
  <c r="D62" i="6"/>
  <c r="C61" i="6"/>
  <c r="E35" i="7" l="1"/>
  <c r="C35" i="7" s="1"/>
  <c r="B35" i="7"/>
  <c r="E18" i="7"/>
  <c r="C18" i="7" s="1"/>
  <c r="B18" i="7"/>
  <c r="E62" i="6"/>
  <c r="B62" i="6"/>
  <c r="E18" i="6"/>
  <c r="B18" i="6"/>
  <c r="D19" i="6" l="1"/>
  <c r="C18" i="6"/>
  <c r="D63" i="6"/>
  <c r="C62" i="6"/>
  <c r="E63" i="6" l="1"/>
  <c r="B63" i="6"/>
  <c r="E19" i="6"/>
  <c r="B19" i="6"/>
  <c r="C19" i="6" l="1"/>
  <c r="D20" i="6"/>
  <c r="C63" i="6"/>
  <c r="D64" i="6"/>
  <c r="B64" i="6" l="1"/>
  <c r="E64" i="6"/>
  <c r="B20" i="6"/>
  <c r="E20" i="6"/>
  <c r="D21" i="6" l="1"/>
  <c r="C20" i="6"/>
  <c r="D65" i="6"/>
  <c r="C64" i="6"/>
  <c r="E65" i="6" l="1"/>
  <c r="B65" i="6"/>
  <c r="E21" i="6"/>
  <c r="B21" i="6"/>
  <c r="D22" i="6" l="1"/>
  <c r="C21" i="6"/>
  <c r="D66" i="6"/>
  <c r="C65" i="6"/>
  <c r="E66" i="6" l="1"/>
  <c r="B66" i="6"/>
  <c r="E22" i="6"/>
  <c r="B22" i="6"/>
  <c r="D23" i="6" l="1"/>
  <c r="C22" i="6"/>
  <c r="D67" i="6"/>
  <c r="C66" i="6"/>
  <c r="E67" i="6" l="1"/>
  <c r="B67" i="6"/>
  <c r="E23" i="6"/>
  <c r="B23" i="6"/>
  <c r="D24" i="6" l="1"/>
  <c r="C23" i="6"/>
  <c r="D68" i="6"/>
  <c r="C67" i="6"/>
  <c r="E68" i="6" l="1"/>
  <c r="B68" i="6"/>
  <c r="E24" i="6"/>
  <c r="B24" i="6"/>
  <c r="D25" i="6" l="1"/>
  <c r="C24" i="6"/>
  <c r="D69" i="6"/>
  <c r="C68" i="6"/>
  <c r="E69" i="6" l="1"/>
  <c r="B69" i="6"/>
  <c r="E25" i="6"/>
  <c r="B25" i="6"/>
  <c r="D26" i="6" l="1"/>
  <c r="C25" i="6"/>
  <c r="D70" i="6"/>
  <c r="C69" i="6"/>
  <c r="E70" i="6" l="1"/>
  <c r="C70" i="6" s="1"/>
  <c r="B70" i="6"/>
  <c r="E26" i="6"/>
  <c r="B26" i="6"/>
  <c r="C26" i="6" l="1"/>
  <c r="D27" i="6"/>
  <c r="B27" i="6" l="1"/>
  <c r="E27" i="6"/>
  <c r="C27" i="6" l="1"/>
  <c r="D28" i="6"/>
  <c r="B28" i="6" l="1"/>
  <c r="E28" i="6"/>
  <c r="D29" i="6" l="1"/>
  <c r="C28" i="6"/>
  <c r="E29" i="6" l="1"/>
  <c r="B29" i="6"/>
  <c r="D30" i="6" l="1"/>
  <c r="C29" i="6"/>
  <c r="E30" i="6" l="1"/>
  <c r="B30" i="6"/>
  <c r="D31" i="6" l="1"/>
  <c r="C30" i="6"/>
  <c r="E31" i="6" l="1"/>
  <c r="B31" i="6"/>
  <c r="D32" i="6" l="1"/>
  <c r="C31" i="6"/>
  <c r="E32" i="6" l="1"/>
  <c r="B32" i="6"/>
  <c r="D33" i="6" l="1"/>
  <c r="C32" i="6"/>
  <c r="E33" i="6" l="1"/>
  <c r="B33" i="6"/>
  <c r="C33" i="6" l="1"/>
  <c r="D34" i="6"/>
  <c r="B34" i="6" l="1"/>
  <c r="E34" i="6"/>
  <c r="D35" i="6" l="1"/>
  <c r="C34" i="6"/>
  <c r="E35" i="6" l="1"/>
  <c r="B35" i="6"/>
  <c r="D36" i="6" l="1"/>
  <c r="C35" i="6"/>
  <c r="E36" i="6" l="1"/>
  <c r="B36" i="6"/>
  <c r="D37" i="6" l="1"/>
  <c r="C36" i="6"/>
  <c r="E37" i="6" l="1"/>
  <c r="B37" i="6"/>
  <c r="D38" i="6" l="1"/>
  <c r="C37" i="6"/>
  <c r="E38" i="6" l="1"/>
  <c r="C38" i="6" s="1"/>
  <c r="B38" i="6"/>
</calcChain>
</file>

<file path=xl/sharedStrings.xml><?xml version="1.0" encoding="utf-8"?>
<sst xmlns="http://schemas.openxmlformats.org/spreadsheetml/2006/main" count="485" uniqueCount="175">
  <si>
    <t>voltage_dc</t>
    <phoneticPr fontId="1" type="noConversion"/>
  </si>
  <si>
    <t>test_case</t>
    <phoneticPr fontId="1" type="noConversion"/>
  </si>
  <si>
    <t>case1</t>
    <phoneticPr fontId="1" type="noConversion"/>
  </si>
  <si>
    <t>case2</t>
  </si>
  <si>
    <t>case3</t>
  </si>
  <si>
    <t>case4</t>
  </si>
  <si>
    <t>case5</t>
  </si>
  <si>
    <t>current_dc</t>
    <phoneticPr fontId="1" type="noConversion"/>
  </si>
  <si>
    <t>limit_top_x</t>
    <phoneticPr fontId="1" type="noConversion"/>
  </si>
  <si>
    <t>voltage_current_range</t>
    <phoneticPr fontId="1" type="noConversion"/>
  </si>
  <si>
    <t>1: [0, 10]
2: [2, 10]
3: [0, 20]
4: [4, 20]</t>
    <phoneticPr fontId="1" type="noConversion"/>
  </si>
  <si>
    <t>voltage_dc_y</t>
    <phoneticPr fontId="1" type="noConversion"/>
  </si>
  <si>
    <t>current_dc_y</t>
    <phoneticPr fontId="1" type="noConversion"/>
  </si>
  <si>
    <t>Block</t>
  </si>
  <si>
    <t>Start(Hex)</t>
  </si>
  <si>
    <t>End(Hex)</t>
  </si>
  <si>
    <t>Start(Dec)</t>
  </si>
  <si>
    <t>End(Dec)</t>
  </si>
  <si>
    <t>Data type</t>
  </si>
  <si>
    <t>RW</t>
  </si>
  <si>
    <t>Reg</t>
  </si>
  <si>
    <t>Range</t>
  </si>
  <si>
    <t>Default</t>
  </si>
  <si>
    <t>Factory Value</t>
  </si>
  <si>
    <t>AI Setting</t>
    <phoneticPr fontId="1" type="noConversion"/>
  </si>
  <si>
    <t>AI1 Type</t>
    <phoneticPr fontId="1" type="noConversion"/>
  </si>
  <si>
    <t>uint16_t</t>
  </si>
  <si>
    <t>R/W</t>
  </si>
  <si>
    <t>0: voltage：0-10 V
1: voltage：2-10 V
2:current：0-20mA
3:current：4-20mA</t>
  </si>
  <si>
    <t>AI1 Top Limit</t>
    <phoneticPr fontId="1" type="noConversion"/>
  </si>
  <si>
    <t>uint32_t</t>
  </si>
  <si>
    <t>Scaling factor 0.001</t>
    <phoneticPr fontId="1" type="noConversion"/>
  </si>
  <si>
    <t>AI1 Bot Limit</t>
    <phoneticPr fontId="1" type="noConversion"/>
  </si>
  <si>
    <t>uint32_t</t>
    <phoneticPr fontId="1" type="noConversion"/>
  </si>
  <si>
    <t>Scaling factor 0.001</t>
  </si>
  <si>
    <t>AI1 Line Num</t>
    <phoneticPr fontId="1" type="noConversion"/>
  </si>
  <si>
    <t>1~3</t>
    <phoneticPr fontId="1" type="noConversion"/>
  </si>
  <si>
    <t>x point Non-negative  number within AI input range</t>
    <phoneticPr fontId="1" type="noConversion"/>
  </si>
  <si>
    <t>AI1 Line Point 
Y1 Y2 Y3 Y4</t>
    <phoneticPr fontId="1" type="noConversion"/>
  </si>
  <si>
    <t>int32_t</t>
    <phoneticPr fontId="1" type="noConversion"/>
  </si>
  <si>
    <t>y point  AI physical measurement</t>
  </si>
  <si>
    <t>AI2 Type</t>
    <phoneticPr fontId="1" type="noConversion"/>
  </si>
  <si>
    <t>0: voltage：0-10 V
1: voltage：2-10 V
2:current：0-20mA
3:current：4-20mA</t>
    <phoneticPr fontId="1" type="noConversion"/>
  </si>
  <si>
    <t>AI2 Top Limit</t>
    <phoneticPr fontId="1" type="noConversion"/>
  </si>
  <si>
    <t>AI2 Bot Limit</t>
  </si>
  <si>
    <t>AI2 Line Num</t>
    <phoneticPr fontId="1" type="noConversion"/>
  </si>
  <si>
    <t>AI2 Line Point 
 X1 X2 X3 X4</t>
    <phoneticPr fontId="1" type="noConversion"/>
  </si>
  <si>
    <t>x point Non-negative  number within AI input range</t>
  </si>
  <si>
    <t>AI2 Line Point 
Y1 Y2 Y3 Y4</t>
    <phoneticPr fontId="1" type="noConversion"/>
  </si>
  <si>
    <t>AI3 Type</t>
    <phoneticPr fontId="1" type="noConversion"/>
  </si>
  <si>
    <t>AI3 Top Limit</t>
    <phoneticPr fontId="1" type="noConversion"/>
  </si>
  <si>
    <t>AI3 Bot Limit</t>
  </si>
  <si>
    <t>AI3 Line Num</t>
    <phoneticPr fontId="1" type="noConversion"/>
  </si>
  <si>
    <t>AI3 Line Point 
 X1 X2 X3 X4</t>
    <phoneticPr fontId="1" type="noConversion"/>
  </si>
  <si>
    <t>AI3 Line Point 
Y1 Y2 Y3 Y4</t>
    <phoneticPr fontId="1" type="noConversion"/>
  </si>
  <si>
    <t>y point  AI physical measurement</t>
    <phoneticPr fontId="1" type="noConversion"/>
  </si>
  <si>
    <t>AI4 Type</t>
    <phoneticPr fontId="1" type="noConversion"/>
  </si>
  <si>
    <t>AI4 Top Limit</t>
    <phoneticPr fontId="1" type="noConversion"/>
  </si>
  <si>
    <t>AI4 Bot Limit</t>
    <phoneticPr fontId="1" type="noConversion"/>
  </si>
  <si>
    <t>AI4 Line Num</t>
    <phoneticPr fontId="1" type="noConversion"/>
  </si>
  <si>
    <t>AI4 Line Point
 X1 X2 X3 X4</t>
    <phoneticPr fontId="1" type="noConversion"/>
  </si>
  <si>
    <t>AI4 Line Point 
Y1 Y2 Y3 Y4</t>
    <phoneticPr fontId="1" type="noConversion"/>
  </si>
  <si>
    <t>AI5 Type</t>
    <phoneticPr fontId="1" type="noConversion"/>
  </si>
  <si>
    <t>AI5 Top Limit</t>
    <phoneticPr fontId="1" type="noConversion"/>
  </si>
  <si>
    <t>AI5 Bot Limit</t>
  </si>
  <si>
    <t>AI5 Line Num</t>
    <phoneticPr fontId="1" type="noConversion"/>
  </si>
  <si>
    <t>AI5 Line Point
 X1 X2 X3 X4</t>
    <phoneticPr fontId="1" type="noConversion"/>
  </si>
  <si>
    <t>AI5 Line Point 
Y1 Y2 Y3 Y4</t>
    <phoneticPr fontId="1" type="noConversion"/>
  </si>
  <si>
    <t>AI6 Type</t>
    <phoneticPr fontId="1" type="noConversion"/>
  </si>
  <si>
    <t>AI6 Top Limit</t>
    <phoneticPr fontId="1" type="noConversion"/>
  </si>
  <si>
    <t>AI6 Bot Limit</t>
    <phoneticPr fontId="1" type="noConversion"/>
  </si>
  <si>
    <t>AI6 Line Num</t>
    <phoneticPr fontId="1" type="noConversion"/>
  </si>
  <si>
    <t>AI6 Line Point 
 X1 X2 X3 X4</t>
    <phoneticPr fontId="1" type="noConversion"/>
  </si>
  <si>
    <t>AI6 Line Point 
Y1 Y2 Y3 Y4</t>
    <phoneticPr fontId="1" type="noConversion"/>
  </si>
  <si>
    <t>……</t>
    <phoneticPr fontId="1" type="noConversion"/>
  </si>
  <si>
    <t>……</t>
  </si>
  <si>
    <t>AI16 Type</t>
  </si>
  <si>
    <t>AI16 Top Limit</t>
    <phoneticPr fontId="1" type="noConversion"/>
  </si>
  <si>
    <t>AI16 Bot Limit</t>
    <phoneticPr fontId="1" type="noConversion"/>
  </si>
  <si>
    <t>AI16 Line Num</t>
    <phoneticPr fontId="1" type="noConversion"/>
  </si>
  <si>
    <t>AI16 Line Point 
 X1 X2 X3 X4</t>
    <phoneticPr fontId="1" type="noConversion"/>
  </si>
  <si>
    <t>AI16 Line Point 
Y1 Y2 Y3 Y4</t>
    <phoneticPr fontId="1" type="noConversion"/>
  </si>
  <si>
    <t>AO Setting</t>
    <phoneticPr fontId="1" type="noConversion"/>
  </si>
  <si>
    <t>AO1 Type</t>
    <phoneticPr fontId="1" type="noConversion"/>
  </si>
  <si>
    <t>AO1 Top Limit</t>
    <phoneticPr fontId="1" type="noConversion"/>
  </si>
  <si>
    <t>AO1 Bot Limit</t>
    <phoneticPr fontId="1" type="noConversion"/>
  </si>
  <si>
    <t>AO1 Line Num</t>
    <phoneticPr fontId="1" type="noConversion"/>
  </si>
  <si>
    <t>AO1 Line Point
 X1 X2 X3 X4</t>
    <phoneticPr fontId="1" type="noConversion"/>
  </si>
  <si>
    <t>x point   AO physical measurement</t>
    <phoneticPr fontId="1" type="noConversion"/>
  </si>
  <si>
    <t>AO1 Line Point 
Y1 Y2 Y3 Y4</t>
    <phoneticPr fontId="1" type="noConversion"/>
  </si>
  <si>
    <t>y point Non-negative  number within AI input range</t>
    <phoneticPr fontId="1" type="noConversion"/>
  </si>
  <si>
    <t>AO2 Type</t>
    <phoneticPr fontId="1" type="noConversion"/>
  </si>
  <si>
    <t>AO2 Top Limit</t>
    <phoneticPr fontId="1" type="noConversion"/>
  </si>
  <si>
    <t>AO2 Bot Limit</t>
    <phoneticPr fontId="1" type="noConversion"/>
  </si>
  <si>
    <t>AO2 Line Num</t>
    <phoneticPr fontId="1" type="noConversion"/>
  </si>
  <si>
    <t>AO2 Line Point
 X1 X2 X3 X4</t>
    <phoneticPr fontId="1" type="noConversion"/>
  </si>
  <si>
    <t>AO2 Line Point 
Y1 Y2 Y3 Y4</t>
    <phoneticPr fontId="1" type="noConversion"/>
  </si>
  <si>
    <t>AO3 Type</t>
    <phoneticPr fontId="1" type="noConversion"/>
  </si>
  <si>
    <t>AO3 Top Limit</t>
    <phoneticPr fontId="1" type="noConversion"/>
  </si>
  <si>
    <t>AO3 Bot Limit</t>
    <phoneticPr fontId="1" type="noConversion"/>
  </si>
  <si>
    <t>AO3 Line Num</t>
    <phoneticPr fontId="1" type="noConversion"/>
  </si>
  <si>
    <t>AO3 Line Point 
 X1 X2 X3 X4</t>
    <phoneticPr fontId="1" type="noConversion"/>
  </si>
  <si>
    <t>AO3 Line Point
Y1 Y2 Y3 Y4</t>
    <phoneticPr fontId="1" type="noConversion"/>
  </si>
  <si>
    <t>AO4 Type</t>
    <phoneticPr fontId="1" type="noConversion"/>
  </si>
  <si>
    <t>AO4 Top Limit</t>
    <phoneticPr fontId="1" type="noConversion"/>
  </si>
  <si>
    <t>AO4 Bot Limit</t>
    <phoneticPr fontId="1" type="noConversion"/>
  </si>
  <si>
    <t>AO4 Line Num</t>
    <phoneticPr fontId="1" type="noConversion"/>
  </si>
  <si>
    <t>uint16_t</t>
    <phoneticPr fontId="1" type="noConversion"/>
  </si>
  <si>
    <t>AO4 Line Point 
 X1 X2 X3 X4</t>
    <phoneticPr fontId="1" type="noConversion"/>
  </si>
  <si>
    <t>AO4 Line Point
Y1 Y2 Y3 Y4</t>
    <phoneticPr fontId="1" type="noConversion"/>
  </si>
  <si>
    <t xml:space="preserve"> AI Original Data</t>
    <phoneticPr fontId="1" type="noConversion"/>
  </si>
  <si>
    <t>AI1 input original data</t>
    <phoneticPr fontId="1" type="noConversion"/>
  </si>
  <si>
    <t>float32</t>
  </si>
  <si>
    <t>R</t>
  </si>
  <si>
    <t>AI2 input original data</t>
    <phoneticPr fontId="1" type="noConversion"/>
  </si>
  <si>
    <t>AI3 input original data</t>
    <phoneticPr fontId="1" type="noConversion"/>
  </si>
  <si>
    <t>AI4 input original data</t>
    <phoneticPr fontId="1" type="noConversion"/>
  </si>
  <si>
    <t>AI5 input original data</t>
    <phoneticPr fontId="1" type="noConversion"/>
  </si>
  <si>
    <t>AI6 input original data</t>
    <phoneticPr fontId="1" type="noConversion"/>
  </si>
  <si>
    <t>AI7 input original data</t>
    <phoneticPr fontId="1" type="noConversion"/>
  </si>
  <si>
    <t>AI8 input original data</t>
    <phoneticPr fontId="1" type="noConversion"/>
  </si>
  <si>
    <t>AI9 input original data</t>
  </si>
  <si>
    <t>AI10 input original data</t>
    <phoneticPr fontId="1" type="noConversion"/>
  </si>
  <si>
    <t>AI11 input original data</t>
    <phoneticPr fontId="1" type="noConversion"/>
  </si>
  <si>
    <t>AI12 input original data</t>
    <phoneticPr fontId="1" type="noConversion"/>
  </si>
  <si>
    <t>AI13 input original data</t>
    <phoneticPr fontId="1" type="noConversion"/>
  </si>
  <si>
    <t>AI14 input original data</t>
    <phoneticPr fontId="1" type="noConversion"/>
  </si>
  <si>
    <t>AI15 input original data</t>
    <phoneticPr fontId="1" type="noConversion"/>
  </si>
  <si>
    <t>AI16 input original data</t>
    <phoneticPr fontId="1" type="noConversion"/>
  </si>
  <si>
    <t xml:space="preserve"> AI physical measurement readings</t>
    <phoneticPr fontId="1" type="noConversion"/>
  </si>
  <si>
    <t>AI1 physical measurement reading</t>
    <phoneticPr fontId="1" type="noConversion"/>
  </si>
  <si>
    <t>AI2 physical measurement reading</t>
  </si>
  <si>
    <t>AI3 physical measurement reading</t>
  </si>
  <si>
    <t>AI4 physical measurement reading</t>
  </si>
  <si>
    <t>AI5 physical measurement reading</t>
  </si>
  <si>
    <t>AI6 physical measurement reading</t>
  </si>
  <si>
    <t>AI7 physical measurement reading</t>
  </si>
  <si>
    <t>AI8 physical measurement reading</t>
  </si>
  <si>
    <t>AI9 physical measurement reading</t>
  </si>
  <si>
    <t>AI10 physical measurement reading</t>
  </si>
  <si>
    <t>AI11 physical measurement reading</t>
  </si>
  <si>
    <t>AI12 physical measurement reading</t>
  </si>
  <si>
    <t>AI13 physical measurement reading</t>
  </si>
  <si>
    <t>AI14 physical measurement reading</t>
  </si>
  <si>
    <t>AI16 physical measurement reading</t>
  </si>
  <si>
    <t xml:space="preserve"> AO output data</t>
    <phoneticPr fontId="1" type="noConversion"/>
  </si>
  <si>
    <t>AO1 output data</t>
    <phoneticPr fontId="1" type="noConversion"/>
  </si>
  <si>
    <t>R</t>
    <phoneticPr fontId="1" type="noConversion"/>
  </si>
  <si>
    <t>AO2 output data</t>
    <phoneticPr fontId="1" type="noConversion"/>
  </si>
  <si>
    <t>AO3 output data</t>
    <phoneticPr fontId="1" type="noConversion"/>
  </si>
  <si>
    <t>AO4 output data</t>
    <phoneticPr fontId="1" type="noConversion"/>
  </si>
  <si>
    <t xml:space="preserve"> AO physical measurement Input</t>
    <phoneticPr fontId="1" type="noConversion"/>
  </si>
  <si>
    <t>AO1 physical measurement Input</t>
    <phoneticPr fontId="1" type="noConversion"/>
  </si>
  <si>
    <t>RW</t>
    <phoneticPr fontId="1" type="noConversion"/>
  </si>
  <si>
    <t>AO2 physical measurement Input</t>
    <phoneticPr fontId="1" type="noConversion"/>
  </si>
  <si>
    <t>AO3 physical measurement Input</t>
    <phoneticPr fontId="1" type="noConversion"/>
  </si>
  <si>
    <t>AO4 physical measurement Input</t>
    <phoneticPr fontId="1" type="noConversion"/>
  </si>
  <si>
    <t>AI15 physical measurement reading</t>
    <phoneticPr fontId="1" type="noConversion"/>
  </si>
  <si>
    <t>Descrption</t>
    <phoneticPr fontId="1" type="noConversion"/>
  </si>
  <si>
    <t>AI1 Line Point X1 X2 X3 X4</t>
    <phoneticPr fontId="1" type="noConversion"/>
  </si>
  <si>
    <t>point_x1</t>
    <phoneticPr fontId="1" type="noConversion"/>
  </si>
  <si>
    <t>point_x2</t>
    <phoneticPr fontId="1" type="noConversion"/>
  </si>
  <si>
    <t>point_x3</t>
    <phoneticPr fontId="1" type="noConversion"/>
  </si>
  <si>
    <t>point_x4</t>
    <phoneticPr fontId="1" type="noConversion"/>
  </si>
  <si>
    <t>point_y1</t>
    <phoneticPr fontId="1" type="noConversion"/>
  </si>
  <si>
    <t>point_y2</t>
    <phoneticPr fontId="1" type="noConversion"/>
  </si>
  <si>
    <t>point_y3</t>
    <phoneticPr fontId="1" type="noConversion"/>
  </si>
  <si>
    <t>point_y4</t>
    <phoneticPr fontId="1" type="noConversion"/>
  </si>
  <si>
    <t>limit_bot_x</t>
    <phoneticPr fontId="1" type="noConversion"/>
  </si>
  <si>
    <t>line_num</t>
    <phoneticPr fontId="1" type="noConversion"/>
  </si>
  <si>
    <t>case6</t>
  </si>
  <si>
    <t>case7</t>
  </si>
  <si>
    <t>case8</t>
  </si>
  <si>
    <t>case9</t>
  </si>
  <si>
    <t>case10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</si>
</sst>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000000"/>
      <name val="华文细黑"/>
      <family val="3"/>
      <charset val="134"/>
    </font>
    <font>
      <sz val="10"/>
      <color theme="1"/>
      <name val="华文细黑"/>
      <family val="3"/>
      <charset val="134"/>
    </font>
    <font>
      <b/>
      <sz val="11"/>
      <color rgb="FF000000"/>
      <name val="华文细黑"/>
      <family val="3"/>
      <charset val="134"/>
    </font>
    <font>
      <sz val="11"/>
      <color theme="1"/>
      <name val="华文细黑"/>
      <family val="3"/>
      <charset val="134"/>
    </font>
    <font>
      <sz val="11"/>
      <name val="华文细黑"/>
      <family val="3"/>
      <charset val="134"/>
    </font>
    <font>
      <sz val="11"/>
      <color rgb="FF000000"/>
      <name val="华文细黑"/>
      <family val="3"/>
      <charset val="134"/>
    </font>
    <font>
      <sz val="11"/>
      <color rgb="FFFF0000"/>
      <name val="华文细黑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FF0000"/>
      <name val="华文细黑"/>
      <family val="3"/>
    </font>
    <font>
      <b/>
      <sz val="10"/>
      <color rgb="FF000000"/>
      <name val="华文细黑"/>
      <family val="3"/>
    </font>
    <font>
      <sz val="10"/>
      <color theme="1"/>
      <name val="华文细黑"/>
      <family val="3"/>
    </font>
    <font>
      <b/>
      <sz val="11"/>
      <color theme="1"/>
      <name val="华文细黑"/>
      <family val="3"/>
    </font>
    <font>
      <sz val="11"/>
      <color theme="1"/>
      <name val="华文细黑"/>
      <family val="3"/>
    </font>
    <font>
      <sz val="11"/>
      <name val="华文细黑"/>
      <family val="3"/>
    </font>
    <font>
      <sz val="11"/>
      <color rgb="FF000000"/>
      <name val="华文细黑"/>
      <family val="3"/>
    </font>
    <font>
      <b/>
      <sz val="11"/>
      <color rgb="FF000000"/>
      <name val="华文细黑"/>
      <family val="3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>
      <alignment vertical="center"/>
    </xf>
  </cellStyleXfs>
  <cellXfs count="63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horizontal="left" vertical="top" wrapText="1"/>
    </xf>
    <xf numFmtId="0" fontId="5" fillId="0" borderId="0" xfId="1" applyFont="1">
      <alignment vertical="center"/>
    </xf>
    <xf numFmtId="0" fontId="10" fillId="0" borderId="0" xfId="1" applyFont="1">
      <alignment vertical="center"/>
    </xf>
    <xf numFmtId="0" fontId="8" fillId="0" borderId="0" xfId="0" applyFont="1" applyAlignment="1">
      <alignment vertical="center"/>
    </xf>
    <xf numFmtId="0" fontId="8" fillId="0" borderId="0" xfId="1" applyFo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3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top"/>
    </xf>
    <xf numFmtId="0" fontId="14" fillId="0" borderId="0" xfId="1" applyFont="1">
      <alignment vertical="center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3" fontId="16" fillId="0" borderId="0" xfId="0" applyNumberFormat="1" applyFont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horizontal="left" vertical="top" wrapText="1"/>
    </xf>
    <xf numFmtId="0" fontId="15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2" fillId="6" borderId="0" xfId="0" applyFont="1" applyFill="1" applyAlignment="1">
      <alignment vertical="center" wrapText="1"/>
    </xf>
    <xf numFmtId="0" fontId="2" fillId="6" borderId="0" xfId="0" applyFont="1" applyFill="1" applyAlignment="1">
      <alignment horizontal="left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2">
    <cellStyle name="常规" xfId="0" builtinId="0"/>
    <cellStyle name="常规 3" xfId="1" xr:uid="{75773496-63FC-408C-ADCF-1B9DFFF957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D277-3D8E-4C47-99F2-8014433EE1C7}">
  <dimension ref="A1:N114"/>
  <sheetViews>
    <sheetView workbookViewId="0">
      <selection activeCell="K14" sqref="K14"/>
    </sheetView>
  </sheetViews>
  <sheetFormatPr defaultColWidth="9" defaultRowHeight="15.75" x14ac:dyDescent="0.2"/>
  <cols>
    <col min="1" max="1" width="18.625" style="14" customWidth="1"/>
    <col min="2" max="2" width="10.25" style="8" bestFit="1" customWidth="1"/>
    <col min="3" max="3" width="9.625" style="8" bestFit="1" customWidth="1"/>
    <col min="4" max="4" width="10.625" style="10" bestFit="1" customWidth="1"/>
    <col min="5" max="5" width="10" style="10" bestFit="1" customWidth="1"/>
    <col min="6" max="6" width="16.75" style="8" customWidth="1"/>
    <col min="7" max="7" width="10.5" style="8" bestFit="1" customWidth="1"/>
    <col min="8" max="9" width="9" style="8"/>
    <col min="10" max="10" width="20.125" style="8" customWidth="1"/>
    <col min="11" max="11" width="8.125" style="8" bestFit="1" customWidth="1"/>
    <col min="12" max="12" width="14.375" style="8" bestFit="1" customWidth="1"/>
    <col min="13" max="13" width="20.125" style="8" customWidth="1"/>
    <col min="14" max="14" width="6.25" style="8" customWidth="1"/>
    <col min="15" max="16384" width="9" style="8"/>
  </cols>
  <sheetData>
    <row r="1" spans="1:14" s="41" customFormat="1" ht="21" customHeight="1" x14ac:dyDescent="0.2">
      <c r="A1" s="43" t="s">
        <v>13</v>
      </c>
      <c r="B1" s="42" t="s">
        <v>14</v>
      </c>
      <c r="C1" s="42" t="s">
        <v>15</v>
      </c>
      <c r="D1" s="44" t="s">
        <v>16</v>
      </c>
      <c r="E1" s="44" t="s">
        <v>17</v>
      </c>
      <c r="F1" s="42" t="s">
        <v>158</v>
      </c>
      <c r="G1" s="42" t="s">
        <v>18</v>
      </c>
      <c r="H1" s="42" t="s">
        <v>19</v>
      </c>
      <c r="I1" s="42" t="s">
        <v>20</v>
      </c>
      <c r="J1" s="42" t="s">
        <v>21</v>
      </c>
      <c r="K1" s="42" t="s">
        <v>22</v>
      </c>
      <c r="L1" s="42" t="s">
        <v>23</v>
      </c>
      <c r="M1" s="42"/>
      <c r="N1" s="40"/>
    </row>
    <row r="2" spans="1:14" x14ac:dyDescent="0.2">
      <c r="A2" s="7" t="s">
        <v>24</v>
      </c>
      <c r="D2" s="8"/>
      <c r="E2" s="8"/>
    </row>
    <row r="3" spans="1:14" ht="64.5" customHeight="1" x14ac:dyDescent="0.2">
      <c r="A3" s="9"/>
      <c r="B3" s="10" t="str">
        <f>"0x"&amp;DEC2HEX(D3,4)</f>
        <v>0x3000</v>
      </c>
      <c r="C3" s="10" t="str">
        <f>"0x"&amp;DEC2HEX(E3,4)</f>
        <v>0x3000</v>
      </c>
      <c r="D3" s="10">
        <v>12288</v>
      </c>
      <c r="E3" s="10">
        <f>D3+I3-1</f>
        <v>12288</v>
      </c>
      <c r="F3" s="11" t="s">
        <v>25</v>
      </c>
      <c r="G3" s="12" t="s">
        <v>26</v>
      </c>
      <c r="H3" s="11" t="s">
        <v>27</v>
      </c>
      <c r="I3" s="12">
        <v>1</v>
      </c>
      <c r="J3" s="13" t="s">
        <v>42</v>
      </c>
      <c r="K3" s="11">
        <v>0</v>
      </c>
      <c r="L3" s="11">
        <v>0</v>
      </c>
    </row>
    <row r="4" spans="1:14" x14ac:dyDescent="0.2">
      <c r="B4" s="10" t="str">
        <f t="shared" ref="B4:C38" si="0">"0x"&amp;DEC2HEX(D4,4)</f>
        <v>0x3001</v>
      </c>
      <c r="C4" s="10" t="str">
        <f t="shared" si="0"/>
        <v>0x3002</v>
      </c>
      <c r="D4" s="10">
        <f>E3+1</f>
        <v>12289</v>
      </c>
      <c r="E4" s="10">
        <f t="shared" ref="E4:E38" si="1">D4+I4-1</f>
        <v>12290</v>
      </c>
      <c r="F4" s="11" t="s">
        <v>29</v>
      </c>
      <c r="G4" s="15" t="s">
        <v>30</v>
      </c>
      <c r="H4" s="16" t="s">
        <v>27</v>
      </c>
      <c r="I4" s="12">
        <v>2</v>
      </c>
      <c r="J4" s="16"/>
      <c r="K4" s="11">
        <v>999</v>
      </c>
      <c r="L4" s="11">
        <v>999</v>
      </c>
      <c r="M4" s="8" t="s">
        <v>31</v>
      </c>
    </row>
    <row r="5" spans="1:14" x14ac:dyDescent="0.2">
      <c r="B5" s="10" t="str">
        <f t="shared" si="0"/>
        <v>0x3003</v>
      </c>
      <c r="C5" s="10" t="str">
        <f t="shared" si="0"/>
        <v>0x3004</v>
      </c>
      <c r="D5" s="10">
        <f t="shared" ref="D5:D38" si="2">E4+1</f>
        <v>12291</v>
      </c>
      <c r="E5" s="10">
        <f t="shared" si="1"/>
        <v>12292</v>
      </c>
      <c r="F5" s="11" t="s">
        <v>32</v>
      </c>
      <c r="G5" s="15" t="s">
        <v>33</v>
      </c>
      <c r="H5" s="16" t="s">
        <v>27</v>
      </c>
      <c r="I5" s="12">
        <v>2</v>
      </c>
      <c r="J5" s="16"/>
      <c r="K5" s="11">
        <v>0</v>
      </c>
      <c r="L5" s="11">
        <v>0</v>
      </c>
      <c r="M5" s="8" t="s">
        <v>34</v>
      </c>
    </row>
    <row r="6" spans="1:14" x14ac:dyDescent="0.2">
      <c r="B6" s="10" t="str">
        <f t="shared" si="0"/>
        <v>0x3005</v>
      </c>
      <c r="C6" s="10" t="str">
        <f t="shared" si="0"/>
        <v>0x3005</v>
      </c>
      <c r="D6" s="10">
        <f t="shared" si="2"/>
        <v>12293</v>
      </c>
      <c r="E6" s="10">
        <f t="shared" si="1"/>
        <v>12293</v>
      </c>
      <c r="F6" s="11" t="s">
        <v>35</v>
      </c>
      <c r="G6" s="12" t="s">
        <v>26</v>
      </c>
      <c r="H6" s="11" t="s">
        <v>27</v>
      </c>
      <c r="I6" s="12">
        <v>1</v>
      </c>
      <c r="J6" s="12" t="s">
        <v>36</v>
      </c>
      <c r="K6" s="11">
        <v>1</v>
      </c>
      <c r="L6" s="11">
        <v>1</v>
      </c>
    </row>
    <row r="7" spans="1:14" ht="47.25" x14ac:dyDescent="0.2">
      <c r="B7" s="10" t="str">
        <f t="shared" si="0"/>
        <v>0x3006</v>
      </c>
      <c r="C7" s="10" t="str">
        <f t="shared" si="0"/>
        <v>0x300D</v>
      </c>
      <c r="D7" s="10">
        <f t="shared" si="2"/>
        <v>12294</v>
      </c>
      <c r="E7" s="10">
        <f t="shared" si="1"/>
        <v>12301</v>
      </c>
      <c r="F7" s="12" t="s">
        <v>159</v>
      </c>
      <c r="G7" s="15" t="s">
        <v>33</v>
      </c>
      <c r="H7" s="11" t="s">
        <v>27</v>
      </c>
      <c r="I7" s="12">
        <v>8</v>
      </c>
      <c r="J7" s="14" t="s">
        <v>37</v>
      </c>
      <c r="K7" s="11">
        <v>1</v>
      </c>
      <c r="L7" s="11">
        <v>1</v>
      </c>
      <c r="M7" s="8" t="s">
        <v>34</v>
      </c>
    </row>
    <row r="8" spans="1:14" ht="31.5" x14ac:dyDescent="0.2">
      <c r="B8" s="10" t="str">
        <f t="shared" si="0"/>
        <v>0x300E</v>
      </c>
      <c r="C8" s="10" t="str">
        <f t="shared" si="0"/>
        <v>0x3015</v>
      </c>
      <c r="D8" s="10">
        <f t="shared" si="2"/>
        <v>12302</v>
      </c>
      <c r="E8" s="10">
        <f t="shared" si="1"/>
        <v>12309</v>
      </c>
      <c r="F8" s="12" t="s">
        <v>38</v>
      </c>
      <c r="G8" s="17" t="s">
        <v>39</v>
      </c>
      <c r="H8" s="11" t="s">
        <v>27</v>
      </c>
      <c r="I8" s="12">
        <v>8</v>
      </c>
      <c r="J8" s="14" t="s">
        <v>40</v>
      </c>
      <c r="K8" s="11">
        <v>1</v>
      </c>
      <c r="L8" s="11">
        <v>1</v>
      </c>
      <c r="M8" s="18" t="s">
        <v>34</v>
      </c>
    </row>
    <row r="9" spans="1:14" ht="63" x14ac:dyDescent="0.2">
      <c r="B9" s="10" t="str">
        <f t="shared" si="0"/>
        <v>0x3016</v>
      </c>
      <c r="C9" s="10" t="str">
        <f t="shared" si="0"/>
        <v>0x3016</v>
      </c>
      <c r="D9" s="10">
        <f t="shared" si="2"/>
        <v>12310</v>
      </c>
      <c r="E9" s="10">
        <f t="shared" si="1"/>
        <v>12310</v>
      </c>
      <c r="F9" s="11" t="s">
        <v>41</v>
      </c>
      <c r="G9" s="12" t="s">
        <v>26</v>
      </c>
      <c r="H9" s="11" t="s">
        <v>27</v>
      </c>
      <c r="I9" s="12">
        <v>1</v>
      </c>
      <c r="J9" s="12" t="s">
        <v>42</v>
      </c>
      <c r="K9" s="11">
        <v>0</v>
      </c>
      <c r="L9" s="11">
        <v>0</v>
      </c>
    </row>
    <row r="10" spans="1:14" x14ac:dyDescent="0.2">
      <c r="B10" s="10" t="str">
        <f t="shared" si="0"/>
        <v>0x3017</v>
      </c>
      <c r="C10" s="10" t="str">
        <f t="shared" si="0"/>
        <v>0x3018</v>
      </c>
      <c r="D10" s="10">
        <f t="shared" si="2"/>
        <v>12311</v>
      </c>
      <c r="E10" s="10">
        <f t="shared" si="1"/>
        <v>12312</v>
      </c>
      <c r="F10" s="11" t="s">
        <v>43</v>
      </c>
      <c r="G10" s="15" t="s">
        <v>33</v>
      </c>
      <c r="H10" s="16" t="s">
        <v>27</v>
      </c>
      <c r="I10" s="12">
        <v>2</v>
      </c>
      <c r="J10" s="16"/>
      <c r="K10" s="11">
        <v>999</v>
      </c>
      <c r="L10" s="11">
        <v>999</v>
      </c>
      <c r="M10" s="8" t="s">
        <v>34</v>
      </c>
    </row>
    <row r="11" spans="1:14" x14ac:dyDescent="0.2">
      <c r="B11" s="10" t="str">
        <f t="shared" si="0"/>
        <v>0x3019</v>
      </c>
      <c r="C11" s="10" t="str">
        <f t="shared" si="0"/>
        <v>0x301A</v>
      </c>
      <c r="D11" s="10">
        <f t="shared" si="2"/>
        <v>12313</v>
      </c>
      <c r="E11" s="10">
        <f t="shared" si="1"/>
        <v>12314</v>
      </c>
      <c r="F11" s="11" t="s">
        <v>44</v>
      </c>
      <c r="G11" s="15" t="s">
        <v>33</v>
      </c>
      <c r="H11" s="16" t="s">
        <v>27</v>
      </c>
      <c r="I11" s="12">
        <v>2</v>
      </c>
      <c r="J11" s="16"/>
      <c r="K11" s="11">
        <v>0</v>
      </c>
      <c r="L11" s="11">
        <v>0</v>
      </c>
      <c r="M11" s="8" t="s">
        <v>34</v>
      </c>
    </row>
    <row r="12" spans="1:14" x14ac:dyDescent="0.2">
      <c r="B12" s="10" t="str">
        <f t="shared" si="0"/>
        <v>0x301B</v>
      </c>
      <c r="C12" s="10" t="str">
        <f t="shared" si="0"/>
        <v>0x301B</v>
      </c>
      <c r="D12" s="10">
        <f t="shared" si="2"/>
        <v>12315</v>
      </c>
      <c r="E12" s="10">
        <f t="shared" si="1"/>
        <v>12315</v>
      </c>
      <c r="F12" s="11" t="s">
        <v>45</v>
      </c>
      <c r="G12" s="12" t="s">
        <v>26</v>
      </c>
      <c r="H12" s="11" t="s">
        <v>27</v>
      </c>
      <c r="I12" s="12">
        <v>1</v>
      </c>
      <c r="J12" s="12" t="s">
        <v>36</v>
      </c>
      <c r="K12" s="11">
        <v>1</v>
      </c>
      <c r="L12" s="11">
        <v>1</v>
      </c>
    </row>
    <row r="13" spans="1:14" ht="35.25" customHeight="1" x14ac:dyDescent="0.2">
      <c r="B13" s="10" t="str">
        <f t="shared" si="0"/>
        <v>0x301C</v>
      </c>
      <c r="C13" s="10" t="str">
        <f t="shared" si="0"/>
        <v>0x3023</v>
      </c>
      <c r="D13" s="10">
        <f t="shared" si="2"/>
        <v>12316</v>
      </c>
      <c r="E13" s="10">
        <f t="shared" si="1"/>
        <v>12323</v>
      </c>
      <c r="F13" s="12" t="s">
        <v>46</v>
      </c>
      <c r="G13" s="15" t="s">
        <v>33</v>
      </c>
      <c r="H13" s="11" t="s">
        <v>27</v>
      </c>
      <c r="I13" s="12">
        <v>8</v>
      </c>
      <c r="J13" s="14" t="s">
        <v>47</v>
      </c>
      <c r="K13" s="11">
        <v>1</v>
      </c>
      <c r="L13" s="11">
        <v>1</v>
      </c>
      <c r="M13" s="8" t="s">
        <v>34</v>
      </c>
    </row>
    <row r="14" spans="1:14" ht="31.5" x14ac:dyDescent="0.2">
      <c r="B14" s="10" t="str">
        <f t="shared" si="0"/>
        <v>0x3024</v>
      </c>
      <c r="C14" s="10" t="str">
        <f t="shared" si="0"/>
        <v>0x302B</v>
      </c>
      <c r="D14" s="10">
        <f t="shared" si="2"/>
        <v>12324</v>
      </c>
      <c r="E14" s="10">
        <f t="shared" si="1"/>
        <v>12331</v>
      </c>
      <c r="F14" s="12" t="s">
        <v>48</v>
      </c>
      <c r="G14" s="19" t="s">
        <v>39</v>
      </c>
      <c r="H14" s="11" t="s">
        <v>27</v>
      </c>
      <c r="I14" s="12">
        <v>8</v>
      </c>
      <c r="J14" s="14" t="s">
        <v>40</v>
      </c>
      <c r="K14" s="11">
        <v>1</v>
      </c>
      <c r="L14" s="11">
        <v>1</v>
      </c>
      <c r="M14" s="18" t="s">
        <v>34</v>
      </c>
    </row>
    <row r="15" spans="1:14" ht="63" x14ac:dyDescent="0.2">
      <c r="B15" s="10" t="str">
        <f t="shared" si="0"/>
        <v>0x302C</v>
      </c>
      <c r="C15" s="10" t="str">
        <f t="shared" si="0"/>
        <v>0x302C</v>
      </c>
      <c r="D15" s="10">
        <f t="shared" si="2"/>
        <v>12332</v>
      </c>
      <c r="E15" s="10">
        <f t="shared" si="1"/>
        <v>12332</v>
      </c>
      <c r="F15" s="11" t="s">
        <v>49</v>
      </c>
      <c r="G15" s="12" t="s">
        <v>26</v>
      </c>
      <c r="H15" s="11" t="s">
        <v>27</v>
      </c>
      <c r="I15" s="12">
        <v>1</v>
      </c>
      <c r="J15" s="12" t="s">
        <v>28</v>
      </c>
      <c r="K15" s="11">
        <v>0</v>
      </c>
      <c r="L15" s="11">
        <v>0</v>
      </c>
    </row>
    <row r="16" spans="1:14" x14ac:dyDescent="0.2">
      <c r="B16" s="10" t="str">
        <f t="shared" si="0"/>
        <v>0x302D</v>
      </c>
      <c r="C16" s="10" t="str">
        <f t="shared" si="0"/>
        <v>0x302E</v>
      </c>
      <c r="D16" s="10">
        <f t="shared" si="2"/>
        <v>12333</v>
      </c>
      <c r="E16" s="10">
        <f t="shared" si="1"/>
        <v>12334</v>
      </c>
      <c r="F16" s="11" t="s">
        <v>50</v>
      </c>
      <c r="G16" s="15" t="s">
        <v>33</v>
      </c>
      <c r="H16" s="16" t="s">
        <v>27</v>
      </c>
      <c r="I16" s="12">
        <v>2</v>
      </c>
      <c r="J16" s="16"/>
      <c r="K16" s="11">
        <v>999</v>
      </c>
      <c r="L16" s="11">
        <v>999</v>
      </c>
      <c r="M16" s="8" t="s">
        <v>34</v>
      </c>
    </row>
    <row r="17" spans="2:13" x14ac:dyDescent="0.2">
      <c r="B17" s="10" t="str">
        <f t="shared" si="0"/>
        <v>0x302F</v>
      </c>
      <c r="C17" s="10" t="str">
        <f t="shared" si="0"/>
        <v>0x3030</v>
      </c>
      <c r="D17" s="10">
        <f t="shared" si="2"/>
        <v>12335</v>
      </c>
      <c r="E17" s="10">
        <f t="shared" si="1"/>
        <v>12336</v>
      </c>
      <c r="F17" s="11" t="s">
        <v>51</v>
      </c>
      <c r="G17" s="15" t="s">
        <v>33</v>
      </c>
      <c r="H17" s="16" t="s">
        <v>27</v>
      </c>
      <c r="I17" s="12">
        <v>2</v>
      </c>
      <c r="J17" s="16"/>
      <c r="K17" s="11">
        <v>0</v>
      </c>
      <c r="L17" s="11">
        <v>0</v>
      </c>
      <c r="M17" s="8" t="s">
        <v>34</v>
      </c>
    </row>
    <row r="18" spans="2:13" x14ac:dyDescent="0.2">
      <c r="B18" s="10" t="str">
        <f t="shared" si="0"/>
        <v>0x3031</v>
      </c>
      <c r="C18" s="10" t="str">
        <f t="shared" si="0"/>
        <v>0x3031</v>
      </c>
      <c r="D18" s="10">
        <f t="shared" si="2"/>
        <v>12337</v>
      </c>
      <c r="E18" s="10">
        <f t="shared" si="1"/>
        <v>12337</v>
      </c>
      <c r="F18" s="11" t="s">
        <v>52</v>
      </c>
      <c r="G18" s="12" t="s">
        <v>26</v>
      </c>
      <c r="H18" s="11" t="s">
        <v>27</v>
      </c>
      <c r="I18" s="12">
        <v>1</v>
      </c>
      <c r="J18" s="12" t="s">
        <v>36</v>
      </c>
      <c r="K18" s="11">
        <v>1</v>
      </c>
      <c r="L18" s="11">
        <v>1</v>
      </c>
    </row>
    <row r="19" spans="2:13" ht="47.25" x14ac:dyDescent="0.2">
      <c r="B19" s="10" t="str">
        <f t="shared" si="0"/>
        <v>0x3032</v>
      </c>
      <c r="C19" s="10" t="str">
        <f t="shared" si="0"/>
        <v>0x3039</v>
      </c>
      <c r="D19" s="10">
        <f t="shared" si="2"/>
        <v>12338</v>
      </c>
      <c r="E19" s="10">
        <f t="shared" si="1"/>
        <v>12345</v>
      </c>
      <c r="F19" s="12" t="s">
        <v>53</v>
      </c>
      <c r="G19" s="15" t="s">
        <v>33</v>
      </c>
      <c r="H19" s="11" t="s">
        <v>27</v>
      </c>
      <c r="I19" s="12">
        <v>8</v>
      </c>
      <c r="J19" s="14" t="s">
        <v>37</v>
      </c>
      <c r="K19" s="11">
        <v>1</v>
      </c>
      <c r="L19" s="11">
        <v>1</v>
      </c>
      <c r="M19" s="8" t="s">
        <v>34</v>
      </c>
    </row>
    <row r="20" spans="2:13" ht="31.5" x14ac:dyDescent="0.2">
      <c r="B20" s="10" t="str">
        <f t="shared" si="0"/>
        <v>0x303A</v>
      </c>
      <c r="C20" s="10" t="str">
        <f t="shared" si="0"/>
        <v>0x3041</v>
      </c>
      <c r="D20" s="10">
        <f t="shared" si="2"/>
        <v>12346</v>
      </c>
      <c r="E20" s="10">
        <f t="shared" si="1"/>
        <v>12353</v>
      </c>
      <c r="F20" s="12" t="s">
        <v>54</v>
      </c>
      <c r="G20" s="19" t="s">
        <v>39</v>
      </c>
      <c r="H20" s="11" t="s">
        <v>27</v>
      </c>
      <c r="I20" s="12">
        <v>8</v>
      </c>
      <c r="J20" s="14" t="s">
        <v>55</v>
      </c>
      <c r="K20" s="11">
        <v>1</v>
      </c>
      <c r="L20" s="11">
        <v>1</v>
      </c>
      <c r="M20" s="18" t="s">
        <v>34</v>
      </c>
    </row>
    <row r="21" spans="2:13" ht="63" x14ac:dyDescent="0.2">
      <c r="B21" s="10" t="str">
        <f t="shared" si="0"/>
        <v>0x3042</v>
      </c>
      <c r="C21" s="10" t="str">
        <f t="shared" si="0"/>
        <v>0x3042</v>
      </c>
      <c r="D21" s="10">
        <f t="shared" si="2"/>
        <v>12354</v>
      </c>
      <c r="E21" s="10">
        <f t="shared" si="1"/>
        <v>12354</v>
      </c>
      <c r="F21" s="11" t="s">
        <v>56</v>
      </c>
      <c r="G21" s="12" t="s">
        <v>26</v>
      </c>
      <c r="H21" s="11" t="s">
        <v>27</v>
      </c>
      <c r="I21" s="12">
        <v>1</v>
      </c>
      <c r="J21" s="12" t="s">
        <v>42</v>
      </c>
      <c r="K21" s="11">
        <v>0</v>
      </c>
      <c r="L21" s="11">
        <v>0</v>
      </c>
    </row>
    <row r="22" spans="2:13" x14ac:dyDescent="0.2">
      <c r="B22" s="10" t="str">
        <f t="shared" si="0"/>
        <v>0x3043</v>
      </c>
      <c r="C22" s="10" t="str">
        <f t="shared" si="0"/>
        <v>0x3044</v>
      </c>
      <c r="D22" s="10">
        <f t="shared" si="2"/>
        <v>12355</v>
      </c>
      <c r="E22" s="10">
        <f t="shared" si="1"/>
        <v>12356</v>
      </c>
      <c r="F22" s="11" t="s">
        <v>57</v>
      </c>
      <c r="G22" s="15" t="s">
        <v>33</v>
      </c>
      <c r="H22" s="16" t="s">
        <v>27</v>
      </c>
      <c r="I22" s="12">
        <v>2</v>
      </c>
      <c r="J22" s="16"/>
      <c r="K22" s="11">
        <v>999</v>
      </c>
      <c r="L22" s="11">
        <v>999</v>
      </c>
      <c r="M22" s="8" t="s">
        <v>34</v>
      </c>
    </row>
    <row r="23" spans="2:13" x14ac:dyDescent="0.2">
      <c r="B23" s="10" t="str">
        <f t="shared" si="0"/>
        <v>0x3045</v>
      </c>
      <c r="C23" s="10" t="str">
        <f t="shared" si="0"/>
        <v>0x3046</v>
      </c>
      <c r="D23" s="10">
        <f t="shared" si="2"/>
        <v>12357</v>
      </c>
      <c r="E23" s="10">
        <f t="shared" si="1"/>
        <v>12358</v>
      </c>
      <c r="F23" s="11" t="s">
        <v>58</v>
      </c>
      <c r="G23" s="15" t="s">
        <v>33</v>
      </c>
      <c r="H23" s="16" t="s">
        <v>27</v>
      </c>
      <c r="I23" s="12">
        <v>2</v>
      </c>
      <c r="J23" s="16"/>
      <c r="K23" s="11">
        <v>0</v>
      </c>
      <c r="L23" s="11">
        <v>0</v>
      </c>
      <c r="M23" s="8" t="s">
        <v>34</v>
      </c>
    </row>
    <row r="24" spans="2:13" x14ac:dyDescent="0.2">
      <c r="B24" s="10" t="str">
        <f t="shared" si="0"/>
        <v>0x3047</v>
      </c>
      <c r="C24" s="10" t="str">
        <f t="shared" si="0"/>
        <v>0x3047</v>
      </c>
      <c r="D24" s="10">
        <f t="shared" si="2"/>
        <v>12359</v>
      </c>
      <c r="E24" s="10">
        <f t="shared" si="1"/>
        <v>12359</v>
      </c>
      <c r="F24" s="11" t="s">
        <v>59</v>
      </c>
      <c r="G24" s="12" t="s">
        <v>26</v>
      </c>
      <c r="H24" s="11" t="s">
        <v>27</v>
      </c>
      <c r="I24" s="12">
        <v>1</v>
      </c>
      <c r="J24" s="12" t="s">
        <v>36</v>
      </c>
      <c r="K24" s="11">
        <v>1</v>
      </c>
      <c r="L24" s="11">
        <v>1</v>
      </c>
    </row>
    <row r="25" spans="2:13" ht="47.25" x14ac:dyDescent="0.2">
      <c r="B25" s="10" t="str">
        <f t="shared" si="0"/>
        <v>0x3048</v>
      </c>
      <c r="C25" s="10" t="str">
        <f t="shared" si="0"/>
        <v>0x304F</v>
      </c>
      <c r="D25" s="10">
        <f t="shared" si="2"/>
        <v>12360</v>
      </c>
      <c r="E25" s="10">
        <f t="shared" si="1"/>
        <v>12367</v>
      </c>
      <c r="F25" s="12" t="s">
        <v>60</v>
      </c>
      <c r="G25" s="15" t="s">
        <v>33</v>
      </c>
      <c r="H25" s="11" t="s">
        <v>27</v>
      </c>
      <c r="I25" s="12">
        <v>8</v>
      </c>
      <c r="J25" s="14" t="s">
        <v>37</v>
      </c>
      <c r="K25" s="11">
        <v>1</v>
      </c>
      <c r="L25" s="11">
        <v>1</v>
      </c>
      <c r="M25" s="8" t="s">
        <v>34</v>
      </c>
    </row>
    <row r="26" spans="2:13" ht="31.5" x14ac:dyDescent="0.2">
      <c r="B26" s="10" t="str">
        <f t="shared" si="0"/>
        <v>0x3050</v>
      </c>
      <c r="C26" s="10" t="str">
        <f t="shared" si="0"/>
        <v>0x3057</v>
      </c>
      <c r="D26" s="10">
        <f t="shared" si="2"/>
        <v>12368</v>
      </c>
      <c r="E26" s="10">
        <f t="shared" si="1"/>
        <v>12375</v>
      </c>
      <c r="F26" s="12" t="s">
        <v>61</v>
      </c>
      <c r="G26" s="19" t="s">
        <v>39</v>
      </c>
      <c r="H26" s="11" t="s">
        <v>27</v>
      </c>
      <c r="I26" s="12">
        <v>8</v>
      </c>
      <c r="J26" s="14" t="s">
        <v>55</v>
      </c>
      <c r="K26" s="11">
        <v>1</v>
      </c>
      <c r="L26" s="11">
        <v>1</v>
      </c>
      <c r="M26" s="18" t="s">
        <v>34</v>
      </c>
    </row>
    <row r="27" spans="2:13" ht="63" x14ac:dyDescent="0.2">
      <c r="B27" s="10" t="str">
        <f t="shared" si="0"/>
        <v>0x3058</v>
      </c>
      <c r="C27" s="10" t="str">
        <f t="shared" si="0"/>
        <v>0x3058</v>
      </c>
      <c r="D27" s="10">
        <f t="shared" si="2"/>
        <v>12376</v>
      </c>
      <c r="E27" s="10">
        <f t="shared" si="1"/>
        <v>12376</v>
      </c>
      <c r="F27" s="11" t="s">
        <v>62</v>
      </c>
      <c r="G27" s="12" t="s">
        <v>26</v>
      </c>
      <c r="H27" s="11" t="s">
        <v>27</v>
      </c>
      <c r="I27" s="12">
        <v>1</v>
      </c>
      <c r="J27" s="12" t="s">
        <v>42</v>
      </c>
      <c r="K27" s="11">
        <v>0</v>
      </c>
      <c r="L27" s="11">
        <v>0</v>
      </c>
    </row>
    <row r="28" spans="2:13" x14ac:dyDescent="0.2">
      <c r="B28" s="10" t="str">
        <f t="shared" si="0"/>
        <v>0x3059</v>
      </c>
      <c r="C28" s="10" t="str">
        <f t="shared" si="0"/>
        <v>0x305A</v>
      </c>
      <c r="D28" s="10">
        <f t="shared" si="2"/>
        <v>12377</v>
      </c>
      <c r="E28" s="10">
        <f t="shared" si="1"/>
        <v>12378</v>
      </c>
      <c r="F28" s="11" t="s">
        <v>63</v>
      </c>
      <c r="G28" s="15" t="s">
        <v>33</v>
      </c>
      <c r="H28" s="16" t="s">
        <v>27</v>
      </c>
      <c r="I28" s="12">
        <v>2</v>
      </c>
      <c r="J28" s="16"/>
      <c r="K28" s="11">
        <v>999</v>
      </c>
      <c r="L28" s="11">
        <v>999</v>
      </c>
      <c r="M28" s="8" t="s">
        <v>34</v>
      </c>
    </row>
    <row r="29" spans="2:13" x14ac:dyDescent="0.2">
      <c r="B29" s="10" t="str">
        <f t="shared" si="0"/>
        <v>0x305B</v>
      </c>
      <c r="C29" s="10" t="str">
        <f t="shared" si="0"/>
        <v>0x305C</v>
      </c>
      <c r="D29" s="10">
        <f t="shared" si="2"/>
        <v>12379</v>
      </c>
      <c r="E29" s="10">
        <f t="shared" si="1"/>
        <v>12380</v>
      </c>
      <c r="F29" s="11" t="s">
        <v>64</v>
      </c>
      <c r="G29" s="15" t="s">
        <v>33</v>
      </c>
      <c r="H29" s="16" t="s">
        <v>27</v>
      </c>
      <c r="I29" s="12">
        <v>2</v>
      </c>
      <c r="J29" s="16"/>
      <c r="K29" s="11">
        <v>0</v>
      </c>
      <c r="L29" s="11">
        <v>0</v>
      </c>
      <c r="M29" s="8" t="s">
        <v>34</v>
      </c>
    </row>
    <row r="30" spans="2:13" x14ac:dyDescent="0.2">
      <c r="B30" s="10" t="str">
        <f t="shared" si="0"/>
        <v>0x305D</v>
      </c>
      <c r="C30" s="10" t="str">
        <f t="shared" si="0"/>
        <v>0x305D</v>
      </c>
      <c r="D30" s="10">
        <f t="shared" si="2"/>
        <v>12381</v>
      </c>
      <c r="E30" s="10">
        <f t="shared" si="1"/>
        <v>12381</v>
      </c>
      <c r="F30" s="11" t="s">
        <v>65</v>
      </c>
      <c r="G30" s="12" t="s">
        <v>26</v>
      </c>
      <c r="H30" s="11" t="s">
        <v>27</v>
      </c>
      <c r="I30" s="12">
        <v>1</v>
      </c>
      <c r="J30" s="12" t="s">
        <v>36</v>
      </c>
      <c r="K30" s="11">
        <v>1</v>
      </c>
      <c r="L30" s="11">
        <v>1</v>
      </c>
    </row>
    <row r="31" spans="2:13" ht="47.25" x14ac:dyDescent="0.2">
      <c r="B31" s="10" t="str">
        <f t="shared" si="0"/>
        <v>0x305E</v>
      </c>
      <c r="C31" s="10" t="str">
        <f t="shared" si="0"/>
        <v>0x3065</v>
      </c>
      <c r="D31" s="10">
        <f t="shared" si="2"/>
        <v>12382</v>
      </c>
      <c r="E31" s="10">
        <f t="shared" si="1"/>
        <v>12389</v>
      </c>
      <c r="F31" s="12" t="s">
        <v>66</v>
      </c>
      <c r="G31" s="15" t="s">
        <v>33</v>
      </c>
      <c r="H31" s="11" t="s">
        <v>27</v>
      </c>
      <c r="I31" s="12">
        <v>8</v>
      </c>
      <c r="J31" s="14" t="s">
        <v>37</v>
      </c>
      <c r="K31" s="11">
        <v>1</v>
      </c>
      <c r="L31" s="11">
        <v>1</v>
      </c>
      <c r="M31" s="8" t="s">
        <v>34</v>
      </c>
    </row>
    <row r="32" spans="2:13" ht="31.5" x14ac:dyDescent="0.2">
      <c r="B32" s="10" t="str">
        <f t="shared" si="0"/>
        <v>0x3066</v>
      </c>
      <c r="C32" s="10" t="str">
        <f t="shared" si="0"/>
        <v>0x306D</v>
      </c>
      <c r="D32" s="10">
        <f t="shared" si="2"/>
        <v>12390</v>
      </c>
      <c r="E32" s="10">
        <f t="shared" si="1"/>
        <v>12397</v>
      </c>
      <c r="F32" s="12" t="s">
        <v>67</v>
      </c>
      <c r="G32" s="19" t="s">
        <v>39</v>
      </c>
      <c r="H32" s="11" t="s">
        <v>27</v>
      </c>
      <c r="I32" s="12">
        <v>8</v>
      </c>
      <c r="J32" s="14" t="s">
        <v>55</v>
      </c>
      <c r="K32" s="11">
        <v>1</v>
      </c>
      <c r="L32" s="11">
        <v>1</v>
      </c>
      <c r="M32" s="18" t="s">
        <v>34</v>
      </c>
    </row>
    <row r="33" spans="1:13" ht="63" x14ac:dyDescent="0.2">
      <c r="B33" s="10" t="str">
        <f t="shared" si="0"/>
        <v>0x306E</v>
      </c>
      <c r="C33" s="10" t="str">
        <f t="shared" si="0"/>
        <v>0x306E</v>
      </c>
      <c r="D33" s="10">
        <f t="shared" si="2"/>
        <v>12398</v>
      </c>
      <c r="E33" s="10">
        <f t="shared" si="1"/>
        <v>12398</v>
      </c>
      <c r="F33" s="11" t="s">
        <v>68</v>
      </c>
      <c r="G33" s="12" t="s">
        <v>26</v>
      </c>
      <c r="H33" s="11" t="s">
        <v>27</v>
      </c>
      <c r="I33" s="12">
        <v>1</v>
      </c>
      <c r="J33" s="12" t="s">
        <v>42</v>
      </c>
      <c r="K33" s="11">
        <v>0</v>
      </c>
      <c r="L33" s="11">
        <v>0</v>
      </c>
    </row>
    <row r="34" spans="1:13" x14ac:dyDescent="0.2">
      <c r="B34" s="10" t="str">
        <f t="shared" si="0"/>
        <v>0x306F</v>
      </c>
      <c r="C34" s="10" t="str">
        <f t="shared" si="0"/>
        <v>0x3070</v>
      </c>
      <c r="D34" s="10">
        <f t="shared" si="2"/>
        <v>12399</v>
      </c>
      <c r="E34" s="10">
        <f t="shared" si="1"/>
        <v>12400</v>
      </c>
      <c r="F34" s="11" t="s">
        <v>69</v>
      </c>
      <c r="G34" s="15" t="s">
        <v>33</v>
      </c>
      <c r="H34" s="16" t="s">
        <v>27</v>
      </c>
      <c r="I34" s="12">
        <v>2</v>
      </c>
      <c r="J34" s="16"/>
      <c r="K34" s="11">
        <v>999</v>
      </c>
      <c r="L34" s="11">
        <v>999</v>
      </c>
      <c r="M34" s="8" t="s">
        <v>34</v>
      </c>
    </row>
    <row r="35" spans="1:13" x14ac:dyDescent="0.2">
      <c r="B35" s="10" t="str">
        <f t="shared" si="0"/>
        <v>0x3071</v>
      </c>
      <c r="C35" s="10" t="str">
        <f t="shared" si="0"/>
        <v>0x3072</v>
      </c>
      <c r="D35" s="10">
        <f t="shared" si="2"/>
        <v>12401</v>
      </c>
      <c r="E35" s="10">
        <f t="shared" si="1"/>
        <v>12402</v>
      </c>
      <c r="F35" s="11" t="s">
        <v>70</v>
      </c>
      <c r="G35" s="15" t="s">
        <v>33</v>
      </c>
      <c r="H35" s="16" t="s">
        <v>27</v>
      </c>
      <c r="I35" s="12">
        <v>2</v>
      </c>
      <c r="J35" s="16"/>
      <c r="K35" s="11">
        <v>0</v>
      </c>
      <c r="L35" s="11">
        <v>0</v>
      </c>
      <c r="M35" s="8" t="s">
        <v>34</v>
      </c>
    </row>
    <row r="36" spans="1:13" x14ac:dyDescent="0.2">
      <c r="B36" s="10" t="str">
        <f t="shared" si="0"/>
        <v>0x3073</v>
      </c>
      <c r="C36" s="10" t="str">
        <f t="shared" si="0"/>
        <v>0x3073</v>
      </c>
      <c r="D36" s="10">
        <f t="shared" si="2"/>
        <v>12403</v>
      </c>
      <c r="E36" s="10">
        <f t="shared" si="1"/>
        <v>12403</v>
      </c>
      <c r="F36" s="11" t="s">
        <v>71</v>
      </c>
      <c r="G36" s="12" t="s">
        <v>26</v>
      </c>
      <c r="H36" s="11" t="s">
        <v>27</v>
      </c>
      <c r="I36" s="12">
        <v>1</v>
      </c>
      <c r="J36" s="12" t="s">
        <v>36</v>
      </c>
      <c r="K36" s="11">
        <v>1</v>
      </c>
      <c r="L36" s="11">
        <v>1</v>
      </c>
    </row>
    <row r="37" spans="1:13" ht="47.25" x14ac:dyDescent="0.2">
      <c r="B37" s="10" t="str">
        <f t="shared" si="0"/>
        <v>0x3074</v>
      </c>
      <c r="C37" s="10" t="str">
        <f t="shared" si="0"/>
        <v>0x307B</v>
      </c>
      <c r="D37" s="10">
        <f t="shared" si="2"/>
        <v>12404</v>
      </c>
      <c r="E37" s="10">
        <f t="shared" si="1"/>
        <v>12411</v>
      </c>
      <c r="F37" s="12" t="s">
        <v>72</v>
      </c>
      <c r="G37" s="15" t="s">
        <v>33</v>
      </c>
      <c r="H37" s="11" t="s">
        <v>27</v>
      </c>
      <c r="I37" s="12">
        <v>8</v>
      </c>
      <c r="J37" s="14" t="s">
        <v>37</v>
      </c>
      <c r="K37" s="11">
        <v>1</v>
      </c>
      <c r="L37" s="11">
        <v>1</v>
      </c>
      <c r="M37" s="8" t="s">
        <v>34</v>
      </c>
    </row>
    <row r="38" spans="1:13" ht="31.5" x14ac:dyDescent="0.2">
      <c r="B38" s="10" t="str">
        <f t="shared" si="0"/>
        <v>0x307C</v>
      </c>
      <c r="C38" s="10" t="str">
        <f t="shared" si="0"/>
        <v>0x3083</v>
      </c>
      <c r="D38" s="10">
        <f t="shared" si="2"/>
        <v>12412</v>
      </c>
      <c r="E38" s="10">
        <f t="shared" si="1"/>
        <v>12419</v>
      </c>
      <c r="F38" s="12" t="s">
        <v>73</v>
      </c>
      <c r="G38" s="19" t="s">
        <v>39</v>
      </c>
      <c r="H38" s="11" t="s">
        <v>27</v>
      </c>
      <c r="I38" s="12">
        <v>8</v>
      </c>
      <c r="J38" s="14" t="s">
        <v>55</v>
      </c>
      <c r="K38" s="11">
        <v>1</v>
      </c>
      <c r="L38" s="11">
        <v>1</v>
      </c>
      <c r="M38" s="18" t="s">
        <v>34</v>
      </c>
    </row>
    <row r="39" spans="1:13" x14ac:dyDescent="0.2">
      <c r="B39" s="8" t="s">
        <v>74</v>
      </c>
      <c r="C39" s="8" t="s">
        <v>75</v>
      </c>
      <c r="D39" s="10" t="s">
        <v>75</v>
      </c>
      <c r="E39" s="10" t="s">
        <v>75</v>
      </c>
      <c r="F39" s="8" t="s">
        <v>75</v>
      </c>
      <c r="G39" s="8" t="s">
        <v>75</v>
      </c>
      <c r="H39" s="8" t="s">
        <v>75</v>
      </c>
      <c r="I39" s="8" t="s">
        <v>75</v>
      </c>
      <c r="J39" s="8" t="s">
        <v>75</v>
      </c>
      <c r="K39" s="8" t="s">
        <v>75</v>
      </c>
      <c r="L39" s="8" t="s">
        <v>75</v>
      </c>
    </row>
    <row r="40" spans="1:13" ht="63" x14ac:dyDescent="0.2">
      <c r="B40" s="10" t="str">
        <f t="shared" ref="B40:C45" si="3">"0x"&amp;DEC2HEX(D40,4)</f>
        <v>0x314A</v>
      </c>
      <c r="C40" s="10" t="str">
        <f t="shared" si="3"/>
        <v>0x314A</v>
      </c>
      <c r="D40" s="10">
        <f>D3+22*15</f>
        <v>12618</v>
      </c>
      <c r="E40" s="10">
        <f t="shared" ref="E40:E45" si="4">D40+I40-1</f>
        <v>12618</v>
      </c>
      <c r="F40" s="11" t="s">
        <v>76</v>
      </c>
      <c r="G40" s="12" t="s">
        <v>26</v>
      </c>
      <c r="H40" s="11" t="s">
        <v>27</v>
      </c>
      <c r="I40" s="12">
        <v>1</v>
      </c>
      <c r="J40" s="12" t="s">
        <v>42</v>
      </c>
      <c r="K40" s="11">
        <v>0</v>
      </c>
      <c r="L40" s="11">
        <v>0</v>
      </c>
    </row>
    <row r="41" spans="1:13" x14ac:dyDescent="0.2">
      <c r="B41" s="10" t="str">
        <f t="shared" si="3"/>
        <v>0x314B</v>
      </c>
      <c r="C41" s="10" t="str">
        <f t="shared" si="3"/>
        <v>0x314C</v>
      </c>
      <c r="D41" s="10">
        <f>E40+1</f>
        <v>12619</v>
      </c>
      <c r="E41" s="10">
        <f t="shared" si="4"/>
        <v>12620</v>
      </c>
      <c r="F41" s="11" t="s">
        <v>77</v>
      </c>
      <c r="G41" s="15" t="s">
        <v>33</v>
      </c>
      <c r="H41" s="16" t="s">
        <v>27</v>
      </c>
      <c r="I41" s="12">
        <v>2</v>
      </c>
      <c r="J41" s="16"/>
      <c r="K41" s="11">
        <v>999</v>
      </c>
      <c r="L41" s="11">
        <v>999</v>
      </c>
      <c r="M41" s="8" t="s">
        <v>34</v>
      </c>
    </row>
    <row r="42" spans="1:13" x14ac:dyDescent="0.2">
      <c r="B42" s="10" t="str">
        <f t="shared" si="3"/>
        <v>0x314D</v>
      </c>
      <c r="C42" s="10" t="str">
        <f t="shared" si="3"/>
        <v>0x314E</v>
      </c>
      <c r="D42" s="10">
        <f t="shared" ref="D42:D45" si="5">E41+1</f>
        <v>12621</v>
      </c>
      <c r="E42" s="10">
        <f t="shared" si="4"/>
        <v>12622</v>
      </c>
      <c r="F42" s="11" t="s">
        <v>78</v>
      </c>
      <c r="G42" s="15" t="s">
        <v>33</v>
      </c>
      <c r="H42" s="16" t="s">
        <v>27</v>
      </c>
      <c r="I42" s="12">
        <v>2</v>
      </c>
      <c r="J42" s="16"/>
      <c r="K42" s="11">
        <v>0</v>
      </c>
      <c r="L42" s="11">
        <v>0</v>
      </c>
      <c r="M42" s="8" t="s">
        <v>34</v>
      </c>
    </row>
    <row r="43" spans="1:13" x14ac:dyDescent="0.2">
      <c r="B43" s="10" t="str">
        <f t="shared" si="3"/>
        <v>0x314F</v>
      </c>
      <c r="C43" s="10" t="str">
        <f t="shared" si="3"/>
        <v>0x314F</v>
      </c>
      <c r="D43" s="10">
        <f t="shared" si="5"/>
        <v>12623</v>
      </c>
      <c r="E43" s="10">
        <f t="shared" si="4"/>
        <v>12623</v>
      </c>
      <c r="F43" s="11" t="s">
        <v>79</v>
      </c>
      <c r="G43" s="12" t="s">
        <v>26</v>
      </c>
      <c r="H43" s="11" t="s">
        <v>27</v>
      </c>
      <c r="I43" s="12">
        <v>1</v>
      </c>
      <c r="J43" s="12" t="s">
        <v>36</v>
      </c>
      <c r="K43" s="11">
        <v>1</v>
      </c>
      <c r="L43" s="11">
        <v>1</v>
      </c>
    </row>
    <row r="44" spans="1:13" ht="47.25" x14ac:dyDescent="0.2">
      <c r="B44" s="10" t="str">
        <f t="shared" si="3"/>
        <v>0x3150</v>
      </c>
      <c r="C44" s="10" t="str">
        <f t="shared" si="3"/>
        <v>0x3157</v>
      </c>
      <c r="D44" s="10">
        <f t="shared" si="5"/>
        <v>12624</v>
      </c>
      <c r="E44" s="10">
        <f t="shared" si="4"/>
        <v>12631</v>
      </c>
      <c r="F44" s="12" t="s">
        <v>80</v>
      </c>
      <c r="G44" s="15" t="s">
        <v>33</v>
      </c>
      <c r="H44" s="11" t="s">
        <v>27</v>
      </c>
      <c r="I44" s="12">
        <v>8</v>
      </c>
      <c r="J44" s="14" t="s">
        <v>37</v>
      </c>
      <c r="K44" s="11">
        <v>1</v>
      </c>
      <c r="L44" s="11">
        <v>1</v>
      </c>
      <c r="M44" s="8" t="s">
        <v>34</v>
      </c>
    </row>
    <row r="45" spans="1:13" ht="31.5" x14ac:dyDescent="0.2">
      <c r="B45" s="10" t="str">
        <f t="shared" si="3"/>
        <v>0x3158</v>
      </c>
      <c r="C45" s="10" t="str">
        <f t="shared" si="3"/>
        <v>0x315F</v>
      </c>
      <c r="D45" s="10">
        <f t="shared" si="5"/>
        <v>12632</v>
      </c>
      <c r="E45" s="10">
        <f t="shared" si="4"/>
        <v>12639</v>
      </c>
      <c r="F45" s="12" t="s">
        <v>81</v>
      </c>
      <c r="G45" s="19" t="s">
        <v>39</v>
      </c>
      <c r="H45" s="11" t="s">
        <v>27</v>
      </c>
      <c r="I45" s="12">
        <v>8</v>
      </c>
      <c r="J45" s="14" t="s">
        <v>55</v>
      </c>
      <c r="K45" s="11">
        <v>1</v>
      </c>
      <c r="L45" s="11">
        <v>1</v>
      </c>
      <c r="M45" s="18" t="s">
        <v>34</v>
      </c>
    </row>
    <row r="46" spans="1:13" x14ac:dyDescent="0.2">
      <c r="I46" s="8">
        <f>22*16</f>
        <v>352</v>
      </c>
    </row>
    <row r="47" spans="1:13" ht="63" x14ac:dyDescent="0.2">
      <c r="A47" s="7" t="s">
        <v>82</v>
      </c>
      <c r="B47" s="10" t="str">
        <f t="shared" ref="B47:C70" si="6">"0x"&amp;DEC2HEX(D47,4)</f>
        <v>0x3400</v>
      </c>
      <c r="C47" s="10" t="str">
        <f t="shared" si="6"/>
        <v>0x3400</v>
      </c>
      <c r="D47" s="10">
        <v>13312</v>
      </c>
      <c r="E47" s="10">
        <f t="shared" ref="E47:E70" si="7">D47+I47-1</f>
        <v>13312</v>
      </c>
      <c r="F47" s="11" t="s">
        <v>83</v>
      </c>
      <c r="G47" s="12" t="s">
        <v>26</v>
      </c>
      <c r="H47" s="11" t="s">
        <v>27</v>
      </c>
      <c r="I47" s="12">
        <v>1</v>
      </c>
      <c r="J47" s="12" t="s">
        <v>42</v>
      </c>
      <c r="K47" s="11">
        <v>0</v>
      </c>
      <c r="L47" s="11">
        <v>0</v>
      </c>
    </row>
    <row r="48" spans="1:13" x14ac:dyDescent="0.2">
      <c r="B48" s="10" t="str">
        <f t="shared" si="6"/>
        <v>0x3401</v>
      </c>
      <c r="C48" s="10" t="str">
        <f t="shared" si="6"/>
        <v>0x3402</v>
      </c>
      <c r="D48" s="10">
        <f>E47+1</f>
        <v>13313</v>
      </c>
      <c r="E48" s="10">
        <f t="shared" si="7"/>
        <v>13314</v>
      </c>
      <c r="F48" s="11" t="s">
        <v>84</v>
      </c>
      <c r="G48" s="15" t="s">
        <v>33</v>
      </c>
      <c r="H48" s="16" t="s">
        <v>27</v>
      </c>
      <c r="I48" s="12">
        <v>2</v>
      </c>
      <c r="J48" s="16"/>
      <c r="K48" s="11">
        <v>999</v>
      </c>
      <c r="L48" s="11">
        <v>999</v>
      </c>
      <c r="M48" s="8" t="s">
        <v>34</v>
      </c>
    </row>
    <row r="49" spans="2:13" x14ac:dyDescent="0.2">
      <c r="B49" s="10" t="str">
        <f t="shared" si="6"/>
        <v>0x3403</v>
      </c>
      <c r="C49" s="10" t="str">
        <f t="shared" si="6"/>
        <v>0x3404</v>
      </c>
      <c r="D49" s="10">
        <f t="shared" ref="D49:D70" si="8">E48+1</f>
        <v>13315</v>
      </c>
      <c r="E49" s="10">
        <f t="shared" si="7"/>
        <v>13316</v>
      </c>
      <c r="F49" s="11" t="s">
        <v>85</v>
      </c>
      <c r="G49" s="15" t="s">
        <v>33</v>
      </c>
      <c r="H49" s="16" t="s">
        <v>27</v>
      </c>
      <c r="I49" s="12">
        <v>2</v>
      </c>
      <c r="J49" s="16"/>
      <c r="K49" s="11">
        <v>0</v>
      </c>
      <c r="L49" s="11">
        <v>0</v>
      </c>
      <c r="M49" s="8" t="s">
        <v>34</v>
      </c>
    </row>
    <row r="50" spans="2:13" x14ac:dyDescent="0.2">
      <c r="B50" s="10" t="str">
        <f t="shared" si="6"/>
        <v>0x3405</v>
      </c>
      <c r="C50" s="10" t="str">
        <f t="shared" si="6"/>
        <v>0x3405</v>
      </c>
      <c r="D50" s="10">
        <f t="shared" si="8"/>
        <v>13317</v>
      </c>
      <c r="E50" s="10">
        <f t="shared" si="7"/>
        <v>13317</v>
      </c>
      <c r="F50" s="11" t="s">
        <v>86</v>
      </c>
      <c r="G50" s="12" t="s">
        <v>26</v>
      </c>
      <c r="H50" s="11" t="s">
        <v>27</v>
      </c>
      <c r="I50" s="12">
        <v>1</v>
      </c>
      <c r="J50" s="12" t="s">
        <v>36</v>
      </c>
      <c r="K50" s="11">
        <v>1</v>
      </c>
      <c r="L50" s="11">
        <v>1</v>
      </c>
    </row>
    <row r="51" spans="2:13" ht="31.5" x14ac:dyDescent="0.2">
      <c r="B51" s="10" t="str">
        <f t="shared" si="6"/>
        <v>0x3406</v>
      </c>
      <c r="C51" s="10" t="str">
        <f t="shared" si="6"/>
        <v>0x340D</v>
      </c>
      <c r="D51" s="10">
        <f t="shared" si="8"/>
        <v>13318</v>
      </c>
      <c r="E51" s="10">
        <f t="shared" si="7"/>
        <v>13325</v>
      </c>
      <c r="F51" s="12" t="s">
        <v>87</v>
      </c>
      <c r="G51" s="15" t="s">
        <v>39</v>
      </c>
      <c r="H51" s="11" t="s">
        <v>27</v>
      </c>
      <c r="I51" s="12">
        <v>8</v>
      </c>
      <c r="J51" s="14" t="s">
        <v>88</v>
      </c>
      <c r="K51" s="11">
        <v>1</v>
      </c>
      <c r="L51" s="11">
        <v>1</v>
      </c>
      <c r="M51" s="18" t="s">
        <v>34</v>
      </c>
    </row>
    <row r="52" spans="2:13" ht="47.25" x14ac:dyDescent="0.2">
      <c r="B52" s="10" t="str">
        <f t="shared" si="6"/>
        <v>0x340E</v>
      </c>
      <c r="C52" s="10" t="str">
        <f t="shared" si="6"/>
        <v>0x3415</v>
      </c>
      <c r="D52" s="10">
        <f t="shared" si="8"/>
        <v>13326</v>
      </c>
      <c r="E52" s="10">
        <f t="shared" si="7"/>
        <v>13333</v>
      </c>
      <c r="F52" s="12" t="s">
        <v>89</v>
      </c>
      <c r="G52" s="15" t="s">
        <v>33</v>
      </c>
      <c r="H52" s="11" t="s">
        <v>27</v>
      </c>
      <c r="I52" s="12">
        <v>8</v>
      </c>
      <c r="J52" s="14" t="s">
        <v>90</v>
      </c>
      <c r="K52" s="11">
        <v>1</v>
      </c>
      <c r="L52" s="11">
        <v>1</v>
      </c>
      <c r="M52" s="8" t="s">
        <v>34</v>
      </c>
    </row>
    <row r="53" spans="2:13" ht="63" x14ac:dyDescent="0.2">
      <c r="B53" s="10" t="str">
        <f t="shared" si="6"/>
        <v>0x3416</v>
      </c>
      <c r="C53" s="10" t="str">
        <f t="shared" si="6"/>
        <v>0x3416</v>
      </c>
      <c r="D53" s="10">
        <f t="shared" si="8"/>
        <v>13334</v>
      </c>
      <c r="E53" s="10">
        <f t="shared" si="7"/>
        <v>13334</v>
      </c>
      <c r="F53" s="11" t="s">
        <v>91</v>
      </c>
      <c r="G53" s="12" t="s">
        <v>26</v>
      </c>
      <c r="H53" s="11" t="s">
        <v>27</v>
      </c>
      <c r="I53" s="12">
        <v>1</v>
      </c>
      <c r="J53" s="12" t="s">
        <v>42</v>
      </c>
      <c r="K53" s="11">
        <v>0</v>
      </c>
      <c r="L53" s="11">
        <v>0</v>
      </c>
    </row>
    <row r="54" spans="2:13" x14ac:dyDescent="0.2">
      <c r="B54" s="10" t="str">
        <f t="shared" si="6"/>
        <v>0x3417</v>
      </c>
      <c r="C54" s="10" t="str">
        <f t="shared" si="6"/>
        <v>0x3418</v>
      </c>
      <c r="D54" s="10">
        <f t="shared" si="8"/>
        <v>13335</v>
      </c>
      <c r="E54" s="10">
        <f t="shared" si="7"/>
        <v>13336</v>
      </c>
      <c r="F54" s="11" t="s">
        <v>92</v>
      </c>
      <c r="G54" s="15" t="s">
        <v>33</v>
      </c>
      <c r="H54" s="16" t="s">
        <v>27</v>
      </c>
      <c r="I54" s="12">
        <v>2</v>
      </c>
      <c r="J54" s="16"/>
      <c r="K54" s="11">
        <v>999</v>
      </c>
      <c r="L54" s="11">
        <v>999</v>
      </c>
      <c r="M54" s="8" t="s">
        <v>34</v>
      </c>
    </row>
    <row r="55" spans="2:13" x14ac:dyDescent="0.2">
      <c r="B55" s="10" t="str">
        <f t="shared" si="6"/>
        <v>0x3419</v>
      </c>
      <c r="C55" s="10" t="str">
        <f t="shared" si="6"/>
        <v>0x341A</v>
      </c>
      <c r="D55" s="10">
        <f t="shared" si="8"/>
        <v>13337</v>
      </c>
      <c r="E55" s="10">
        <f t="shared" si="7"/>
        <v>13338</v>
      </c>
      <c r="F55" s="11" t="s">
        <v>93</v>
      </c>
      <c r="G55" s="15" t="s">
        <v>33</v>
      </c>
      <c r="H55" s="16" t="s">
        <v>27</v>
      </c>
      <c r="I55" s="12">
        <v>2</v>
      </c>
      <c r="J55" s="16"/>
      <c r="K55" s="11">
        <v>0</v>
      </c>
      <c r="L55" s="11">
        <v>0</v>
      </c>
      <c r="M55" s="8" t="s">
        <v>34</v>
      </c>
    </row>
    <row r="56" spans="2:13" x14ac:dyDescent="0.2">
      <c r="B56" s="10" t="str">
        <f t="shared" si="6"/>
        <v>0x341B</v>
      </c>
      <c r="C56" s="10" t="str">
        <f t="shared" si="6"/>
        <v>0x341B</v>
      </c>
      <c r="D56" s="10">
        <f t="shared" si="8"/>
        <v>13339</v>
      </c>
      <c r="E56" s="10">
        <f t="shared" si="7"/>
        <v>13339</v>
      </c>
      <c r="F56" s="11" t="s">
        <v>94</v>
      </c>
      <c r="G56" s="12" t="s">
        <v>26</v>
      </c>
      <c r="H56" s="11" t="s">
        <v>27</v>
      </c>
      <c r="I56" s="12">
        <v>1</v>
      </c>
      <c r="J56" s="12" t="s">
        <v>36</v>
      </c>
      <c r="K56" s="11">
        <v>1</v>
      </c>
      <c r="L56" s="11">
        <v>1</v>
      </c>
    </row>
    <row r="57" spans="2:13" ht="31.5" x14ac:dyDescent="0.2">
      <c r="B57" s="10" t="str">
        <f t="shared" si="6"/>
        <v>0x341C</v>
      </c>
      <c r="C57" s="10" t="str">
        <f t="shared" si="6"/>
        <v>0x3423</v>
      </c>
      <c r="D57" s="10">
        <f t="shared" si="8"/>
        <v>13340</v>
      </c>
      <c r="E57" s="10">
        <f t="shared" si="7"/>
        <v>13347</v>
      </c>
      <c r="F57" s="12" t="s">
        <v>95</v>
      </c>
      <c r="G57" s="15" t="s">
        <v>39</v>
      </c>
      <c r="H57" s="11" t="s">
        <v>27</v>
      </c>
      <c r="I57" s="12">
        <v>8</v>
      </c>
      <c r="J57" s="14" t="s">
        <v>88</v>
      </c>
      <c r="K57" s="11">
        <v>1</v>
      </c>
      <c r="L57" s="11">
        <v>1</v>
      </c>
      <c r="M57" s="18" t="s">
        <v>34</v>
      </c>
    </row>
    <row r="58" spans="2:13" ht="47.25" x14ac:dyDescent="0.2">
      <c r="B58" s="10" t="str">
        <f t="shared" si="6"/>
        <v>0x3424</v>
      </c>
      <c r="C58" s="10" t="str">
        <f t="shared" si="6"/>
        <v>0x342B</v>
      </c>
      <c r="D58" s="10">
        <f t="shared" si="8"/>
        <v>13348</v>
      </c>
      <c r="E58" s="10">
        <f t="shared" si="7"/>
        <v>13355</v>
      </c>
      <c r="F58" s="12" t="s">
        <v>96</v>
      </c>
      <c r="G58" s="15" t="s">
        <v>33</v>
      </c>
      <c r="H58" s="11" t="s">
        <v>27</v>
      </c>
      <c r="I58" s="12">
        <v>8</v>
      </c>
      <c r="J58" s="14" t="s">
        <v>90</v>
      </c>
      <c r="K58" s="11">
        <v>1</v>
      </c>
      <c r="L58" s="11">
        <v>1</v>
      </c>
      <c r="M58" s="8" t="s">
        <v>34</v>
      </c>
    </row>
    <row r="59" spans="2:13" ht="63" x14ac:dyDescent="0.2">
      <c r="B59" s="10" t="str">
        <f t="shared" si="6"/>
        <v>0x342C</v>
      </c>
      <c r="C59" s="10" t="str">
        <f t="shared" si="6"/>
        <v>0x342C</v>
      </c>
      <c r="D59" s="10">
        <f t="shared" si="8"/>
        <v>13356</v>
      </c>
      <c r="E59" s="10">
        <f t="shared" si="7"/>
        <v>13356</v>
      </c>
      <c r="F59" s="11" t="s">
        <v>97</v>
      </c>
      <c r="G59" s="12" t="s">
        <v>26</v>
      </c>
      <c r="H59" s="11" t="s">
        <v>27</v>
      </c>
      <c r="I59" s="12">
        <v>1</v>
      </c>
      <c r="J59" s="12" t="s">
        <v>42</v>
      </c>
      <c r="K59" s="11">
        <v>0</v>
      </c>
      <c r="L59" s="11">
        <v>0</v>
      </c>
    </row>
    <row r="60" spans="2:13" x14ac:dyDescent="0.2">
      <c r="B60" s="10" t="str">
        <f t="shared" si="6"/>
        <v>0x342D</v>
      </c>
      <c r="C60" s="10" t="str">
        <f t="shared" si="6"/>
        <v>0x342E</v>
      </c>
      <c r="D60" s="10">
        <f t="shared" si="8"/>
        <v>13357</v>
      </c>
      <c r="E60" s="10">
        <f t="shared" si="7"/>
        <v>13358</v>
      </c>
      <c r="F60" s="11" t="s">
        <v>98</v>
      </c>
      <c r="G60" s="15" t="s">
        <v>33</v>
      </c>
      <c r="H60" s="16" t="s">
        <v>27</v>
      </c>
      <c r="I60" s="12">
        <v>2</v>
      </c>
      <c r="J60" s="16"/>
      <c r="K60" s="11">
        <v>999</v>
      </c>
      <c r="L60" s="11">
        <v>999</v>
      </c>
      <c r="M60" s="8" t="s">
        <v>34</v>
      </c>
    </row>
    <row r="61" spans="2:13" x14ac:dyDescent="0.2">
      <c r="B61" s="10" t="str">
        <f t="shared" si="6"/>
        <v>0x342F</v>
      </c>
      <c r="C61" s="10" t="str">
        <f t="shared" si="6"/>
        <v>0x3430</v>
      </c>
      <c r="D61" s="10">
        <f t="shared" si="8"/>
        <v>13359</v>
      </c>
      <c r="E61" s="10">
        <f t="shared" si="7"/>
        <v>13360</v>
      </c>
      <c r="F61" s="11" t="s">
        <v>99</v>
      </c>
      <c r="G61" s="15" t="s">
        <v>33</v>
      </c>
      <c r="H61" s="16" t="s">
        <v>27</v>
      </c>
      <c r="I61" s="12">
        <v>2</v>
      </c>
      <c r="J61" s="16"/>
      <c r="K61" s="11">
        <v>0</v>
      </c>
      <c r="L61" s="11">
        <v>0</v>
      </c>
      <c r="M61" s="8" t="s">
        <v>34</v>
      </c>
    </row>
    <row r="62" spans="2:13" x14ac:dyDescent="0.2">
      <c r="B62" s="10" t="str">
        <f t="shared" si="6"/>
        <v>0x3431</v>
      </c>
      <c r="C62" s="10" t="str">
        <f t="shared" si="6"/>
        <v>0x3431</v>
      </c>
      <c r="D62" s="10">
        <f t="shared" si="8"/>
        <v>13361</v>
      </c>
      <c r="E62" s="10">
        <f t="shared" si="7"/>
        <v>13361</v>
      </c>
      <c r="F62" s="11" t="s">
        <v>100</v>
      </c>
      <c r="G62" s="12" t="s">
        <v>26</v>
      </c>
      <c r="H62" s="11" t="s">
        <v>27</v>
      </c>
      <c r="I62" s="12">
        <v>1</v>
      </c>
      <c r="J62" s="12" t="s">
        <v>36</v>
      </c>
      <c r="K62" s="11">
        <v>1</v>
      </c>
      <c r="L62" s="11">
        <v>1</v>
      </c>
    </row>
    <row r="63" spans="2:13" ht="31.5" x14ac:dyDescent="0.2">
      <c r="B63" s="10" t="str">
        <f t="shared" si="6"/>
        <v>0x3432</v>
      </c>
      <c r="C63" s="10" t="str">
        <f t="shared" si="6"/>
        <v>0x3439</v>
      </c>
      <c r="D63" s="10">
        <f t="shared" si="8"/>
        <v>13362</v>
      </c>
      <c r="E63" s="10">
        <f t="shared" si="7"/>
        <v>13369</v>
      </c>
      <c r="F63" s="12" t="s">
        <v>101</v>
      </c>
      <c r="G63" s="15" t="s">
        <v>39</v>
      </c>
      <c r="H63" s="11" t="s">
        <v>27</v>
      </c>
      <c r="I63" s="12">
        <v>8</v>
      </c>
      <c r="J63" s="14" t="s">
        <v>88</v>
      </c>
      <c r="K63" s="11">
        <v>1</v>
      </c>
      <c r="L63" s="11">
        <v>1</v>
      </c>
      <c r="M63" s="18" t="s">
        <v>34</v>
      </c>
    </row>
    <row r="64" spans="2:13" ht="47.25" x14ac:dyDescent="0.2">
      <c r="B64" s="10" t="str">
        <f t="shared" si="6"/>
        <v>0x343A</v>
      </c>
      <c r="C64" s="10" t="str">
        <f t="shared" si="6"/>
        <v>0x3441</v>
      </c>
      <c r="D64" s="10">
        <f t="shared" si="8"/>
        <v>13370</v>
      </c>
      <c r="E64" s="10">
        <f t="shared" si="7"/>
        <v>13377</v>
      </c>
      <c r="F64" s="12" t="s">
        <v>102</v>
      </c>
      <c r="G64" s="15" t="s">
        <v>33</v>
      </c>
      <c r="H64" s="11" t="s">
        <v>27</v>
      </c>
      <c r="I64" s="12">
        <v>8</v>
      </c>
      <c r="J64" s="14" t="s">
        <v>90</v>
      </c>
      <c r="K64" s="11">
        <v>1</v>
      </c>
      <c r="L64" s="11">
        <v>1</v>
      </c>
      <c r="M64" s="8" t="s">
        <v>34</v>
      </c>
    </row>
    <row r="65" spans="1:13" ht="63" x14ac:dyDescent="0.2">
      <c r="B65" s="10" t="str">
        <f t="shared" si="6"/>
        <v>0x3442</v>
      </c>
      <c r="C65" s="10" t="str">
        <f t="shared" si="6"/>
        <v>0x3442</v>
      </c>
      <c r="D65" s="10">
        <f t="shared" si="8"/>
        <v>13378</v>
      </c>
      <c r="E65" s="10">
        <f t="shared" si="7"/>
        <v>13378</v>
      </c>
      <c r="F65" s="11" t="s">
        <v>103</v>
      </c>
      <c r="G65" s="12" t="s">
        <v>26</v>
      </c>
      <c r="H65" s="11" t="s">
        <v>27</v>
      </c>
      <c r="I65" s="12">
        <v>1</v>
      </c>
      <c r="J65" s="12" t="s">
        <v>42</v>
      </c>
      <c r="K65" s="11">
        <v>0</v>
      </c>
      <c r="L65" s="11">
        <v>0</v>
      </c>
    </row>
    <row r="66" spans="1:13" x14ac:dyDescent="0.2">
      <c r="B66" s="10" t="str">
        <f t="shared" si="6"/>
        <v>0x3443</v>
      </c>
      <c r="C66" s="10" t="str">
        <f t="shared" si="6"/>
        <v>0x3444</v>
      </c>
      <c r="D66" s="10">
        <f t="shared" si="8"/>
        <v>13379</v>
      </c>
      <c r="E66" s="10">
        <f t="shared" si="7"/>
        <v>13380</v>
      </c>
      <c r="F66" s="11" t="s">
        <v>104</v>
      </c>
      <c r="G66" s="15" t="s">
        <v>33</v>
      </c>
      <c r="H66" s="16" t="s">
        <v>27</v>
      </c>
      <c r="I66" s="12">
        <v>2</v>
      </c>
      <c r="J66" s="16"/>
      <c r="K66" s="11">
        <v>999</v>
      </c>
      <c r="L66" s="11">
        <v>999</v>
      </c>
      <c r="M66" s="8" t="s">
        <v>34</v>
      </c>
    </row>
    <row r="67" spans="1:13" x14ac:dyDescent="0.2">
      <c r="B67" s="10" t="str">
        <f t="shared" si="6"/>
        <v>0x3445</v>
      </c>
      <c r="C67" s="10" t="str">
        <f t="shared" si="6"/>
        <v>0x3446</v>
      </c>
      <c r="D67" s="10">
        <f t="shared" si="8"/>
        <v>13381</v>
      </c>
      <c r="E67" s="10">
        <f t="shared" si="7"/>
        <v>13382</v>
      </c>
      <c r="F67" s="11" t="s">
        <v>105</v>
      </c>
      <c r="G67" s="15" t="s">
        <v>33</v>
      </c>
      <c r="H67" s="16" t="s">
        <v>27</v>
      </c>
      <c r="I67" s="12">
        <v>2</v>
      </c>
      <c r="J67" s="16"/>
      <c r="K67" s="11">
        <v>0</v>
      </c>
      <c r="L67" s="11">
        <v>0</v>
      </c>
      <c r="M67" s="8" t="s">
        <v>34</v>
      </c>
    </row>
    <row r="68" spans="1:13" x14ac:dyDescent="0.2">
      <c r="B68" s="10" t="str">
        <f t="shared" si="6"/>
        <v>0x3447</v>
      </c>
      <c r="C68" s="10" t="str">
        <f t="shared" si="6"/>
        <v>0x3447</v>
      </c>
      <c r="D68" s="10">
        <f t="shared" si="8"/>
        <v>13383</v>
      </c>
      <c r="E68" s="10">
        <f t="shared" si="7"/>
        <v>13383</v>
      </c>
      <c r="F68" s="11" t="s">
        <v>106</v>
      </c>
      <c r="G68" s="12" t="s">
        <v>107</v>
      </c>
      <c r="H68" s="11" t="s">
        <v>27</v>
      </c>
      <c r="I68" s="12">
        <v>1</v>
      </c>
      <c r="J68" s="12" t="s">
        <v>36</v>
      </c>
      <c r="K68" s="11">
        <v>1</v>
      </c>
      <c r="L68" s="11">
        <v>1</v>
      </c>
    </row>
    <row r="69" spans="1:13" ht="31.5" x14ac:dyDescent="0.2">
      <c r="B69" s="10" t="str">
        <f t="shared" si="6"/>
        <v>0x3448</v>
      </c>
      <c r="C69" s="10" t="str">
        <f t="shared" si="6"/>
        <v>0x344F</v>
      </c>
      <c r="D69" s="10">
        <f t="shared" si="8"/>
        <v>13384</v>
      </c>
      <c r="E69" s="10">
        <f t="shared" si="7"/>
        <v>13391</v>
      </c>
      <c r="F69" s="12" t="s">
        <v>108</v>
      </c>
      <c r="G69" s="15" t="s">
        <v>39</v>
      </c>
      <c r="H69" s="11" t="s">
        <v>27</v>
      </c>
      <c r="I69" s="12">
        <v>8</v>
      </c>
      <c r="J69" s="14" t="s">
        <v>88</v>
      </c>
      <c r="K69" s="11">
        <v>1</v>
      </c>
      <c r="L69" s="11">
        <v>1</v>
      </c>
      <c r="M69" s="18" t="s">
        <v>34</v>
      </c>
    </row>
    <row r="70" spans="1:13" ht="47.25" x14ac:dyDescent="0.2">
      <c r="B70" s="10" t="str">
        <f t="shared" si="6"/>
        <v>0x3450</v>
      </c>
      <c r="C70" s="10" t="str">
        <f t="shared" si="6"/>
        <v>0x3457</v>
      </c>
      <c r="D70" s="10">
        <f t="shared" si="8"/>
        <v>13392</v>
      </c>
      <c r="E70" s="10">
        <f t="shared" si="7"/>
        <v>13399</v>
      </c>
      <c r="F70" s="12" t="s">
        <v>109</v>
      </c>
      <c r="G70" s="15" t="s">
        <v>33</v>
      </c>
      <c r="H70" s="11" t="s">
        <v>27</v>
      </c>
      <c r="I70" s="12">
        <v>8</v>
      </c>
      <c r="J70" s="14" t="s">
        <v>90</v>
      </c>
      <c r="K70" s="11">
        <v>1</v>
      </c>
      <c r="L70" s="11">
        <v>1</v>
      </c>
      <c r="M70" s="8" t="s">
        <v>34</v>
      </c>
    </row>
    <row r="71" spans="1:13" x14ac:dyDescent="0.2">
      <c r="A71" s="20"/>
      <c r="B71" s="10"/>
      <c r="C71" s="10"/>
      <c r="F71" s="11"/>
      <c r="G71" s="16"/>
      <c r="H71" s="11"/>
      <c r="I71" s="12">
        <f>SUM(I47:I70)</f>
        <v>88</v>
      </c>
      <c r="J71" s="21"/>
      <c r="K71" s="11"/>
      <c r="L71" s="11"/>
    </row>
    <row r="72" spans="1:13" x14ac:dyDescent="0.2">
      <c r="B72" s="10"/>
      <c r="C72" s="10"/>
      <c r="D72" s="22"/>
      <c r="E72" s="22"/>
      <c r="F72" s="23"/>
      <c r="G72" s="16"/>
      <c r="H72" s="24"/>
      <c r="I72" s="24"/>
      <c r="K72" s="10"/>
      <c r="L72" s="10"/>
    </row>
    <row r="73" spans="1:13" x14ac:dyDescent="0.2">
      <c r="A73" s="23"/>
      <c r="B73" s="10"/>
      <c r="C73" s="10"/>
      <c r="D73" s="22"/>
      <c r="E73" s="22"/>
      <c r="F73" s="23"/>
      <c r="G73" s="16"/>
      <c r="H73" s="24"/>
      <c r="I73" s="24"/>
      <c r="K73" s="10"/>
      <c r="L73" s="10"/>
    </row>
    <row r="74" spans="1:13" x14ac:dyDescent="0.2">
      <c r="A74" s="23"/>
      <c r="B74" s="10"/>
      <c r="C74" s="10"/>
      <c r="D74" s="22"/>
      <c r="E74" s="22"/>
      <c r="F74" s="23"/>
      <c r="G74" s="16"/>
      <c r="H74" s="24"/>
      <c r="I74" s="24"/>
      <c r="K74" s="10"/>
      <c r="L74" s="10"/>
    </row>
    <row r="75" spans="1:13" x14ac:dyDescent="0.2">
      <c r="A75" s="23"/>
      <c r="B75" s="10"/>
      <c r="C75" s="10"/>
      <c r="D75" s="22"/>
      <c r="E75" s="22"/>
      <c r="F75" s="23"/>
      <c r="G75" s="16"/>
      <c r="H75" s="24"/>
      <c r="I75" s="24"/>
      <c r="K75" s="10"/>
      <c r="L75" s="10"/>
    </row>
    <row r="76" spans="1:13" x14ac:dyDescent="0.2">
      <c r="A76" s="23"/>
      <c r="B76" s="10"/>
      <c r="C76" s="10"/>
      <c r="D76" s="22"/>
      <c r="E76" s="22"/>
      <c r="F76" s="23"/>
      <c r="G76" s="16"/>
      <c r="H76" s="24"/>
      <c r="I76" s="24"/>
      <c r="K76" s="10"/>
      <c r="L76" s="10"/>
    </row>
    <row r="77" spans="1:13" x14ac:dyDescent="0.2">
      <c r="A77" s="23"/>
      <c r="B77" s="10"/>
      <c r="C77" s="10"/>
      <c r="D77" s="22"/>
      <c r="E77" s="22"/>
      <c r="F77" s="23"/>
      <c r="G77" s="16"/>
      <c r="H77" s="24"/>
      <c r="I77" s="24"/>
      <c r="K77" s="10"/>
      <c r="L77" s="10"/>
    </row>
    <row r="78" spans="1:13" x14ac:dyDescent="0.2">
      <c r="A78" s="23"/>
      <c r="B78" s="10"/>
      <c r="C78" s="10"/>
      <c r="D78" s="22"/>
      <c r="E78" s="22"/>
      <c r="F78" s="23"/>
      <c r="G78" s="16"/>
      <c r="H78" s="24"/>
      <c r="I78" s="24"/>
      <c r="K78" s="10"/>
      <c r="L78" s="10"/>
    </row>
    <row r="79" spans="1:13" x14ac:dyDescent="0.2">
      <c r="A79" s="23"/>
      <c r="B79" s="10"/>
      <c r="C79" s="10"/>
      <c r="D79" s="22"/>
      <c r="E79" s="22"/>
      <c r="F79" s="23"/>
      <c r="G79" s="16"/>
      <c r="H79" s="24"/>
      <c r="I79" s="24"/>
      <c r="K79" s="10"/>
      <c r="L79" s="10"/>
    </row>
    <row r="80" spans="1:13" x14ac:dyDescent="0.2">
      <c r="A80" s="23"/>
      <c r="B80" s="10"/>
      <c r="C80" s="10"/>
      <c r="D80" s="22"/>
      <c r="E80" s="22"/>
      <c r="F80" s="23"/>
      <c r="G80" s="16"/>
      <c r="H80" s="24"/>
      <c r="I80" s="24"/>
      <c r="K80" s="10"/>
      <c r="L80" s="10"/>
    </row>
    <row r="81" spans="1:12" x14ac:dyDescent="0.2">
      <c r="A81" s="23"/>
      <c r="B81" s="10"/>
      <c r="C81" s="10"/>
      <c r="D81" s="22"/>
      <c r="E81" s="22"/>
      <c r="F81" s="23"/>
      <c r="G81" s="16"/>
      <c r="H81" s="24"/>
      <c r="I81" s="24"/>
      <c r="K81" s="10"/>
      <c r="L81" s="10"/>
    </row>
    <row r="82" spans="1:12" x14ac:dyDescent="0.2">
      <c r="A82" s="23"/>
      <c r="B82" s="10"/>
      <c r="C82" s="10"/>
      <c r="D82" s="22"/>
      <c r="E82" s="22"/>
      <c r="F82" s="23"/>
      <c r="G82" s="16"/>
      <c r="H82" s="24"/>
      <c r="I82" s="24"/>
      <c r="K82" s="10"/>
      <c r="L82" s="10"/>
    </row>
    <row r="83" spans="1:12" x14ac:dyDescent="0.2">
      <c r="B83" s="10"/>
      <c r="C83" s="10"/>
      <c r="D83" s="22"/>
      <c r="E83" s="22"/>
      <c r="F83" s="23"/>
      <c r="G83" s="16"/>
      <c r="H83" s="24"/>
      <c r="I83" s="24"/>
      <c r="K83" s="10"/>
      <c r="L83" s="10"/>
    </row>
    <row r="84" spans="1:12" x14ac:dyDescent="0.2">
      <c r="B84" s="10"/>
      <c r="C84" s="10"/>
      <c r="D84" s="22"/>
      <c r="E84" s="22"/>
      <c r="F84" s="23"/>
      <c r="G84" s="16"/>
      <c r="H84" s="24"/>
      <c r="I84" s="24"/>
      <c r="K84" s="10"/>
      <c r="L84" s="10"/>
    </row>
    <row r="85" spans="1:12" x14ac:dyDescent="0.2">
      <c r="B85" s="10"/>
      <c r="C85" s="10"/>
      <c r="D85" s="22"/>
      <c r="E85" s="22"/>
      <c r="F85" s="23"/>
      <c r="G85" s="16"/>
      <c r="H85" s="24"/>
      <c r="I85" s="24"/>
      <c r="K85" s="10"/>
      <c r="L85" s="10"/>
    </row>
    <row r="86" spans="1:12" x14ac:dyDescent="0.2">
      <c r="B86" s="10"/>
      <c r="C86" s="10"/>
      <c r="D86" s="22"/>
      <c r="E86" s="22"/>
      <c r="F86" s="23"/>
      <c r="G86" s="16"/>
      <c r="H86" s="24"/>
      <c r="I86" s="24"/>
      <c r="K86" s="10"/>
      <c r="L86" s="10"/>
    </row>
    <row r="87" spans="1:12" x14ac:dyDescent="0.2">
      <c r="B87" s="10"/>
      <c r="C87" s="10"/>
      <c r="D87" s="22"/>
      <c r="E87" s="22"/>
      <c r="F87" s="23"/>
      <c r="G87" s="16"/>
      <c r="H87" s="24"/>
      <c r="I87" s="24"/>
      <c r="K87" s="10"/>
      <c r="L87" s="10"/>
    </row>
    <row r="88" spans="1:12" x14ac:dyDescent="0.2">
      <c r="B88" s="10"/>
      <c r="C88" s="10"/>
      <c r="D88" s="22"/>
      <c r="E88" s="22"/>
      <c r="F88" s="23"/>
      <c r="G88" s="16"/>
      <c r="H88" s="24"/>
      <c r="I88" s="24"/>
      <c r="K88" s="10"/>
      <c r="L88" s="10"/>
    </row>
    <row r="89" spans="1:12" x14ac:dyDescent="0.2">
      <c r="B89" s="10"/>
      <c r="C89" s="10"/>
      <c r="D89" s="22"/>
      <c r="E89" s="22"/>
      <c r="F89" s="23"/>
      <c r="G89" s="16"/>
      <c r="H89" s="24"/>
      <c r="I89" s="24"/>
      <c r="K89" s="10"/>
      <c r="L89" s="10"/>
    </row>
    <row r="90" spans="1:12" x14ac:dyDescent="0.2">
      <c r="B90" s="10"/>
      <c r="C90" s="10"/>
      <c r="D90" s="22"/>
      <c r="E90" s="22"/>
      <c r="F90" s="23"/>
      <c r="G90" s="16"/>
      <c r="H90" s="24"/>
      <c r="I90" s="24"/>
      <c r="K90" s="10"/>
      <c r="L90" s="10"/>
    </row>
    <row r="91" spans="1:12" x14ac:dyDescent="0.2">
      <c r="B91" s="10"/>
      <c r="C91" s="10"/>
      <c r="D91" s="22"/>
      <c r="E91" s="22"/>
      <c r="F91" s="23"/>
      <c r="G91" s="16"/>
      <c r="H91" s="24"/>
      <c r="I91" s="24"/>
      <c r="K91" s="10"/>
      <c r="L91" s="10"/>
    </row>
    <row r="92" spans="1:12" x14ac:dyDescent="0.2">
      <c r="B92" s="10"/>
      <c r="C92" s="10"/>
      <c r="D92" s="22"/>
      <c r="E92" s="22"/>
      <c r="F92" s="23"/>
      <c r="G92" s="16"/>
      <c r="H92" s="24"/>
      <c r="I92" s="24"/>
      <c r="K92" s="10"/>
      <c r="L92" s="10"/>
    </row>
    <row r="93" spans="1:12" x14ac:dyDescent="0.2">
      <c r="B93" s="10"/>
      <c r="C93" s="10"/>
      <c r="D93" s="22"/>
      <c r="E93" s="22"/>
      <c r="F93" s="23"/>
      <c r="G93" s="16"/>
      <c r="H93" s="24"/>
      <c r="I93" s="24"/>
      <c r="K93" s="10"/>
      <c r="L93" s="10"/>
    </row>
    <row r="94" spans="1:12" x14ac:dyDescent="0.2">
      <c r="B94" s="10"/>
      <c r="C94" s="10"/>
      <c r="D94" s="22"/>
      <c r="E94" s="22"/>
      <c r="F94" s="23"/>
      <c r="G94" s="16"/>
      <c r="H94" s="24"/>
      <c r="I94" s="24"/>
      <c r="K94" s="10"/>
      <c r="L94" s="10"/>
    </row>
    <row r="95" spans="1:12" x14ac:dyDescent="0.2">
      <c r="B95" s="10"/>
      <c r="C95" s="10"/>
      <c r="D95" s="22"/>
      <c r="E95" s="22"/>
      <c r="F95" s="23"/>
      <c r="G95" s="16"/>
      <c r="H95" s="24"/>
      <c r="I95" s="24"/>
      <c r="K95" s="10"/>
      <c r="L95" s="10"/>
    </row>
    <row r="96" spans="1:12" x14ac:dyDescent="0.2">
      <c r="B96" s="10"/>
      <c r="C96" s="10"/>
      <c r="D96" s="22"/>
      <c r="E96" s="22"/>
      <c r="F96" s="23"/>
      <c r="G96" s="16"/>
      <c r="H96" s="24"/>
      <c r="I96" s="24"/>
      <c r="K96" s="10"/>
      <c r="L96" s="10"/>
    </row>
    <row r="97" spans="1:12" x14ac:dyDescent="0.2">
      <c r="B97" s="10"/>
      <c r="C97" s="10"/>
      <c r="D97" s="22"/>
      <c r="E97" s="22"/>
      <c r="F97" s="23"/>
      <c r="G97" s="16"/>
      <c r="H97" s="24"/>
      <c r="I97" s="24"/>
      <c r="K97" s="10"/>
      <c r="L97" s="10"/>
    </row>
    <row r="98" spans="1:12" x14ac:dyDescent="0.2">
      <c r="B98" s="10"/>
      <c r="C98" s="10"/>
      <c r="D98" s="22"/>
      <c r="E98" s="22"/>
      <c r="F98" s="23"/>
      <c r="G98" s="16"/>
      <c r="H98" s="24"/>
      <c r="I98" s="24"/>
      <c r="K98" s="10"/>
      <c r="L98" s="10"/>
    </row>
    <row r="99" spans="1:12" x14ac:dyDescent="0.2">
      <c r="B99" s="10"/>
      <c r="C99" s="10"/>
      <c r="D99" s="22"/>
      <c r="E99" s="22"/>
      <c r="F99" s="23"/>
      <c r="G99" s="16"/>
      <c r="H99" s="24"/>
      <c r="I99" s="24"/>
      <c r="K99" s="10"/>
      <c r="L99" s="10"/>
    </row>
    <row r="100" spans="1:12" x14ac:dyDescent="0.2">
      <c r="B100" s="10"/>
      <c r="C100" s="10"/>
      <c r="D100" s="22"/>
      <c r="E100" s="22"/>
      <c r="F100" s="23"/>
      <c r="G100" s="16"/>
      <c r="H100" s="24"/>
      <c r="I100" s="24"/>
      <c r="K100" s="10"/>
      <c r="L100" s="10"/>
    </row>
    <row r="101" spans="1:12" x14ac:dyDescent="0.2">
      <c r="B101" s="10"/>
      <c r="C101" s="10"/>
      <c r="D101" s="22"/>
      <c r="E101" s="22"/>
      <c r="F101" s="23"/>
      <c r="G101" s="16"/>
      <c r="H101" s="24"/>
      <c r="I101" s="24"/>
      <c r="K101" s="10"/>
      <c r="L101" s="10"/>
    </row>
    <row r="102" spans="1:12" x14ac:dyDescent="0.2">
      <c r="B102" s="10"/>
      <c r="C102" s="10"/>
      <c r="D102" s="22"/>
      <c r="E102" s="22"/>
      <c r="F102" s="23"/>
      <c r="G102" s="16"/>
      <c r="H102" s="24"/>
      <c r="I102" s="24"/>
      <c r="K102" s="10"/>
      <c r="L102" s="10"/>
    </row>
    <row r="103" spans="1:12" x14ac:dyDescent="0.2">
      <c r="B103" s="10"/>
      <c r="C103" s="10"/>
      <c r="D103" s="22"/>
      <c r="E103" s="22"/>
      <c r="F103" s="23"/>
      <c r="G103" s="16"/>
      <c r="H103" s="24"/>
      <c r="I103" s="24"/>
      <c r="K103" s="10"/>
      <c r="L103" s="10"/>
    </row>
    <row r="104" spans="1:12" x14ac:dyDescent="0.2">
      <c r="B104" s="10"/>
      <c r="C104" s="10"/>
      <c r="D104" s="22"/>
      <c r="E104" s="22"/>
      <c r="F104" s="23"/>
      <c r="G104" s="16"/>
      <c r="H104" s="24"/>
      <c r="I104" s="24"/>
      <c r="K104" s="10"/>
      <c r="L104" s="10"/>
    </row>
    <row r="105" spans="1:12" x14ac:dyDescent="0.2">
      <c r="B105" s="10"/>
      <c r="C105" s="10"/>
      <c r="D105" s="22"/>
      <c r="E105" s="22"/>
      <c r="F105" s="23"/>
      <c r="G105" s="16"/>
      <c r="H105" s="24"/>
      <c r="I105" s="24"/>
      <c r="K105" s="10"/>
      <c r="L105" s="10"/>
    </row>
    <row r="106" spans="1:12" x14ac:dyDescent="0.2">
      <c r="B106" s="10"/>
      <c r="C106" s="10"/>
      <c r="D106" s="22"/>
      <c r="E106" s="22"/>
      <c r="F106" s="23"/>
      <c r="G106" s="16"/>
      <c r="H106" s="20"/>
      <c r="I106" s="24"/>
      <c r="K106" s="10"/>
      <c r="L106" s="10"/>
    </row>
    <row r="107" spans="1:12" x14ac:dyDescent="0.2">
      <c r="B107" s="10"/>
      <c r="C107" s="10"/>
      <c r="D107" s="22"/>
      <c r="E107" s="22"/>
      <c r="F107" s="23"/>
      <c r="G107" s="16"/>
      <c r="H107" s="20"/>
      <c r="I107" s="24"/>
      <c r="K107" s="10"/>
      <c r="L107" s="10"/>
    </row>
    <row r="108" spans="1:12" x14ac:dyDescent="0.2">
      <c r="B108" s="10"/>
      <c r="C108" s="10"/>
      <c r="D108" s="22"/>
      <c r="E108" s="22"/>
      <c r="F108" s="23"/>
      <c r="G108" s="16"/>
      <c r="H108" s="20"/>
      <c r="I108" s="24"/>
      <c r="K108" s="10"/>
      <c r="L108" s="10"/>
    </row>
    <row r="109" spans="1:12" x14ac:dyDescent="0.2">
      <c r="B109" s="10"/>
      <c r="C109" s="10"/>
      <c r="D109" s="22"/>
      <c r="E109" s="22"/>
      <c r="F109" s="23"/>
      <c r="G109" s="16"/>
      <c r="H109" s="20"/>
      <c r="I109" s="24"/>
      <c r="K109" s="10"/>
      <c r="L109" s="10"/>
    </row>
    <row r="110" spans="1:12" x14ac:dyDescent="0.2">
      <c r="B110" s="10"/>
      <c r="C110" s="10"/>
      <c r="D110" s="22"/>
      <c r="E110" s="22"/>
      <c r="F110" s="23"/>
      <c r="G110" s="16"/>
      <c r="H110" s="24"/>
      <c r="I110" s="24"/>
      <c r="K110" s="10"/>
      <c r="L110" s="10"/>
    </row>
    <row r="111" spans="1:12" x14ac:dyDescent="0.2">
      <c r="A111" s="20"/>
      <c r="B111" s="10"/>
      <c r="C111" s="10"/>
      <c r="D111" s="22"/>
      <c r="E111" s="22"/>
      <c r="F111" s="23"/>
      <c r="G111" s="16"/>
      <c r="H111" s="20"/>
      <c r="I111" s="24"/>
      <c r="K111" s="10"/>
      <c r="L111" s="10"/>
    </row>
    <row r="112" spans="1:12" x14ac:dyDescent="0.2">
      <c r="B112" s="10"/>
      <c r="C112" s="10"/>
      <c r="D112" s="22"/>
      <c r="E112" s="22"/>
      <c r="F112" s="23"/>
      <c r="G112" s="16"/>
      <c r="H112" s="20"/>
      <c r="I112" s="24"/>
      <c r="K112" s="10"/>
      <c r="L112" s="10"/>
    </row>
    <row r="113" spans="2:12" x14ac:dyDescent="0.2">
      <c r="B113" s="10"/>
      <c r="C113" s="10"/>
      <c r="D113" s="22"/>
      <c r="E113" s="22"/>
      <c r="F113" s="23"/>
      <c r="G113" s="16"/>
      <c r="H113" s="20"/>
      <c r="I113" s="24"/>
      <c r="K113" s="10"/>
      <c r="L113" s="10"/>
    </row>
    <row r="114" spans="2:12" x14ac:dyDescent="0.2">
      <c r="B114" s="10"/>
      <c r="C114" s="10"/>
      <c r="D114" s="22"/>
      <c r="E114" s="22"/>
      <c r="F114" s="23"/>
      <c r="G114" s="16"/>
      <c r="H114" s="20"/>
      <c r="I114" s="24"/>
      <c r="K114" s="10"/>
      <c r="L114" s="1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56D7-4D0D-4BC0-97DC-8DABEFEBA692}">
  <dimension ref="A1:N46"/>
  <sheetViews>
    <sheetView workbookViewId="0">
      <selection activeCell="F37" sqref="F37"/>
    </sheetView>
  </sheetViews>
  <sheetFormatPr defaultColWidth="9" defaultRowHeight="15.75" x14ac:dyDescent="0.2"/>
  <cols>
    <col min="1" max="1" width="40" style="31" customWidth="1"/>
    <col min="2" max="2" width="10.25" style="30" bestFit="1" customWidth="1"/>
    <col min="3" max="3" width="9.625" style="30" bestFit="1" customWidth="1"/>
    <col min="4" max="4" width="10.625" style="26" bestFit="1" customWidth="1"/>
    <col min="5" max="5" width="10" style="26" bestFit="1" customWidth="1"/>
    <col min="6" max="6" width="36.625" style="30" bestFit="1" customWidth="1"/>
    <col min="7" max="7" width="10.5" style="30" bestFit="1" customWidth="1"/>
    <col min="8" max="8" width="4.375" style="38" bestFit="1" customWidth="1"/>
    <col min="9" max="9" width="5" style="38" bestFit="1" customWidth="1"/>
    <col min="10" max="10" width="7.375" style="30" bestFit="1" customWidth="1"/>
    <col min="11" max="11" width="8.125" style="30" bestFit="1" customWidth="1"/>
    <col min="12" max="12" width="14.375" style="30" bestFit="1" customWidth="1"/>
    <col min="13" max="13" width="17.625" style="30" customWidth="1"/>
    <col min="14" max="16384" width="9" style="30"/>
  </cols>
  <sheetData>
    <row r="1" spans="1:14" s="46" customFormat="1" ht="14.25" x14ac:dyDescent="0.2">
      <c r="A1" s="47" t="s">
        <v>13</v>
      </c>
      <c r="B1" s="48" t="s">
        <v>14</v>
      </c>
      <c r="C1" s="48" t="s">
        <v>15</v>
      </c>
      <c r="D1" s="49" t="s">
        <v>16</v>
      </c>
      <c r="E1" s="49" t="s">
        <v>17</v>
      </c>
      <c r="F1" s="48" t="s">
        <v>158</v>
      </c>
      <c r="G1" s="48" t="s">
        <v>18</v>
      </c>
      <c r="H1" s="50" t="s">
        <v>19</v>
      </c>
      <c r="I1" s="50" t="s">
        <v>20</v>
      </c>
      <c r="J1" s="48" t="s">
        <v>21</v>
      </c>
      <c r="K1" s="48" t="s">
        <v>22</v>
      </c>
      <c r="L1" s="48" t="s">
        <v>23</v>
      </c>
      <c r="M1" s="45"/>
      <c r="N1" s="45"/>
    </row>
    <row r="2" spans="1:14" x14ac:dyDescent="0.2">
      <c r="A2" s="25" t="s">
        <v>110</v>
      </c>
      <c r="B2" s="26"/>
      <c r="C2" s="26"/>
      <c r="F2" s="27"/>
      <c r="G2" s="28"/>
      <c r="H2" s="35"/>
      <c r="I2" s="39"/>
      <c r="J2" s="29"/>
      <c r="K2" s="27"/>
      <c r="L2" s="27"/>
    </row>
    <row r="3" spans="1:14" ht="24.95" customHeight="1" x14ac:dyDescent="0.2">
      <c r="B3" s="26" t="str">
        <f t="shared" ref="B3:C18" si="0">"0x"&amp;DEC2HEX(D3,4)</f>
        <v>0x3500</v>
      </c>
      <c r="C3" s="26" t="str">
        <f t="shared" si="0"/>
        <v>0x3501</v>
      </c>
      <c r="D3" s="32">
        <v>13568</v>
      </c>
      <c r="E3" s="32">
        <f t="shared" ref="E3:E18" si="1">D3+I3-1</f>
        <v>13569</v>
      </c>
      <c r="F3" s="33" t="s">
        <v>111</v>
      </c>
      <c r="G3" s="28" t="s">
        <v>112</v>
      </c>
      <c r="H3" s="36" t="s">
        <v>113</v>
      </c>
      <c r="I3" s="36">
        <v>2</v>
      </c>
      <c r="K3" s="26">
        <v>0</v>
      </c>
      <c r="L3" s="26">
        <v>0</v>
      </c>
    </row>
    <row r="4" spans="1:14" ht="24.95" customHeight="1" x14ac:dyDescent="0.2">
      <c r="A4" s="33"/>
      <c r="B4" s="26" t="str">
        <f t="shared" si="0"/>
        <v>0x3502</v>
      </c>
      <c r="C4" s="26" t="str">
        <f t="shared" si="0"/>
        <v>0x3503</v>
      </c>
      <c r="D4" s="32">
        <f t="shared" ref="D4:D18" si="2">E3+1</f>
        <v>13570</v>
      </c>
      <c r="E4" s="32">
        <f t="shared" si="1"/>
        <v>13571</v>
      </c>
      <c r="F4" s="33" t="s">
        <v>114</v>
      </c>
      <c r="G4" s="28" t="s">
        <v>112</v>
      </c>
      <c r="H4" s="36" t="s">
        <v>113</v>
      </c>
      <c r="I4" s="36">
        <v>2</v>
      </c>
      <c r="K4" s="26">
        <v>0</v>
      </c>
      <c r="L4" s="26">
        <v>0</v>
      </c>
    </row>
    <row r="5" spans="1:14" ht="24.95" customHeight="1" x14ac:dyDescent="0.2">
      <c r="A5" s="33"/>
      <c r="B5" s="26" t="str">
        <f t="shared" si="0"/>
        <v>0x3504</v>
      </c>
      <c r="C5" s="26" t="str">
        <f t="shared" si="0"/>
        <v>0x3505</v>
      </c>
      <c r="D5" s="32">
        <f t="shared" si="2"/>
        <v>13572</v>
      </c>
      <c r="E5" s="32">
        <f t="shared" si="1"/>
        <v>13573</v>
      </c>
      <c r="F5" s="33" t="s">
        <v>115</v>
      </c>
      <c r="G5" s="28" t="s">
        <v>112</v>
      </c>
      <c r="H5" s="36" t="s">
        <v>113</v>
      </c>
      <c r="I5" s="36">
        <v>2</v>
      </c>
      <c r="K5" s="26">
        <v>0</v>
      </c>
      <c r="L5" s="26">
        <v>0</v>
      </c>
    </row>
    <row r="6" spans="1:14" ht="24.95" customHeight="1" x14ac:dyDescent="0.2">
      <c r="A6" s="33"/>
      <c r="B6" s="26" t="str">
        <f t="shared" si="0"/>
        <v>0x3506</v>
      </c>
      <c r="C6" s="26" t="str">
        <f t="shared" si="0"/>
        <v>0x3507</v>
      </c>
      <c r="D6" s="32">
        <f t="shared" si="2"/>
        <v>13574</v>
      </c>
      <c r="E6" s="32">
        <f t="shared" si="1"/>
        <v>13575</v>
      </c>
      <c r="F6" s="33" t="s">
        <v>116</v>
      </c>
      <c r="G6" s="28" t="s">
        <v>112</v>
      </c>
      <c r="H6" s="36" t="s">
        <v>113</v>
      </c>
      <c r="I6" s="36">
        <v>2</v>
      </c>
      <c r="K6" s="26">
        <v>0</v>
      </c>
      <c r="L6" s="26">
        <v>0</v>
      </c>
    </row>
    <row r="7" spans="1:14" ht="24.95" customHeight="1" x14ac:dyDescent="0.2">
      <c r="A7" s="33"/>
      <c r="B7" s="26" t="str">
        <f t="shared" si="0"/>
        <v>0x3508</v>
      </c>
      <c r="C7" s="26" t="str">
        <f t="shared" si="0"/>
        <v>0x3509</v>
      </c>
      <c r="D7" s="32">
        <f t="shared" si="2"/>
        <v>13576</v>
      </c>
      <c r="E7" s="32">
        <f t="shared" si="1"/>
        <v>13577</v>
      </c>
      <c r="F7" s="33" t="s">
        <v>117</v>
      </c>
      <c r="G7" s="28" t="s">
        <v>112</v>
      </c>
      <c r="H7" s="36" t="s">
        <v>113</v>
      </c>
      <c r="I7" s="36">
        <v>2</v>
      </c>
      <c r="K7" s="26">
        <v>0</v>
      </c>
      <c r="L7" s="26">
        <v>0</v>
      </c>
    </row>
    <row r="8" spans="1:14" ht="24.95" customHeight="1" x14ac:dyDescent="0.2">
      <c r="A8" s="33"/>
      <c r="B8" s="26" t="str">
        <f t="shared" si="0"/>
        <v>0x350A</v>
      </c>
      <c r="C8" s="26" t="str">
        <f t="shared" si="0"/>
        <v>0x350B</v>
      </c>
      <c r="D8" s="32">
        <f t="shared" si="2"/>
        <v>13578</v>
      </c>
      <c r="E8" s="32">
        <f t="shared" si="1"/>
        <v>13579</v>
      </c>
      <c r="F8" s="33" t="s">
        <v>118</v>
      </c>
      <c r="G8" s="28" t="s">
        <v>112</v>
      </c>
      <c r="H8" s="36" t="s">
        <v>113</v>
      </c>
      <c r="I8" s="36">
        <v>2</v>
      </c>
      <c r="K8" s="26">
        <v>0</v>
      </c>
      <c r="L8" s="26">
        <v>0</v>
      </c>
    </row>
    <row r="9" spans="1:14" ht="24.95" customHeight="1" x14ac:dyDescent="0.2">
      <c r="A9" s="33"/>
      <c r="B9" s="26" t="str">
        <f t="shared" si="0"/>
        <v>0x350C</v>
      </c>
      <c r="C9" s="26" t="str">
        <f t="shared" si="0"/>
        <v>0x350D</v>
      </c>
      <c r="D9" s="32">
        <f t="shared" si="2"/>
        <v>13580</v>
      </c>
      <c r="E9" s="32">
        <f t="shared" si="1"/>
        <v>13581</v>
      </c>
      <c r="F9" s="33" t="s">
        <v>119</v>
      </c>
      <c r="G9" s="28" t="s">
        <v>112</v>
      </c>
      <c r="H9" s="36" t="s">
        <v>113</v>
      </c>
      <c r="I9" s="36">
        <v>2</v>
      </c>
      <c r="K9" s="26">
        <v>0</v>
      </c>
      <c r="L9" s="26">
        <v>0</v>
      </c>
    </row>
    <row r="10" spans="1:14" ht="24.95" customHeight="1" x14ac:dyDescent="0.2">
      <c r="A10" s="33"/>
      <c r="B10" s="26" t="str">
        <f t="shared" si="0"/>
        <v>0x350E</v>
      </c>
      <c r="C10" s="26" t="str">
        <f t="shared" si="0"/>
        <v>0x350F</v>
      </c>
      <c r="D10" s="32">
        <f t="shared" si="2"/>
        <v>13582</v>
      </c>
      <c r="E10" s="32">
        <f t="shared" si="1"/>
        <v>13583</v>
      </c>
      <c r="F10" s="33" t="s">
        <v>120</v>
      </c>
      <c r="G10" s="28" t="s">
        <v>112</v>
      </c>
      <c r="H10" s="36" t="s">
        <v>113</v>
      </c>
      <c r="I10" s="36">
        <v>2</v>
      </c>
      <c r="K10" s="26">
        <v>0</v>
      </c>
      <c r="L10" s="26">
        <v>0</v>
      </c>
    </row>
    <row r="11" spans="1:14" ht="24.95" customHeight="1" x14ac:dyDescent="0.2">
      <c r="A11" s="33"/>
      <c r="B11" s="26" t="str">
        <f t="shared" si="0"/>
        <v>0x3510</v>
      </c>
      <c r="C11" s="26" t="str">
        <f t="shared" si="0"/>
        <v>0x3511</v>
      </c>
      <c r="D11" s="32">
        <f t="shared" si="2"/>
        <v>13584</v>
      </c>
      <c r="E11" s="32">
        <f t="shared" si="1"/>
        <v>13585</v>
      </c>
      <c r="F11" s="33" t="s">
        <v>121</v>
      </c>
      <c r="G11" s="28" t="s">
        <v>112</v>
      </c>
      <c r="H11" s="36" t="s">
        <v>113</v>
      </c>
      <c r="I11" s="36">
        <v>2</v>
      </c>
      <c r="K11" s="26">
        <v>0</v>
      </c>
      <c r="L11" s="26">
        <v>0</v>
      </c>
    </row>
    <row r="12" spans="1:14" ht="24.95" customHeight="1" x14ac:dyDescent="0.2">
      <c r="A12" s="33"/>
      <c r="B12" s="26" t="str">
        <f t="shared" si="0"/>
        <v>0x3512</v>
      </c>
      <c r="C12" s="26" t="str">
        <f t="shared" si="0"/>
        <v>0x3513</v>
      </c>
      <c r="D12" s="32">
        <f t="shared" si="2"/>
        <v>13586</v>
      </c>
      <c r="E12" s="32">
        <f t="shared" si="1"/>
        <v>13587</v>
      </c>
      <c r="F12" s="33" t="s">
        <v>122</v>
      </c>
      <c r="G12" s="28" t="s">
        <v>112</v>
      </c>
      <c r="H12" s="36" t="s">
        <v>113</v>
      </c>
      <c r="I12" s="36">
        <v>2</v>
      </c>
      <c r="K12" s="26">
        <v>0</v>
      </c>
      <c r="L12" s="26">
        <v>0</v>
      </c>
    </row>
    <row r="13" spans="1:14" ht="24.95" customHeight="1" x14ac:dyDescent="0.2">
      <c r="A13" s="33"/>
      <c r="B13" s="26" t="str">
        <f t="shared" si="0"/>
        <v>0x3514</v>
      </c>
      <c r="C13" s="26" t="str">
        <f t="shared" si="0"/>
        <v>0x3515</v>
      </c>
      <c r="D13" s="32">
        <f t="shared" si="2"/>
        <v>13588</v>
      </c>
      <c r="E13" s="32">
        <f t="shared" si="1"/>
        <v>13589</v>
      </c>
      <c r="F13" s="33" t="s">
        <v>123</v>
      </c>
      <c r="G13" s="28" t="s">
        <v>112</v>
      </c>
      <c r="H13" s="36" t="s">
        <v>113</v>
      </c>
      <c r="I13" s="36">
        <v>2</v>
      </c>
      <c r="K13" s="26">
        <v>0</v>
      </c>
      <c r="L13" s="26">
        <v>0</v>
      </c>
    </row>
    <row r="14" spans="1:14" ht="24.95" customHeight="1" x14ac:dyDescent="0.2">
      <c r="B14" s="26" t="str">
        <f t="shared" si="0"/>
        <v>0x3516</v>
      </c>
      <c r="C14" s="26" t="str">
        <f t="shared" si="0"/>
        <v>0x3517</v>
      </c>
      <c r="D14" s="32">
        <f t="shared" si="2"/>
        <v>13590</v>
      </c>
      <c r="E14" s="32">
        <f t="shared" si="1"/>
        <v>13591</v>
      </c>
      <c r="F14" s="33" t="s">
        <v>124</v>
      </c>
      <c r="G14" s="28" t="s">
        <v>112</v>
      </c>
      <c r="H14" s="36" t="s">
        <v>113</v>
      </c>
      <c r="I14" s="36">
        <v>2</v>
      </c>
      <c r="K14" s="26">
        <v>0</v>
      </c>
      <c r="L14" s="26">
        <v>0</v>
      </c>
    </row>
    <row r="15" spans="1:14" ht="24.95" customHeight="1" x14ac:dyDescent="0.2">
      <c r="B15" s="26" t="str">
        <f t="shared" si="0"/>
        <v>0x3518</v>
      </c>
      <c r="C15" s="26" t="str">
        <f t="shared" si="0"/>
        <v>0x3519</v>
      </c>
      <c r="D15" s="32">
        <f t="shared" si="2"/>
        <v>13592</v>
      </c>
      <c r="E15" s="32">
        <f t="shared" si="1"/>
        <v>13593</v>
      </c>
      <c r="F15" s="33" t="s">
        <v>125</v>
      </c>
      <c r="G15" s="28" t="s">
        <v>112</v>
      </c>
      <c r="H15" s="36" t="s">
        <v>113</v>
      </c>
      <c r="I15" s="36">
        <v>2</v>
      </c>
      <c r="K15" s="26">
        <v>0</v>
      </c>
      <c r="L15" s="26">
        <v>0</v>
      </c>
    </row>
    <row r="16" spans="1:14" ht="24.95" customHeight="1" x14ac:dyDescent="0.2">
      <c r="B16" s="26" t="str">
        <f t="shared" si="0"/>
        <v>0x351A</v>
      </c>
      <c r="C16" s="26" t="str">
        <f t="shared" si="0"/>
        <v>0x351B</v>
      </c>
      <c r="D16" s="32">
        <f t="shared" si="2"/>
        <v>13594</v>
      </c>
      <c r="E16" s="32">
        <f t="shared" si="1"/>
        <v>13595</v>
      </c>
      <c r="F16" s="33" t="s">
        <v>126</v>
      </c>
      <c r="G16" s="28" t="s">
        <v>112</v>
      </c>
      <c r="H16" s="36" t="s">
        <v>113</v>
      </c>
      <c r="I16" s="36">
        <v>2</v>
      </c>
      <c r="K16" s="26">
        <v>0</v>
      </c>
      <c r="L16" s="26">
        <v>0</v>
      </c>
    </row>
    <row r="17" spans="1:12" ht="24.95" customHeight="1" x14ac:dyDescent="0.2">
      <c r="B17" s="26" t="str">
        <f t="shared" si="0"/>
        <v>0x351C</v>
      </c>
      <c r="C17" s="26" t="str">
        <f t="shared" si="0"/>
        <v>0x351D</v>
      </c>
      <c r="D17" s="32">
        <f t="shared" si="2"/>
        <v>13596</v>
      </c>
      <c r="E17" s="32">
        <f t="shared" si="1"/>
        <v>13597</v>
      </c>
      <c r="F17" s="33" t="s">
        <v>127</v>
      </c>
      <c r="G17" s="28" t="s">
        <v>112</v>
      </c>
      <c r="H17" s="36" t="s">
        <v>113</v>
      </c>
      <c r="I17" s="36">
        <v>2</v>
      </c>
      <c r="K17" s="26">
        <v>0</v>
      </c>
      <c r="L17" s="26">
        <v>0</v>
      </c>
    </row>
    <row r="18" spans="1:12" ht="24.95" customHeight="1" x14ac:dyDescent="0.2">
      <c r="B18" s="26" t="str">
        <f t="shared" si="0"/>
        <v>0x351E</v>
      </c>
      <c r="C18" s="26" t="str">
        <f t="shared" si="0"/>
        <v>0x351F</v>
      </c>
      <c r="D18" s="32">
        <f t="shared" si="2"/>
        <v>13598</v>
      </c>
      <c r="E18" s="32">
        <f t="shared" si="1"/>
        <v>13599</v>
      </c>
      <c r="F18" s="33" t="s">
        <v>128</v>
      </c>
      <c r="G18" s="28" t="s">
        <v>112</v>
      </c>
      <c r="H18" s="36" t="s">
        <v>113</v>
      </c>
      <c r="I18" s="36">
        <v>2</v>
      </c>
      <c r="K18" s="26">
        <v>0</v>
      </c>
      <c r="L18" s="26">
        <v>0</v>
      </c>
    </row>
    <row r="19" spans="1:12" x14ac:dyDescent="0.2">
      <c r="B19" s="26"/>
      <c r="C19" s="26"/>
      <c r="D19" s="32"/>
      <c r="E19" s="32"/>
      <c r="F19" s="33"/>
      <c r="G19" s="28"/>
      <c r="H19" s="36"/>
      <c r="I19" s="36">
        <f>SUM(I3:I18)</f>
        <v>32</v>
      </c>
      <c r="K19" s="26"/>
      <c r="L19" s="26"/>
    </row>
    <row r="20" spans="1:12" ht="24.95" customHeight="1" x14ac:dyDescent="0.2">
      <c r="A20" s="25" t="s">
        <v>129</v>
      </c>
      <c r="B20" s="26" t="str">
        <f t="shared" ref="B20:C35" si="3">"0x"&amp;DEC2HEX(D20,4)</f>
        <v>0x3700</v>
      </c>
      <c r="C20" s="26" t="str">
        <f t="shared" si="3"/>
        <v>0x3701</v>
      </c>
      <c r="D20" s="32">
        <v>14080</v>
      </c>
      <c r="E20" s="32">
        <f t="shared" ref="E20:E35" si="4">D20+I20-1</f>
        <v>14081</v>
      </c>
      <c r="F20" s="33" t="s">
        <v>130</v>
      </c>
      <c r="G20" s="28" t="s">
        <v>112</v>
      </c>
      <c r="H20" s="36" t="s">
        <v>113</v>
      </c>
      <c r="I20" s="36">
        <v>2</v>
      </c>
      <c r="K20" s="26">
        <v>0</v>
      </c>
      <c r="L20" s="26">
        <v>0</v>
      </c>
    </row>
    <row r="21" spans="1:12" ht="24.95" customHeight="1" x14ac:dyDescent="0.2">
      <c r="B21" s="26" t="str">
        <f t="shared" si="3"/>
        <v>0x3702</v>
      </c>
      <c r="C21" s="26" t="str">
        <f t="shared" si="3"/>
        <v>0x3703</v>
      </c>
      <c r="D21" s="32">
        <f t="shared" ref="D21:D35" si="5">E20+1</f>
        <v>14082</v>
      </c>
      <c r="E21" s="32">
        <f t="shared" si="4"/>
        <v>14083</v>
      </c>
      <c r="F21" s="33" t="s">
        <v>131</v>
      </c>
      <c r="G21" s="28" t="s">
        <v>112</v>
      </c>
      <c r="H21" s="36" t="s">
        <v>113</v>
      </c>
      <c r="I21" s="36">
        <v>2</v>
      </c>
      <c r="K21" s="26">
        <v>0</v>
      </c>
      <c r="L21" s="26">
        <v>0</v>
      </c>
    </row>
    <row r="22" spans="1:12" ht="24.95" customHeight="1" x14ac:dyDescent="0.2">
      <c r="B22" s="26" t="str">
        <f t="shared" si="3"/>
        <v>0x3704</v>
      </c>
      <c r="C22" s="26" t="str">
        <f t="shared" si="3"/>
        <v>0x3705</v>
      </c>
      <c r="D22" s="32">
        <f t="shared" si="5"/>
        <v>14084</v>
      </c>
      <c r="E22" s="32">
        <f t="shared" si="4"/>
        <v>14085</v>
      </c>
      <c r="F22" s="33" t="s">
        <v>132</v>
      </c>
      <c r="G22" s="28" t="s">
        <v>112</v>
      </c>
      <c r="H22" s="36" t="s">
        <v>113</v>
      </c>
      <c r="I22" s="36">
        <v>2</v>
      </c>
      <c r="K22" s="26">
        <v>0</v>
      </c>
      <c r="L22" s="26">
        <v>0</v>
      </c>
    </row>
    <row r="23" spans="1:12" ht="24.95" customHeight="1" x14ac:dyDescent="0.2">
      <c r="B23" s="26" t="str">
        <f t="shared" si="3"/>
        <v>0x3706</v>
      </c>
      <c r="C23" s="26" t="str">
        <f t="shared" si="3"/>
        <v>0x3707</v>
      </c>
      <c r="D23" s="32">
        <f t="shared" si="5"/>
        <v>14086</v>
      </c>
      <c r="E23" s="32">
        <f t="shared" si="4"/>
        <v>14087</v>
      </c>
      <c r="F23" s="33" t="s">
        <v>133</v>
      </c>
      <c r="G23" s="28" t="s">
        <v>112</v>
      </c>
      <c r="H23" s="36" t="s">
        <v>113</v>
      </c>
      <c r="I23" s="36">
        <v>2</v>
      </c>
      <c r="K23" s="26">
        <v>0</v>
      </c>
      <c r="L23" s="26">
        <v>0</v>
      </c>
    </row>
    <row r="24" spans="1:12" ht="24.95" customHeight="1" x14ac:dyDescent="0.2">
      <c r="B24" s="26" t="str">
        <f t="shared" si="3"/>
        <v>0x3708</v>
      </c>
      <c r="C24" s="26" t="str">
        <f t="shared" si="3"/>
        <v>0x3709</v>
      </c>
      <c r="D24" s="32">
        <f t="shared" si="5"/>
        <v>14088</v>
      </c>
      <c r="E24" s="32">
        <f t="shared" si="4"/>
        <v>14089</v>
      </c>
      <c r="F24" s="33" t="s">
        <v>134</v>
      </c>
      <c r="G24" s="28" t="s">
        <v>112</v>
      </c>
      <c r="H24" s="36" t="s">
        <v>113</v>
      </c>
      <c r="I24" s="36">
        <v>2</v>
      </c>
      <c r="K24" s="26">
        <v>0</v>
      </c>
      <c r="L24" s="26">
        <v>0</v>
      </c>
    </row>
    <row r="25" spans="1:12" ht="24.95" customHeight="1" x14ac:dyDescent="0.2">
      <c r="B25" s="26" t="str">
        <f t="shared" si="3"/>
        <v>0x370A</v>
      </c>
      <c r="C25" s="26" t="str">
        <f t="shared" si="3"/>
        <v>0x370B</v>
      </c>
      <c r="D25" s="32">
        <f t="shared" si="5"/>
        <v>14090</v>
      </c>
      <c r="E25" s="32">
        <f t="shared" si="4"/>
        <v>14091</v>
      </c>
      <c r="F25" s="33" t="s">
        <v>135</v>
      </c>
      <c r="G25" s="28" t="s">
        <v>112</v>
      </c>
      <c r="H25" s="36" t="s">
        <v>113</v>
      </c>
      <c r="I25" s="36">
        <v>2</v>
      </c>
      <c r="K25" s="26">
        <v>0</v>
      </c>
      <c r="L25" s="26">
        <v>0</v>
      </c>
    </row>
    <row r="26" spans="1:12" ht="24.95" customHeight="1" x14ac:dyDescent="0.2">
      <c r="B26" s="26" t="str">
        <f t="shared" si="3"/>
        <v>0x370C</v>
      </c>
      <c r="C26" s="26" t="str">
        <f t="shared" si="3"/>
        <v>0x370D</v>
      </c>
      <c r="D26" s="32">
        <f t="shared" si="5"/>
        <v>14092</v>
      </c>
      <c r="E26" s="32">
        <f t="shared" si="4"/>
        <v>14093</v>
      </c>
      <c r="F26" s="33" t="s">
        <v>136</v>
      </c>
      <c r="G26" s="28" t="s">
        <v>112</v>
      </c>
      <c r="H26" s="36" t="s">
        <v>113</v>
      </c>
      <c r="I26" s="36">
        <v>2</v>
      </c>
      <c r="K26" s="26">
        <v>0</v>
      </c>
      <c r="L26" s="26">
        <v>0</v>
      </c>
    </row>
    <row r="27" spans="1:12" ht="24.95" customHeight="1" x14ac:dyDescent="0.2">
      <c r="B27" s="26" t="str">
        <f t="shared" si="3"/>
        <v>0x370E</v>
      </c>
      <c r="C27" s="26" t="str">
        <f t="shared" si="3"/>
        <v>0x370F</v>
      </c>
      <c r="D27" s="32">
        <f t="shared" si="5"/>
        <v>14094</v>
      </c>
      <c r="E27" s="32">
        <f t="shared" si="4"/>
        <v>14095</v>
      </c>
      <c r="F27" s="33" t="s">
        <v>137</v>
      </c>
      <c r="G27" s="28" t="s">
        <v>112</v>
      </c>
      <c r="H27" s="36" t="s">
        <v>113</v>
      </c>
      <c r="I27" s="36">
        <v>2</v>
      </c>
      <c r="K27" s="26">
        <v>0</v>
      </c>
      <c r="L27" s="26">
        <v>0</v>
      </c>
    </row>
    <row r="28" spans="1:12" ht="24.95" customHeight="1" x14ac:dyDescent="0.2">
      <c r="B28" s="26" t="str">
        <f t="shared" si="3"/>
        <v>0x3710</v>
      </c>
      <c r="C28" s="26" t="str">
        <f t="shared" si="3"/>
        <v>0x3711</v>
      </c>
      <c r="D28" s="32">
        <f t="shared" si="5"/>
        <v>14096</v>
      </c>
      <c r="E28" s="32">
        <f t="shared" si="4"/>
        <v>14097</v>
      </c>
      <c r="F28" s="33" t="s">
        <v>138</v>
      </c>
      <c r="G28" s="28" t="s">
        <v>112</v>
      </c>
      <c r="H28" s="36" t="s">
        <v>113</v>
      </c>
      <c r="I28" s="36">
        <v>2</v>
      </c>
      <c r="K28" s="26">
        <v>0</v>
      </c>
      <c r="L28" s="26">
        <v>0</v>
      </c>
    </row>
    <row r="29" spans="1:12" ht="24.95" customHeight="1" x14ac:dyDescent="0.2">
      <c r="B29" s="26" t="str">
        <f t="shared" si="3"/>
        <v>0x3712</v>
      </c>
      <c r="C29" s="26" t="str">
        <f t="shared" si="3"/>
        <v>0x3713</v>
      </c>
      <c r="D29" s="32">
        <f t="shared" si="5"/>
        <v>14098</v>
      </c>
      <c r="E29" s="32">
        <f t="shared" si="4"/>
        <v>14099</v>
      </c>
      <c r="F29" s="33" t="s">
        <v>139</v>
      </c>
      <c r="G29" s="28" t="s">
        <v>112</v>
      </c>
      <c r="H29" s="36" t="s">
        <v>113</v>
      </c>
      <c r="I29" s="36">
        <v>2</v>
      </c>
      <c r="K29" s="26">
        <v>0</v>
      </c>
      <c r="L29" s="26">
        <v>0</v>
      </c>
    </row>
    <row r="30" spans="1:12" ht="24.95" customHeight="1" x14ac:dyDescent="0.2">
      <c r="B30" s="26" t="str">
        <f t="shared" si="3"/>
        <v>0x3714</v>
      </c>
      <c r="C30" s="26" t="str">
        <f t="shared" si="3"/>
        <v>0x3715</v>
      </c>
      <c r="D30" s="32">
        <f t="shared" si="5"/>
        <v>14100</v>
      </c>
      <c r="E30" s="32">
        <f t="shared" si="4"/>
        <v>14101</v>
      </c>
      <c r="F30" s="33" t="s">
        <v>140</v>
      </c>
      <c r="G30" s="28" t="s">
        <v>112</v>
      </c>
      <c r="H30" s="36" t="s">
        <v>113</v>
      </c>
      <c r="I30" s="36">
        <v>2</v>
      </c>
      <c r="K30" s="26">
        <v>0</v>
      </c>
      <c r="L30" s="26">
        <v>0</v>
      </c>
    </row>
    <row r="31" spans="1:12" ht="24.95" customHeight="1" x14ac:dyDescent="0.2">
      <c r="B31" s="26" t="str">
        <f t="shared" si="3"/>
        <v>0x3716</v>
      </c>
      <c r="C31" s="26" t="str">
        <f t="shared" si="3"/>
        <v>0x3717</v>
      </c>
      <c r="D31" s="32">
        <f t="shared" si="5"/>
        <v>14102</v>
      </c>
      <c r="E31" s="32">
        <f t="shared" si="4"/>
        <v>14103</v>
      </c>
      <c r="F31" s="33" t="s">
        <v>141</v>
      </c>
      <c r="G31" s="28" t="s">
        <v>112</v>
      </c>
      <c r="H31" s="36" t="s">
        <v>113</v>
      </c>
      <c r="I31" s="36">
        <v>2</v>
      </c>
      <c r="K31" s="26">
        <v>0</v>
      </c>
      <c r="L31" s="26">
        <v>0</v>
      </c>
    </row>
    <row r="32" spans="1:12" ht="24.95" customHeight="1" x14ac:dyDescent="0.2">
      <c r="B32" s="26" t="str">
        <f t="shared" si="3"/>
        <v>0x3718</v>
      </c>
      <c r="C32" s="26" t="str">
        <f t="shared" si="3"/>
        <v>0x3719</v>
      </c>
      <c r="D32" s="32">
        <f t="shared" si="5"/>
        <v>14104</v>
      </c>
      <c r="E32" s="32">
        <f t="shared" si="4"/>
        <v>14105</v>
      </c>
      <c r="F32" s="33" t="s">
        <v>142</v>
      </c>
      <c r="G32" s="28" t="s">
        <v>112</v>
      </c>
      <c r="H32" s="36" t="s">
        <v>113</v>
      </c>
      <c r="I32" s="36">
        <v>2</v>
      </c>
      <c r="K32" s="26">
        <v>0</v>
      </c>
      <c r="L32" s="26">
        <v>0</v>
      </c>
    </row>
    <row r="33" spans="1:13" ht="24.95" customHeight="1" x14ac:dyDescent="0.2">
      <c r="B33" s="26" t="str">
        <f t="shared" si="3"/>
        <v>0x371A</v>
      </c>
      <c r="C33" s="26" t="str">
        <f t="shared" si="3"/>
        <v>0x371B</v>
      </c>
      <c r="D33" s="32">
        <f t="shared" si="5"/>
        <v>14106</v>
      </c>
      <c r="E33" s="32">
        <f t="shared" si="4"/>
        <v>14107</v>
      </c>
      <c r="F33" s="33" t="s">
        <v>143</v>
      </c>
      <c r="G33" s="28" t="s">
        <v>112</v>
      </c>
      <c r="H33" s="36" t="s">
        <v>113</v>
      </c>
      <c r="I33" s="36">
        <v>2</v>
      </c>
      <c r="K33" s="26">
        <v>0</v>
      </c>
      <c r="L33" s="26">
        <v>0</v>
      </c>
    </row>
    <row r="34" spans="1:13" ht="24.95" customHeight="1" x14ac:dyDescent="0.2">
      <c r="B34" s="26" t="str">
        <f t="shared" si="3"/>
        <v>0x371C</v>
      </c>
      <c r="C34" s="26" t="str">
        <f t="shared" si="3"/>
        <v>0x371D</v>
      </c>
      <c r="D34" s="32">
        <f t="shared" si="5"/>
        <v>14108</v>
      </c>
      <c r="E34" s="32">
        <f t="shared" si="4"/>
        <v>14109</v>
      </c>
      <c r="F34" s="33" t="s">
        <v>157</v>
      </c>
      <c r="G34" s="28" t="s">
        <v>112</v>
      </c>
      <c r="H34" s="36" t="s">
        <v>113</v>
      </c>
      <c r="I34" s="36">
        <v>2</v>
      </c>
      <c r="K34" s="26">
        <v>0</v>
      </c>
      <c r="L34" s="26">
        <v>0</v>
      </c>
    </row>
    <row r="35" spans="1:13" ht="24.95" customHeight="1" x14ac:dyDescent="0.2">
      <c r="B35" s="26" t="str">
        <f t="shared" si="3"/>
        <v>0x371E</v>
      </c>
      <c r="C35" s="26" t="str">
        <f t="shared" si="3"/>
        <v>0x371F</v>
      </c>
      <c r="D35" s="32">
        <f t="shared" si="5"/>
        <v>14110</v>
      </c>
      <c r="E35" s="32">
        <f t="shared" si="4"/>
        <v>14111</v>
      </c>
      <c r="F35" s="33" t="s">
        <v>144</v>
      </c>
      <c r="G35" s="28" t="s">
        <v>112</v>
      </c>
      <c r="H35" s="36" t="s">
        <v>113</v>
      </c>
      <c r="I35" s="36">
        <v>2</v>
      </c>
      <c r="K35" s="26">
        <v>0</v>
      </c>
      <c r="L35" s="26">
        <v>0</v>
      </c>
    </row>
    <row r="36" spans="1:13" ht="24.95" customHeight="1" x14ac:dyDescent="0.2">
      <c r="B36" s="26"/>
      <c r="C36" s="26"/>
      <c r="D36" s="32"/>
      <c r="E36" s="32"/>
      <c r="F36" s="33"/>
      <c r="G36" s="28"/>
      <c r="H36" s="36"/>
      <c r="I36" s="36">
        <f>SUM(I20:I35)</f>
        <v>32</v>
      </c>
      <c r="K36" s="26"/>
      <c r="L36" s="26"/>
    </row>
    <row r="37" spans="1:13" ht="24.95" customHeight="1" x14ac:dyDescent="0.2">
      <c r="A37" s="25" t="s">
        <v>145</v>
      </c>
      <c r="B37" s="26" t="str">
        <f t="shared" ref="B37:C40" si="6">"0x"&amp;DEC2HEX(D37,4)</f>
        <v>0x3900</v>
      </c>
      <c r="C37" s="26" t="str">
        <f t="shared" si="6"/>
        <v>0x3901</v>
      </c>
      <c r="D37" s="32">
        <v>14592</v>
      </c>
      <c r="E37" s="32">
        <f>D37+I37-1</f>
        <v>14593</v>
      </c>
      <c r="F37" s="33" t="s">
        <v>146</v>
      </c>
      <c r="G37" s="28" t="s">
        <v>112</v>
      </c>
      <c r="H37" s="37" t="s">
        <v>147</v>
      </c>
      <c r="I37" s="36">
        <v>2</v>
      </c>
      <c r="K37" s="26">
        <v>0</v>
      </c>
      <c r="L37" s="26">
        <v>0</v>
      </c>
    </row>
    <row r="38" spans="1:13" ht="24.95" customHeight="1" x14ac:dyDescent="0.2">
      <c r="B38" s="26" t="str">
        <f t="shared" si="6"/>
        <v>0x3902</v>
      </c>
      <c r="C38" s="26" t="str">
        <f t="shared" si="6"/>
        <v>0x3903</v>
      </c>
      <c r="D38" s="32">
        <f>E37+1</f>
        <v>14594</v>
      </c>
      <c r="E38" s="32">
        <f>D38+I38-1</f>
        <v>14595</v>
      </c>
      <c r="F38" s="33" t="s">
        <v>148</v>
      </c>
      <c r="G38" s="28" t="s">
        <v>112</v>
      </c>
      <c r="H38" s="37" t="s">
        <v>147</v>
      </c>
      <c r="I38" s="36">
        <v>2</v>
      </c>
      <c r="K38" s="26">
        <v>0</v>
      </c>
      <c r="L38" s="26">
        <v>0</v>
      </c>
    </row>
    <row r="39" spans="1:13" ht="24.95" customHeight="1" x14ac:dyDescent="0.2">
      <c r="B39" s="26" t="str">
        <f t="shared" si="6"/>
        <v>0x3904</v>
      </c>
      <c r="C39" s="26" t="str">
        <f t="shared" si="6"/>
        <v>0x3905</v>
      </c>
      <c r="D39" s="32">
        <f>E38+1</f>
        <v>14596</v>
      </c>
      <c r="E39" s="32">
        <f>D39+I39-1</f>
        <v>14597</v>
      </c>
      <c r="F39" s="33" t="s">
        <v>149</v>
      </c>
      <c r="G39" s="28" t="s">
        <v>112</v>
      </c>
      <c r="H39" s="37" t="s">
        <v>147</v>
      </c>
      <c r="I39" s="36">
        <v>2</v>
      </c>
      <c r="K39" s="26">
        <v>0</v>
      </c>
      <c r="L39" s="26">
        <v>0</v>
      </c>
    </row>
    <row r="40" spans="1:13" ht="24.95" customHeight="1" x14ac:dyDescent="0.2">
      <c r="B40" s="26" t="str">
        <f t="shared" si="6"/>
        <v>0x3906</v>
      </c>
      <c r="C40" s="26" t="str">
        <f t="shared" si="6"/>
        <v>0x3907</v>
      </c>
      <c r="D40" s="32">
        <f>E39+1</f>
        <v>14598</v>
      </c>
      <c r="E40" s="32">
        <f>D40+I40-1</f>
        <v>14599</v>
      </c>
      <c r="F40" s="33" t="s">
        <v>150</v>
      </c>
      <c r="G40" s="28" t="s">
        <v>112</v>
      </c>
      <c r="H40" s="37" t="s">
        <v>147</v>
      </c>
      <c r="I40" s="36">
        <v>2</v>
      </c>
      <c r="K40" s="26">
        <v>0</v>
      </c>
      <c r="L40" s="26">
        <v>0</v>
      </c>
    </row>
    <row r="41" spans="1:13" ht="24.95" customHeight="1" x14ac:dyDescent="0.2">
      <c r="B41" s="26"/>
      <c r="C41" s="26"/>
      <c r="D41" s="32"/>
      <c r="E41" s="32"/>
      <c r="F41" s="33"/>
      <c r="G41" s="28"/>
      <c r="H41" s="36"/>
      <c r="I41" s="36">
        <f>SUM(I37:I40)</f>
        <v>8</v>
      </c>
      <c r="K41" s="26"/>
      <c r="L41" s="26"/>
    </row>
    <row r="42" spans="1:13" ht="24.95" customHeight="1" x14ac:dyDescent="0.2">
      <c r="A42" s="34" t="s">
        <v>151</v>
      </c>
      <c r="B42" s="26" t="str">
        <f t="shared" ref="B42:C45" si="7">"0x"&amp;DEC2HEX(D42,4)</f>
        <v>0x3950</v>
      </c>
      <c r="C42" s="26" t="str">
        <f t="shared" si="7"/>
        <v>0x3951</v>
      </c>
      <c r="D42" s="32">
        <v>14672</v>
      </c>
      <c r="E42" s="32">
        <f>D42+I42-1</f>
        <v>14673</v>
      </c>
      <c r="F42" s="33" t="s">
        <v>152</v>
      </c>
      <c r="G42" s="15" t="s">
        <v>39</v>
      </c>
      <c r="H42" s="37" t="s">
        <v>153</v>
      </c>
      <c r="I42" s="36">
        <v>2</v>
      </c>
      <c r="K42" s="26">
        <v>0</v>
      </c>
      <c r="L42" s="26">
        <v>0</v>
      </c>
      <c r="M42" s="18" t="s">
        <v>34</v>
      </c>
    </row>
    <row r="43" spans="1:13" ht="24.95" customHeight="1" x14ac:dyDescent="0.2">
      <c r="A43" s="34"/>
      <c r="B43" s="26" t="str">
        <f t="shared" si="7"/>
        <v>0x3952</v>
      </c>
      <c r="C43" s="26" t="str">
        <f t="shared" si="7"/>
        <v>0x3953</v>
      </c>
      <c r="D43" s="32">
        <f>E42+1</f>
        <v>14674</v>
      </c>
      <c r="E43" s="32">
        <f>D43+I43-1</f>
        <v>14675</v>
      </c>
      <c r="F43" s="33" t="s">
        <v>154</v>
      </c>
      <c r="G43" s="15" t="s">
        <v>39</v>
      </c>
      <c r="H43" s="37" t="s">
        <v>153</v>
      </c>
      <c r="I43" s="36">
        <v>2</v>
      </c>
      <c r="K43" s="26">
        <v>0</v>
      </c>
      <c r="L43" s="26">
        <v>0</v>
      </c>
      <c r="M43" s="18" t="s">
        <v>34</v>
      </c>
    </row>
    <row r="44" spans="1:13" ht="24.95" customHeight="1" x14ac:dyDescent="0.2">
      <c r="B44" s="26" t="str">
        <f t="shared" si="7"/>
        <v>0x3954</v>
      </c>
      <c r="C44" s="26" t="str">
        <f t="shared" si="7"/>
        <v>0x3955</v>
      </c>
      <c r="D44" s="32">
        <f>E43+1</f>
        <v>14676</v>
      </c>
      <c r="E44" s="32">
        <f>D44+I44-1</f>
        <v>14677</v>
      </c>
      <c r="F44" s="33" t="s">
        <v>155</v>
      </c>
      <c r="G44" s="15" t="s">
        <v>39</v>
      </c>
      <c r="H44" s="37" t="s">
        <v>153</v>
      </c>
      <c r="I44" s="36">
        <v>2</v>
      </c>
      <c r="K44" s="26">
        <v>0</v>
      </c>
      <c r="L44" s="26">
        <v>0</v>
      </c>
      <c r="M44" s="18" t="s">
        <v>34</v>
      </c>
    </row>
    <row r="45" spans="1:13" ht="24.95" customHeight="1" x14ac:dyDescent="0.2">
      <c r="B45" s="26" t="str">
        <f t="shared" si="7"/>
        <v>0x3956</v>
      </c>
      <c r="C45" s="26" t="str">
        <f t="shared" si="7"/>
        <v>0x3957</v>
      </c>
      <c r="D45" s="32">
        <f>E44+1</f>
        <v>14678</v>
      </c>
      <c r="E45" s="32">
        <f>D45+I45-1</f>
        <v>14679</v>
      </c>
      <c r="F45" s="33" t="s">
        <v>156</v>
      </c>
      <c r="G45" s="15" t="s">
        <v>39</v>
      </c>
      <c r="H45" s="37" t="s">
        <v>153</v>
      </c>
      <c r="I45" s="36">
        <v>2</v>
      </c>
      <c r="K45" s="26">
        <v>0</v>
      </c>
      <c r="L45" s="26">
        <v>0</v>
      </c>
      <c r="M45" s="18" t="s">
        <v>34</v>
      </c>
    </row>
    <row r="46" spans="1:13" x14ac:dyDescent="0.2">
      <c r="I46" s="38">
        <f>SUM(I42:I45)</f>
        <v>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H9" sqref="H9"/>
    </sheetView>
  </sheetViews>
  <sheetFormatPr defaultRowHeight="14.25" x14ac:dyDescent="0.2"/>
  <cols>
    <col min="1" max="1" width="11.5" customWidth="1"/>
    <col min="2" max="2" width="14" customWidth="1"/>
    <col min="3" max="3" width="18.75" customWidth="1"/>
  </cols>
  <sheetData>
    <row r="1" spans="1:3" ht="19.5" customHeight="1" x14ac:dyDescent="0.2">
      <c r="A1" s="5" t="s">
        <v>1</v>
      </c>
      <c r="B1" s="5" t="s">
        <v>0</v>
      </c>
      <c r="C1" s="5" t="s">
        <v>7</v>
      </c>
    </row>
    <row r="2" spans="1:3" x14ac:dyDescent="0.2">
      <c r="A2" s="2" t="s">
        <v>2</v>
      </c>
      <c r="B2" s="2">
        <v>1</v>
      </c>
      <c r="C2" s="61">
        <v>0</v>
      </c>
    </row>
    <row r="3" spans="1:3" x14ac:dyDescent="0.2">
      <c r="A3" s="2" t="s">
        <v>3</v>
      </c>
      <c r="B3" s="62"/>
      <c r="C3" s="61">
        <v>0.5</v>
      </c>
    </row>
    <row r="4" spans="1:3" x14ac:dyDescent="0.2">
      <c r="A4" s="2" t="s">
        <v>4</v>
      </c>
      <c r="B4" s="62"/>
      <c r="C4" s="61">
        <v>1</v>
      </c>
    </row>
    <row r="5" spans="1:3" x14ac:dyDescent="0.2">
      <c r="A5" s="2" t="s">
        <v>5</v>
      </c>
      <c r="B5" s="62"/>
      <c r="C5" s="61">
        <v>3</v>
      </c>
    </row>
    <row r="6" spans="1:3" x14ac:dyDescent="0.2">
      <c r="A6" s="2" t="s">
        <v>6</v>
      </c>
      <c r="B6" s="62"/>
      <c r="C6" s="61">
        <v>4</v>
      </c>
    </row>
    <row r="7" spans="1:3" x14ac:dyDescent="0.2">
      <c r="A7" s="2" t="s">
        <v>170</v>
      </c>
      <c r="B7" s="62"/>
      <c r="C7" s="61">
        <v>17</v>
      </c>
    </row>
    <row r="8" spans="1:3" x14ac:dyDescent="0.2">
      <c r="A8" s="2" t="s">
        <v>171</v>
      </c>
      <c r="B8" s="62"/>
      <c r="C8" s="61">
        <v>18</v>
      </c>
    </row>
    <row r="9" spans="1:3" x14ac:dyDescent="0.2">
      <c r="A9" s="2" t="s">
        <v>172</v>
      </c>
      <c r="B9" s="62"/>
      <c r="C9" s="61">
        <v>19</v>
      </c>
    </row>
    <row r="10" spans="1:3" x14ac:dyDescent="0.2">
      <c r="A10" s="2" t="s">
        <v>173</v>
      </c>
      <c r="B10" s="62"/>
      <c r="C10" s="61">
        <v>20</v>
      </c>
    </row>
    <row r="11" spans="1:3" x14ac:dyDescent="0.2">
      <c r="A11" s="2" t="s">
        <v>174</v>
      </c>
      <c r="B11" s="62"/>
      <c r="C11" s="61">
        <v>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EAFE-1283-44CA-9754-882203433D14}">
  <dimension ref="A1:C6"/>
  <sheetViews>
    <sheetView workbookViewId="0">
      <selection activeCell="G30" sqref="G30"/>
    </sheetView>
  </sheetViews>
  <sheetFormatPr defaultRowHeight="14.25" x14ac:dyDescent="0.2"/>
  <cols>
    <col min="2" max="2" width="14.875" customWidth="1"/>
    <col min="3" max="3" width="18.25" customWidth="1"/>
  </cols>
  <sheetData>
    <row r="1" spans="1:3" x14ac:dyDescent="0.2">
      <c r="A1" s="1" t="s">
        <v>1</v>
      </c>
      <c r="B1" s="1" t="s">
        <v>11</v>
      </c>
      <c r="C1" s="1" t="s">
        <v>12</v>
      </c>
    </row>
    <row r="2" spans="1:3" x14ac:dyDescent="0.2">
      <c r="A2" s="2" t="s">
        <v>2</v>
      </c>
      <c r="B2" s="2">
        <v>100</v>
      </c>
      <c r="C2" s="2">
        <v>201</v>
      </c>
    </row>
    <row r="3" spans="1:3" x14ac:dyDescent="0.2">
      <c r="A3" s="2" t="s">
        <v>3</v>
      </c>
      <c r="B3" s="2">
        <v>101</v>
      </c>
      <c r="C3" s="2">
        <v>202</v>
      </c>
    </row>
    <row r="4" spans="1:3" ht="21.75" customHeight="1" x14ac:dyDescent="0.2">
      <c r="A4" s="2" t="s">
        <v>4</v>
      </c>
      <c r="B4" s="2">
        <v>102</v>
      </c>
      <c r="C4" s="2">
        <v>203</v>
      </c>
    </row>
    <row r="5" spans="1:3" x14ac:dyDescent="0.2">
      <c r="A5" s="2" t="s">
        <v>5</v>
      </c>
      <c r="B5" s="2">
        <v>103</v>
      </c>
      <c r="C5" s="2">
        <v>204</v>
      </c>
    </row>
    <row r="6" spans="1:3" x14ac:dyDescent="0.2">
      <c r="A6" s="2" t="s">
        <v>6</v>
      </c>
      <c r="B6" s="2">
        <v>104</v>
      </c>
      <c r="C6" s="2">
        <v>205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750E-B802-4F58-86BA-A60D3B551AD0}">
  <dimension ref="A1:C12"/>
  <sheetViews>
    <sheetView workbookViewId="0">
      <selection activeCell="L7" sqref="L7"/>
    </sheetView>
  </sheetViews>
  <sheetFormatPr defaultRowHeight="14.25" x14ac:dyDescent="0.2"/>
  <cols>
    <col min="1" max="1" width="19.625" customWidth="1"/>
    <col min="2" max="2" width="13.125" customWidth="1"/>
    <col min="3" max="3" width="11.375" customWidth="1"/>
  </cols>
  <sheetData>
    <row r="1" spans="1:3" x14ac:dyDescent="0.2">
      <c r="A1" s="55" t="s">
        <v>160</v>
      </c>
      <c r="B1" s="3">
        <v>3</v>
      </c>
      <c r="C1" s="6"/>
    </row>
    <row r="2" spans="1:3" x14ac:dyDescent="0.2">
      <c r="A2" s="55" t="s">
        <v>161</v>
      </c>
      <c r="B2" s="3">
        <v>5</v>
      </c>
      <c r="C2" s="6"/>
    </row>
    <row r="3" spans="1:3" x14ac:dyDescent="0.2">
      <c r="A3" s="55" t="s">
        <v>162</v>
      </c>
      <c r="B3" s="3">
        <v>12</v>
      </c>
      <c r="C3" s="6"/>
    </row>
    <row r="4" spans="1:3" x14ac:dyDescent="0.2">
      <c r="A4" s="55" t="s">
        <v>163</v>
      </c>
      <c r="B4" s="3">
        <v>18</v>
      </c>
      <c r="C4" s="6"/>
    </row>
    <row r="5" spans="1:3" x14ac:dyDescent="0.2">
      <c r="A5" s="56" t="s">
        <v>164</v>
      </c>
      <c r="B5" s="52">
        <v>-10</v>
      </c>
      <c r="C5" s="5"/>
    </row>
    <row r="6" spans="1:3" x14ac:dyDescent="0.2">
      <c r="A6" s="56" t="s">
        <v>165</v>
      </c>
      <c r="B6" s="52">
        <v>10</v>
      </c>
      <c r="C6" s="5"/>
    </row>
    <row r="7" spans="1:3" x14ac:dyDescent="0.2">
      <c r="A7" s="56" t="s">
        <v>166</v>
      </c>
      <c r="B7" s="52">
        <v>15</v>
      </c>
      <c r="C7" s="5"/>
    </row>
    <row r="8" spans="1:3" x14ac:dyDescent="0.2">
      <c r="A8" s="56" t="s">
        <v>167</v>
      </c>
      <c r="B8" s="52">
        <v>18</v>
      </c>
      <c r="C8" s="5"/>
    </row>
    <row r="9" spans="1:3" x14ac:dyDescent="0.2">
      <c r="A9" s="57" t="s">
        <v>168</v>
      </c>
      <c r="B9" s="4">
        <v>7</v>
      </c>
      <c r="C9" s="3"/>
    </row>
    <row r="10" spans="1:3" x14ac:dyDescent="0.2">
      <c r="A10" s="57" t="s">
        <v>8</v>
      </c>
      <c r="B10" s="4">
        <v>17</v>
      </c>
      <c r="C10" s="3"/>
    </row>
    <row r="11" spans="1:3" ht="57" x14ac:dyDescent="0.2">
      <c r="A11" s="58" t="s">
        <v>9</v>
      </c>
      <c r="B11" s="60">
        <v>3</v>
      </c>
      <c r="C11" s="51" t="s">
        <v>10</v>
      </c>
    </row>
    <row r="12" spans="1:3" x14ac:dyDescent="0.2">
      <c r="A12" s="59" t="s">
        <v>169</v>
      </c>
      <c r="B12" s="54">
        <v>3</v>
      </c>
      <c r="C12" s="5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modbus_address_aiao_setting</vt:lpstr>
      <vt:lpstr>modbus_address_aiao_reading</vt:lpstr>
      <vt:lpstr>set_ai_voltage_current_dc</vt:lpstr>
      <vt:lpstr>set_ao_voltage_current_dc</vt:lpstr>
      <vt:lpstr>comm_setting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 Hu</dc:creator>
  <cp:lastModifiedBy>Zan Hu</cp:lastModifiedBy>
  <dcterms:created xsi:type="dcterms:W3CDTF">2015-06-05T18:17:20Z</dcterms:created>
  <dcterms:modified xsi:type="dcterms:W3CDTF">2025-08-08T13:07:46Z</dcterms:modified>
</cp:coreProperties>
</file>