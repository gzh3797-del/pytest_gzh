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ihongWang\Desktop\自动化\autotest\test_case\AcuRev4100\Alarm\"/>
    </mc:Choice>
  </mc:AlternateContent>
  <xr:revisionPtr revIDLastSave="0" documentId="13_ncr:1_{3DAAA36E-D79A-410E-A765-A123BF81D542}" xr6:coauthVersionLast="47" xr6:coauthVersionMax="47" xr10:uidLastSave="{00000000-0000-0000-0000-000000000000}"/>
  <bookViews>
    <workbookView xWindow="-28920" yWindow="-120" windowWidth="29040" windowHeight="15720" tabRatio="819" xr2:uid="{00000000-000D-0000-FFFF-FFFF00000000}"/>
  </bookViews>
  <sheets>
    <sheet name="Real time" sheetId="6" r:id="rId1"/>
    <sheet name="Energy" sheetId="8" r:id="rId2"/>
    <sheet name="DI Status" sheetId="2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6" l="1"/>
  <c r="E3" i="6"/>
  <c r="D4" i="6" s="1"/>
  <c r="E4" i="6" s="1"/>
  <c r="D5" i="6" s="1"/>
  <c r="C3" i="6"/>
  <c r="B3" i="6"/>
  <c r="B4" i="6" l="1"/>
  <c r="C4" i="6" l="1"/>
  <c r="E5" i="6"/>
  <c r="B5" i="6"/>
  <c r="D6" i="6" l="1"/>
  <c r="C5" i="6"/>
  <c r="E6" i="6" l="1"/>
  <c r="B6" i="6"/>
  <c r="D7" i="6" l="1"/>
  <c r="C6" i="6"/>
  <c r="E7" i="6" l="1"/>
  <c r="B7" i="6"/>
  <c r="D8" i="6" l="1"/>
  <c r="C7" i="6"/>
  <c r="E3" i="23"/>
  <c r="C3" i="23"/>
  <c r="D4" i="23"/>
  <c r="B4" i="23"/>
  <c r="B3" i="23"/>
  <c r="E8" i="6" l="1"/>
  <c r="B8" i="6"/>
  <c r="D5" i="23"/>
  <c r="E4" i="23"/>
  <c r="C4" i="23" s="1"/>
  <c r="D9" i="6" l="1"/>
  <c r="C8" i="6"/>
  <c r="D6" i="23"/>
  <c r="E5" i="23"/>
  <c r="C5" i="23" s="1"/>
  <c r="B5" i="23"/>
  <c r="I48" i="8"/>
  <c r="E3" i="8"/>
  <c r="C3" i="8" s="1"/>
  <c r="D4" i="8"/>
  <c r="B4" i="8" s="1"/>
  <c r="E4" i="8"/>
  <c r="C4" i="8" s="1"/>
  <c r="D5" i="8"/>
  <c r="B5" i="8" s="1"/>
  <c r="E5" i="8"/>
  <c r="C5" i="8" s="1"/>
  <c r="D6" i="8"/>
  <c r="B6" i="8" s="1"/>
  <c r="E6" i="8"/>
  <c r="C6" i="8" s="1"/>
  <c r="D7" i="8"/>
  <c r="B7" i="8" s="1"/>
  <c r="E7" i="8"/>
  <c r="C7" i="8" s="1"/>
  <c r="D8" i="8"/>
  <c r="E8" i="8" s="1"/>
  <c r="B3" i="8"/>
  <c r="D9" i="8" l="1"/>
  <c r="C8" i="8"/>
  <c r="B8" i="8"/>
  <c r="E9" i="6"/>
  <c r="B9" i="6"/>
  <c r="E6" i="23"/>
  <c r="C6" i="23" s="1"/>
  <c r="B6" i="23"/>
  <c r="E9" i="8" l="1"/>
  <c r="B9" i="8"/>
  <c r="D10" i="6"/>
  <c r="C9" i="6"/>
  <c r="D10" i="8" l="1"/>
  <c r="C9" i="8"/>
  <c r="E10" i="6"/>
  <c r="B10" i="6"/>
  <c r="E10" i="8" l="1"/>
  <c r="B10" i="8"/>
  <c r="D11" i="6"/>
  <c r="C10" i="6"/>
  <c r="C10" i="8" l="1"/>
  <c r="D11" i="8"/>
  <c r="E11" i="6"/>
  <c r="B11" i="6"/>
  <c r="E11" i="8" l="1"/>
  <c r="B11" i="8"/>
  <c r="D12" i="6"/>
  <c r="C11" i="6"/>
  <c r="C11" i="8" l="1"/>
  <c r="D12" i="8"/>
  <c r="E12" i="6"/>
  <c r="D13" i="6" s="1"/>
  <c r="B12" i="6"/>
  <c r="B12" i="8" l="1"/>
  <c r="E12" i="8"/>
  <c r="C12" i="6"/>
  <c r="C12" i="8" l="1"/>
  <c r="D13" i="8"/>
  <c r="E13" i="6"/>
  <c r="B13" i="6"/>
  <c r="B13" i="8" l="1"/>
  <c r="E13" i="8"/>
  <c r="D14" i="6"/>
  <c r="C13" i="6"/>
  <c r="C13" i="8" l="1"/>
  <c r="D14" i="8"/>
  <c r="E14" i="6"/>
  <c r="B14" i="6"/>
  <c r="E14" i="8" l="1"/>
  <c r="B14" i="8"/>
  <c r="D15" i="6"/>
  <c r="C14" i="6"/>
  <c r="C14" i="8" l="1"/>
  <c r="D15" i="8"/>
  <c r="E15" i="6"/>
  <c r="B15" i="6"/>
  <c r="B15" i="8" l="1"/>
  <c r="E15" i="8"/>
  <c r="D16" i="6"/>
  <c r="C15" i="6"/>
  <c r="C15" i="8" l="1"/>
  <c r="D16" i="8"/>
  <c r="E16" i="6"/>
  <c r="B16" i="6"/>
  <c r="E16" i="8" l="1"/>
  <c r="B16" i="8"/>
  <c r="D17" i="6"/>
  <c r="C16" i="6"/>
  <c r="D17" i="8" l="1"/>
  <c r="C16" i="8"/>
  <c r="E17" i="6"/>
  <c r="B17" i="6"/>
  <c r="E17" i="8" l="1"/>
  <c r="B17" i="8"/>
  <c r="D18" i="6"/>
  <c r="C17" i="6"/>
  <c r="D18" i="8" l="1"/>
  <c r="C17" i="8"/>
  <c r="E18" i="6"/>
  <c r="B18" i="6"/>
  <c r="B18" i="8" l="1"/>
  <c r="E18" i="8"/>
  <c r="D19" i="6"/>
  <c r="C18" i="6"/>
  <c r="C18" i="8" l="1"/>
  <c r="D19" i="8"/>
  <c r="E19" i="6"/>
  <c r="B19" i="6"/>
  <c r="B19" i="8" l="1"/>
  <c r="E19" i="8"/>
  <c r="D20" i="6"/>
  <c r="C19" i="6"/>
  <c r="C19" i="8" l="1"/>
  <c r="D20" i="8"/>
  <c r="E20" i="6"/>
  <c r="B20" i="6"/>
  <c r="B20" i="8" l="1"/>
  <c r="E20" i="8"/>
  <c r="D21" i="6"/>
  <c r="C20" i="6"/>
  <c r="C20" i="8" l="1"/>
  <c r="D21" i="8"/>
  <c r="E21" i="6"/>
  <c r="B21" i="6"/>
  <c r="B21" i="8" l="1"/>
  <c r="E21" i="8"/>
  <c r="D22" i="6"/>
  <c r="C21" i="6"/>
  <c r="C21" i="8" l="1"/>
  <c r="D22" i="8"/>
  <c r="E22" i="6"/>
  <c r="B22" i="6"/>
  <c r="B22" i="8" l="1"/>
  <c r="E22" i="8"/>
  <c r="D23" i="6"/>
  <c r="C22" i="6"/>
  <c r="D23" i="8" l="1"/>
  <c r="C22" i="8"/>
  <c r="E23" i="6"/>
  <c r="B23" i="6"/>
  <c r="E23" i="8" l="1"/>
  <c r="B23" i="8"/>
  <c r="D24" i="6"/>
  <c r="C23" i="6"/>
  <c r="C23" i="8" l="1"/>
  <c r="D24" i="8"/>
  <c r="E24" i="6"/>
  <c r="B24" i="6"/>
  <c r="E24" i="8" l="1"/>
  <c r="B24" i="8"/>
  <c r="D25" i="6"/>
  <c r="C24" i="6"/>
  <c r="D25" i="8" l="1"/>
  <c r="C24" i="8"/>
  <c r="E25" i="6"/>
  <c r="B25" i="6"/>
  <c r="E25" i="8" l="1"/>
  <c r="B25" i="8"/>
  <c r="D26" i="6"/>
  <c r="C25" i="6"/>
  <c r="D26" i="8" l="1"/>
  <c r="C25" i="8"/>
  <c r="E26" i="6"/>
  <c r="B26" i="6"/>
  <c r="E26" i="8" l="1"/>
  <c r="B26" i="8"/>
  <c r="D27" i="6"/>
  <c r="C26" i="6"/>
  <c r="C26" i="8" l="1"/>
  <c r="D27" i="8"/>
  <c r="E27" i="6"/>
  <c r="B27" i="6"/>
  <c r="E27" i="8" l="1"/>
  <c r="B27" i="8"/>
  <c r="D28" i="6"/>
  <c r="C27" i="6"/>
  <c r="C27" i="8" l="1"/>
  <c r="D28" i="8"/>
  <c r="E28" i="6"/>
  <c r="B28" i="6"/>
  <c r="B28" i="8" l="1"/>
  <c r="E28" i="8"/>
  <c r="D29" i="6"/>
  <c r="C28" i="6"/>
  <c r="C28" i="8" l="1"/>
  <c r="D29" i="8"/>
  <c r="E29" i="6"/>
  <c r="B29" i="6"/>
  <c r="B29" i="8" l="1"/>
  <c r="E29" i="8"/>
  <c r="D30" i="6"/>
  <c r="C29" i="6"/>
  <c r="C29" i="8" l="1"/>
  <c r="D30" i="8"/>
  <c r="E30" i="6"/>
  <c r="B30" i="6"/>
  <c r="E30" i="8" l="1"/>
  <c r="B30" i="8"/>
  <c r="D31" i="6"/>
  <c r="C30" i="6"/>
  <c r="C30" i="8" l="1"/>
  <c r="D31" i="8"/>
  <c r="E31" i="6"/>
  <c r="B31" i="6"/>
  <c r="B31" i="8" l="1"/>
  <c r="E31" i="8"/>
  <c r="D32" i="6"/>
  <c r="C31" i="6"/>
  <c r="C31" i="8" l="1"/>
  <c r="D32" i="8"/>
  <c r="E32" i="6"/>
  <c r="B32" i="6"/>
  <c r="E32" i="8" l="1"/>
  <c r="B32" i="8"/>
  <c r="D33" i="6"/>
  <c r="C32" i="6"/>
  <c r="D33" i="8" l="1"/>
  <c r="C32" i="8"/>
  <c r="E33" i="6"/>
  <c r="B33" i="6"/>
  <c r="E33" i="8" l="1"/>
  <c r="B33" i="8"/>
  <c r="D34" i="6"/>
  <c r="C33" i="6"/>
  <c r="D34" i="8" l="1"/>
  <c r="C33" i="8"/>
  <c r="E34" i="6"/>
  <c r="B34" i="6"/>
  <c r="B34" i="8" l="1"/>
  <c r="E34" i="8"/>
  <c r="D35" i="6"/>
  <c r="C34" i="6"/>
  <c r="D35" i="8" l="1"/>
  <c r="C34" i="8"/>
  <c r="E35" i="6"/>
  <c r="B35" i="6"/>
  <c r="B35" i="8" l="1"/>
  <c r="E35" i="8"/>
  <c r="D36" i="6"/>
  <c r="C35" i="6"/>
  <c r="C35" i="8" l="1"/>
  <c r="D36" i="8"/>
  <c r="E36" i="6"/>
  <c r="B36" i="6"/>
  <c r="B36" i="8" l="1"/>
  <c r="E36" i="8"/>
  <c r="D37" i="6"/>
  <c r="C36" i="6"/>
  <c r="C36" i="8" l="1"/>
  <c r="D37" i="8"/>
  <c r="E37" i="6"/>
  <c r="B37" i="6"/>
  <c r="B37" i="8" l="1"/>
  <c r="E37" i="8"/>
  <c r="D38" i="6"/>
  <c r="C37" i="6"/>
  <c r="D38" i="8" l="1"/>
  <c r="C37" i="8"/>
  <c r="E38" i="6"/>
  <c r="B38" i="6"/>
  <c r="E38" i="8" l="1"/>
  <c r="B38" i="8"/>
  <c r="D39" i="6"/>
  <c r="C38" i="6"/>
  <c r="D39" i="8" l="1"/>
  <c r="C38" i="8"/>
  <c r="E39" i="6"/>
  <c r="B39" i="6"/>
  <c r="B39" i="8" l="1"/>
  <c r="E39" i="8"/>
  <c r="D40" i="6"/>
  <c r="C39" i="6"/>
  <c r="C39" i="8" l="1"/>
  <c r="D40" i="8"/>
  <c r="E40" i="6"/>
  <c r="B40" i="8" l="1"/>
  <c r="E40" i="8"/>
  <c r="D41" i="6"/>
  <c r="C40" i="6"/>
  <c r="D41" i="8" l="1"/>
  <c r="C40" i="8"/>
  <c r="E41" i="6"/>
  <c r="B41" i="6"/>
  <c r="E41" i="8" l="1"/>
  <c r="B41" i="8"/>
  <c r="D42" i="6"/>
  <c r="C41" i="6"/>
  <c r="D42" i="8" l="1"/>
  <c r="C41" i="8"/>
  <c r="E42" i="6"/>
  <c r="B42" i="6"/>
  <c r="E42" i="8" l="1"/>
  <c r="B42" i="8"/>
  <c r="D43" i="6"/>
  <c r="C42" i="6"/>
  <c r="D43" i="8" l="1"/>
  <c r="C42" i="8"/>
  <c r="E43" i="6"/>
  <c r="B43" i="6"/>
  <c r="E43" i="8" l="1"/>
  <c r="B43" i="8"/>
  <c r="D44" i="6"/>
  <c r="C43" i="6"/>
  <c r="D44" i="8" l="1"/>
  <c r="C43" i="8"/>
  <c r="E44" i="6"/>
  <c r="B44" i="6"/>
  <c r="E44" i="8" l="1"/>
  <c r="B44" i="8"/>
  <c r="D45" i="6"/>
  <c r="C44" i="6"/>
  <c r="D45" i="8" l="1"/>
  <c r="C44" i="8"/>
  <c r="E45" i="6"/>
  <c r="B45" i="6"/>
  <c r="B45" i="8" l="1"/>
  <c r="E45" i="8"/>
  <c r="D46" i="6"/>
  <c r="C45" i="6"/>
  <c r="D46" i="8" l="1"/>
  <c r="C45" i="8"/>
  <c r="E46" i="6"/>
  <c r="B46" i="6"/>
  <c r="E46" i="8" l="1"/>
  <c r="B46" i="8"/>
  <c r="C46" i="6"/>
  <c r="D47" i="8" l="1"/>
  <c r="C46" i="8"/>
  <c r="E47" i="8" l="1"/>
  <c r="C47" i="8" s="1"/>
  <c r="B47" i="8"/>
</calcChain>
</file>

<file path=xl/sharedStrings.xml><?xml version="1.0" encoding="utf-8"?>
<sst xmlns="http://schemas.openxmlformats.org/spreadsheetml/2006/main" count="325" uniqueCount="124">
  <si>
    <t>Block</t>
  </si>
  <si>
    <t>DI Status</t>
  </si>
  <si>
    <t>Start(Hex)</t>
  </si>
  <si>
    <t>End(Hex)</t>
  </si>
  <si>
    <t>Start(Dec)</t>
  </si>
  <si>
    <t>End(Dec)</t>
  </si>
  <si>
    <t>Description</t>
  </si>
  <si>
    <t>Data type</t>
  </si>
  <si>
    <t>RW</t>
  </si>
  <si>
    <t>Reg</t>
  </si>
  <si>
    <t>Range</t>
  </si>
  <si>
    <t>Default</t>
  </si>
  <si>
    <t>Factory value</t>
  </si>
  <si>
    <t>uint16_t</t>
  </si>
  <si>
    <t>uint32_t</t>
  </si>
  <si>
    <t>R</t>
  </si>
  <si>
    <t>Basic Parameters (code function : 03H Read)</t>
  </si>
  <si>
    <t>System Basic Parameters</t>
    <phoneticPr fontId="1" type="noConversion"/>
  </si>
  <si>
    <t>Product ID</t>
  </si>
  <si>
    <t>Strip:0x2010
AcuRev4100:0x200F</t>
  </si>
  <si>
    <t>System Frequency</t>
  </si>
  <si>
    <t>float32</t>
  </si>
  <si>
    <t>Phase A Line-to-Neutral Voltage</t>
    <phoneticPr fontId="1" type="noConversion"/>
  </si>
  <si>
    <t>Phase B Line-to-Neutral Voltage</t>
    <phoneticPr fontId="1" type="noConversion"/>
  </si>
  <si>
    <t>Phase C Line-to-Neutral Voltage</t>
    <phoneticPr fontId="1" type="noConversion"/>
  </si>
  <si>
    <t>Average Line-to-Neutral Voltage</t>
    <phoneticPr fontId="1" type="noConversion"/>
  </si>
  <si>
    <t>Phase AB Line-to-Line Voltage</t>
    <phoneticPr fontId="1" type="noConversion"/>
  </si>
  <si>
    <t>Phase BC Line-to-Line Voltage</t>
  </si>
  <si>
    <t>Phase CA Line-to-Line Voltage</t>
  </si>
  <si>
    <t>Average Line-to-Line Voltage</t>
  </si>
  <si>
    <r>
      <rPr>
        <sz val="10"/>
        <color rgb="FF000000"/>
        <rFont val="Arial"/>
        <family val="2"/>
      </rPr>
      <t>Phase A Line-to-Neutral Voltage Phase Angle(1E_2W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2E_3W_1P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3E_4W_Y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2E_3W_Network)  /
Phase AB Line-to-Linel Voltage Phase Angle (2E_3W_Delta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Arial"/>
        <family val="2"/>
      </rPr>
      <t>3E_3W_Delta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</si>
  <si>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Phase B Line-to-Neutral Voltage Phase Angle(1E_2W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2E_3W_1P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3E_4W_Y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 xml:space="preserve">2E_3W_Network)  / 
PhaseBC Line-to-Linel Voltage Phase Angle  (2E_3W_Delta  </t>
    </r>
    <r>
      <rPr>
        <sz val="10"/>
        <color rgb="FF000000"/>
        <rFont val="微软雅黑"/>
        <family val="2"/>
        <charset val="134"/>
      </rPr>
      <t>、</t>
    </r>
    <r>
      <rPr>
        <strike/>
        <sz val="10"/>
        <color rgb="FF000000"/>
        <rFont val="Arial"/>
        <family val="2"/>
      </rPr>
      <t>3E_3W_Delta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</si>
  <si>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Phase C Line-to-Neutral Voltage Phase Angle(1E_2W、2E_3W_1P、3E_4W_Y、2E_3W_Network)  / 
PhaseCA Line-to-Linel Voltage Phase Angle  (2E_3W_Delta  、</t>
    </r>
    <r>
      <rPr>
        <strike/>
        <sz val="10"/>
        <color rgb="FF000000"/>
        <rFont val="Arial"/>
        <family val="2"/>
      </rPr>
      <t>3E_3W_Delta</t>
    </r>
    <r>
      <rPr>
        <sz val="10"/>
        <color rgb="FF000000"/>
        <rFont val="Arial"/>
        <family val="2"/>
      </rPr>
      <t>)</t>
    </r>
  </si>
  <si>
    <t>Phase A Current</t>
  </si>
  <si>
    <t>Phase A Active Power</t>
  </si>
  <si>
    <t>Phase A Reactive Power</t>
  </si>
  <si>
    <t>Phase A Apparent Power</t>
  </si>
  <si>
    <t>Phase A Load Nature</t>
    <phoneticPr fontId="1" type="noConversion"/>
  </si>
  <si>
    <t>Phase A Power Factor</t>
  </si>
  <si>
    <t>Phase B Current</t>
    <phoneticPr fontId="1" type="noConversion"/>
  </si>
  <si>
    <t>Phase B Active Power</t>
  </si>
  <si>
    <t>Phase B Reactive Power</t>
  </si>
  <si>
    <t>Phase B Apparent Power</t>
  </si>
  <si>
    <t>Phase B Load Nature</t>
  </si>
  <si>
    <t>Phase B Power Factor</t>
  </si>
  <si>
    <t>Phase C Current</t>
  </si>
  <si>
    <t>Phase C Active Power</t>
  </si>
  <si>
    <t>Phase C Reactive Power</t>
  </si>
  <si>
    <t>Phase C Apparent Power</t>
  </si>
  <si>
    <t>Phase C Load Nature</t>
  </si>
  <si>
    <t>Phase C Power Factor</t>
    <phoneticPr fontId="1" type="noConversion"/>
  </si>
  <si>
    <t>System Average Current</t>
  </si>
  <si>
    <t>System Active Power</t>
  </si>
  <si>
    <t>System Reactive Power</t>
  </si>
  <si>
    <t>System Apparent Power</t>
  </si>
  <si>
    <t>System Load Nature</t>
  </si>
  <si>
    <t>System Power Factor</t>
  </si>
  <si>
    <t>input Channel basic parameters</t>
    <phoneticPr fontId="1" type="noConversion"/>
  </si>
  <si>
    <t>Input Channel 1 Current</t>
    <phoneticPr fontId="1" type="noConversion"/>
  </si>
  <si>
    <t>Input Channel 1 Active Power</t>
    <phoneticPr fontId="1" type="noConversion"/>
  </si>
  <si>
    <t>Input Channel 1 Reactive Power</t>
    <phoneticPr fontId="1" type="noConversion"/>
  </si>
  <si>
    <t>Input Channel 1 Apparent Power</t>
    <phoneticPr fontId="1" type="noConversion"/>
  </si>
  <si>
    <t>Input Channel 1 Load Nature</t>
    <phoneticPr fontId="1" type="noConversion"/>
  </si>
  <si>
    <t>Input Channel 1 Power Factor</t>
    <phoneticPr fontId="1" type="noConversion"/>
  </si>
  <si>
    <t>Input Channel 1 Current Phase Angle</t>
  </si>
  <si>
    <t>Energy Parameter ID</t>
  </si>
  <si>
    <t>Energy( function code:03H)</t>
  </si>
  <si>
    <t>System Energy</t>
    <phoneticPr fontId="10" type="noConversion"/>
  </si>
  <si>
    <t>Phase A active energy import</t>
    <phoneticPr fontId="10" type="noConversion"/>
  </si>
  <si>
    <t>double</t>
  </si>
  <si>
    <t xml:space="preserve">Phase A active energy export </t>
    <phoneticPr fontId="10" type="noConversion"/>
  </si>
  <si>
    <t>Phase A active energy net</t>
    <phoneticPr fontId="10" type="noConversion"/>
  </si>
  <si>
    <t>Phase A active energy total</t>
    <phoneticPr fontId="10" type="noConversion"/>
  </si>
  <si>
    <t>Phase A reactive energy import</t>
    <phoneticPr fontId="10" type="noConversion"/>
  </si>
  <si>
    <t xml:space="preserve">Phase A reactive energy export </t>
    <phoneticPr fontId="10" type="noConversion"/>
  </si>
  <si>
    <t>Phase A reactive energy net</t>
    <phoneticPr fontId="10" type="noConversion"/>
  </si>
  <si>
    <t>Phase A reactive energy total</t>
    <phoneticPr fontId="10" type="noConversion"/>
  </si>
  <si>
    <t>Phase A apparent energy</t>
    <phoneticPr fontId="10" type="noConversion"/>
  </si>
  <si>
    <t>Phase B active energy import</t>
  </si>
  <si>
    <t xml:space="preserve">Phase B active energy export </t>
  </si>
  <si>
    <t>Phase B active energy net</t>
    <phoneticPr fontId="10" type="noConversion"/>
  </si>
  <si>
    <t>Phase B active energy total</t>
  </si>
  <si>
    <t>Phase B reactive energy import</t>
  </si>
  <si>
    <t xml:space="preserve">Phase B reactive energy export </t>
  </si>
  <si>
    <t>Phase B reactive energy net</t>
  </si>
  <si>
    <t>Phase B reactive energy total</t>
  </si>
  <si>
    <t>Phase B apparent energy</t>
  </si>
  <si>
    <t>Phase C active energy import</t>
  </si>
  <si>
    <t xml:space="preserve">Phase C active energy export </t>
    <phoneticPr fontId="10" type="noConversion"/>
  </si>
  <si>
    <t>Phase C active energy net</t>
    <phoneticPr fontId="10" type="noConversion"/>
  </si>
  <si>
    <t>Phase C active energy total</t>
  </si>
  <si>
    <t>Phase C reactive energy import</t>
  </si>
  <si>
    <t xml:space="preserve">Phase C reactive energy export </t>
  </si>
  <si>
    <t>Phase C reactive energy net</t>
  </si>
  <si>
    <t>Phase C reactive energy total</t>
  </si>
  <si>
    <t>Phase C apparent energy</t>
  </si>
  <si>
    <t>System active energy import</t>
  </si>
  <si>
    <t xml:space="preserve">System active energy export </t>
  </si>
  <si>
    <t>System active energy net</t>
  </si>
  <si>
    <t>System active energy total</t>
  </si>
  <si>
    <t>System reactive energy import</t>
  </si>
  <si>
    <t xml:space="preserve">System reactive energy export </t>
  </si>
  <si>
    <t>System reactive energy net</t>
  </si>
  <si>
    <t>System reactive energy total</t>
  </si>
  <si>
    <t>System apparent energy</t>
  </si>
  <si>
    <t>Input Channel Energy</t>
    <phoneticPr fontId="10" type="noConversion"/>
  </si>
  <si>
    <t>Input Channel 1 active energy import</t>
    <phoneticPr fontId="10" type="noConversion"/>
  </si>
  <si>
    <t xml:space="preserve">Input Channel 1 active energy export </t>
    <phoneticPr fontId="10" type="noConversion"/>
  </si>
  <si>
    <t>Input Channel 1 active energy net</t>
    <phoneticPr fontId="10" type="noConversion"/>
  </si>
  <si>
    <t>Input Channel 1 active energy total</t>
    <phoneticPr fontId="10" type="noConversion"/>
  </si>
  <si>
    <t>Input Channel 1 reactive energy import</t>
    <phoneticPr fontId="10" type="noConversion"/>
  </si>
  <si>
    <t xml:space="preserve">Input Channel 1 reactive energy export </t>
    <phoneticPr fontId="10" type="noConversion"/>
  </si>
  <si>
    <t>Input Channel 1 reactive energy net</t>
    <phoneticPr fontId="10" type="noConversion"/>
  </si>
  <si>
    <t>Input Channel 1 reactive energy total</t>
    <phoneticPr fontId="10" type="noConversion"/>
  </si>
  <si>
    <t>Input Channel 1 apparent energy</t>
    <phoneticPr fontId="10" type="noConversion"/>
  </si>
  <si>
    <t>Factory Value</t>
  </si>
  <si>
    <t>Block
code function : 02H Read</t>
  </si>
  <si>
    <t>DI1</t>
  </si>
  <si>
    <t>DI2</t>
  </si>
  <si>
    <t>DI3</t>
  </si>
  <si>
    <t>DI4</t>
  </si>
  <si>
    <t>0x2056</t>
    <phoneticPr fontId="10" type="noConversion"/>
  </si>
  <si>
    <t>0x2057</t>
    <phoneticPr fontId="10" type="noConversion"/>
  </si>
  <si>
    <t>Input Channel 2 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</si>
</sst>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华文细黑"/>
      <family val="3"/>
      <charset val="134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0"/>
      <color rgb="FF0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trike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2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2" borderId="0" xfId="0" applyFont="1" applyFill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7" fillId="0" borderId="0" xfId="0" quotePrefix="1" applyFont="1">
      <alignment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4" fillId="0" borderId="0" xfId="0" applyFont="1">
      <alignment vertical="center"/>
    </xf>
  </cellXfs>
  <cellStyles count="6">
    <cellStyle name="Normal 2" xfId="1" xr:uid="{00000000-0005-0000-0000-00002A000000}"/>
    <cellStyle name="Normal 3" xfId="2" xr:uid="{00000000-0005-0000-0000-00002D000000}"/>
    <cellStyle name="常规" xfId="0" builtinId="0"/>
    <cellStyle name="常规 3" xfId="3" xr:uid="{00000000-0005-0000-0000-000033000000}"/>
    <cellStyle name="常规 3 2" xfId="5" xr:uid="{0D486905-F7AE-44B3-AC76-F40440C36D46}"/>
    <cellStyle name="常规 4" xfId="4" xr:uid="{2F478C7A-6646-4F22-AD11-CA9D4AD71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1"/>
  <sheetViews>
    <sheetView tabSelected="1" zoomScale="115" zoomScaleNormal="115" workbookViewId="0">
      <pane ySplit="1" topLeftCell="A25" activePane="bottomLeft" state="frozen"/>
      <selection pane="bottomLeft" activeCell="F51" sqref="F51"/>
    </sheetView>
  </sheetViews>
  <sheetFormatPr defaultColWidth="9" defaultRowHeight="13.2" x14ac:dyDescent="0.25"/>
  <cols>
    <col min="1" max="1" width="39.88671875" style="4" customWidth="1"/>
    <col min="2" max="2" width="10.44140625" style="5" customWidth="1"/>
    <col min="3" max="5" width="9" style="5"/>
    <col min="6" max="6" width="68.88671875" style="5" customWidth="1"/>
    <col min="7" max="7" width="9" style="5"/>
    <col min="8" max="8" width="6.44140625" style="5" customWidth="1"/>
    <col min="9" max="9" width="8.44140625" style="5" customWidth="1"/>
    <col min="10" max="10" width="12.77734375" style="5" customWidth="1"/>
    <col min="11" max="11" width="20" style="5" customWidth="1"/>
    <col min="12" max="16384" width="9" style="5"/>
  </cols>
  <sheetData>
    <row r="1" spans="1:12" s="1" customForma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 s="4" t="s">
        <v>16</v>
      </c>
    </row>
    <row r="3" spans="1:12" ht="26.4" x14ac:dyDescent="0.25">
      <c r="A3" s="4" t="s">
        <v>17</v>
      </c>
      <c r="B3" s="11" t="str">
        <f>"0x"&amp;DEC2HEX(D3,4)</f>
        <v>0x1FFF</v>
      </c>
      <c r="C3" s="11" t="str">
        <f>"0x"&amp;DEC2HEX(E3,4)</f>
        <v>0x1FFF</v>
      </c>
      <c r="D3" s="11">
        <v>8191</v>
      </c>
      <c r="E3" s="11">
        <f>D3+I3-1</f>
        <v>8191</v>
      </c>
      <c r="F3" s="7" t="s">
        <v>18</v>
      </c>
      <c r="G3" s="7" t="s">
        <v>13</v>
      </c>
      <c r="H3" s="7" t="s">
        <v>15</v>
      </c>
      <c r="I3" s="7">
        <v>1</v>
      </c>
      <c r="J3" s="7"/>
      <c r="K3" s="17" t="s">
        <v>19</v>
      </c>
    </row>
    <row r="4" spans="1:12" x14ac:dyDescent="0.25">
      <c r="A4" s="5"/>
      <c r="B4" s="6" t="str">
        <f>"0x"&amp;DEC2HEX(D4,4)</f>
        <v>0x2000</v>
      </c>
      <c r="C4" s="6" t="str">
        <f>"0x"&amp;DEC2HEX(E4,4)</f>
        <v>0x2001</v>
      </c>
      <c r="D4" s="6">
        <f>E3+1</f>
        <v>8192</v>
      </c>
      <c r="E4" s="6">
        <f>D4+I4-1</f>
        <v>8193</v>
      </c>
      <c r="F4" s="10" t="s">
        <v>20</v>
      </c>
      <c r="G4" s="5" t="s">
        <v>21</v>
      </c>
      <c r="H4" s="5" t="s">
        <v>15</v>
      </c>
      <c r="I4" s="5">
        <v>2</v>
      </c>
    </row>
    <row r="5" spans="1:12" x14ac:dyDescent="0.25">
      <c r="B5" s="6" t="str">
        <f t="shared" ref="B5:C20" si="0">"0x"&amp;DEC2HEX(D5,4)</f>
        <v>0x2002</v>
      </c>
      <c r="C5" s="6" t="str">
        <f t="shared" si="0"/>
        <v>0x2003</v>
      </c>
      <c r="D5" s="6">
        <f>E4+1</f>
        <v>8194</v>
      </c>
      <c r="E5" s="6">
        <f t="shared" ref="E5:E46" si="1">D5+I5-1</f>
        <v>8195</v>
      </c>
      <c r="F5" s="10" t="s">
        <v>22</v>
      </c>
      <c r="G5" s="5" t="s">
        <v>21</v>
      </c>
      <c r="H5" s="5" t="s">
        <v>15</v>
      </c>
      <c r="I5" s="5">
        <v>2</v>
      </c>
    </row>
    <row r="6" spans="1:12" x14ac:dyDescent="0.25">
      <c r="B6" s="6" t="str">
        <f t="shared" si="0"/>
        <v>0x2004</v>
      </c>
      <c r="C6" s="6" t="str">
        <f t="shared" si="0"/>
        <v>0x2005</v>
      </c>
      <c r="D6" s="6">
        <f t="shared" ref="D6:D46" si="2">E5+1</f>
        <v>8196</v>
      </c>
      <c r="E6" s="6">
        <f t="shared" si="1"/>
        <v>8197</v>
      </c>
      <c r="F6" s="10" t="s">
        <v>23</v>
      </c>
      <c r="G6" s="5" t="s">
        <v>21</v>
      </c>
      <c r="H6" s="5" t="s">
        <v>15</v>
      </c>
      <c r="I6" s="5">
        <v>2</v>
      </c>
    </row>
    <row r="7" spans="1:12" x14ac:dyDescent="0.25">
      <c r="B7" s="6" t="str">
        <f t="shared" si="0"/>
        <v>0x2006</v>
      </c>
      <c r="C7" s="6" t="str">
        <f t="shared" si="0"/>
        <v>0x2007</v>
      </c>
      <c r="D7" s="6">
        <f t="shared" si="2"/>
        <v>8198</v>
      </c>
      <c r="E7" s="6">
        <f t="shared" si="1"/>
        <v>8199</v>
      </c>
      <c r="F7" s="10" t="s">
        <v>24</v>
      </c>
      <c r="G7" s="5" t="s">
        <v>21</v>
      </c>
      <c r="H7" s="5" t="s">
        <v>15</v>
      </c>
      <c r="I7" s="5">
        <v>2</v>
      </c>
    </row>
    <row r="8" spans="1:12" x14ac:dyDescent="0.25">
      <c r="B8" s="6" t="str">
        <f t="shared" si="0"/>
        <v>0x2008</v>
      </c>
      <c r="C8" s="6" t="str">
        <f t="shared" si="0"/>
        <v>0x2009</v>
      </c>
      <c r="D8" s="6">
        <f t="shared" si="2"/>
        <v>8200</v>
      </c>
      <c r="E8" s="6">
        <f t="shared" si="1"/>
        <v>8201</v>
      </c>
      <c r="F8" s="10" t="s">
        <v>25</v>
      </c>
      <c r="G8" s="5" t="s">
        <v>21</v>
      </c>
      <c r="H8" s="5" t="s">
        <v>15</v>
      </c>
      <c r="I8" s="5">
        <v>2</v>
      </c>
    </row>
    <row r="9" spans="1:12" x14ac:dyDescent="0.25">
      <c r="B9" s="6" t="str">
        <f t="shared" si="0"/>
        <v>0x200A</v>
      </c>
      <c r="C9" s="6" t="str">
        <f t="shared" si="0"/>
        <v>0x200B</v>
      </c>
      <c r="D9" s="6">
        <f t="shared" si="2"/>
        <v>8202</v>
      </c>
      <c r="E9" s="6">
        <f t="shared" si="1"/>
        <v>8203</v>
      </c>
      <c r="F9" s="10" t="s">
        <v>26</v>
      </c>
      <c r="G9" s="5" t="s">
        <v>21</v>
      </c>
      <c r="H9" s="5" t="s">
        <v>15</v>
      </c>
      <c r="I9" s="5">
        <v>2</v>
      </c>
    </row>
    <row r="10" spans="1:12" x14ac:dyDescent="0.25">
      <c r="B10" s="6" t="str">
        <f t="shared" si="0"/>
        <v>0x200C</v>
      </c>
      <c r="C10" s="6" t="str">
        <f t="shared" si="0"/>
        <v>0x200D</v>
      </c>
      <c r="D10" s="6">
        <f t="shared" si="2"/>
        <v>8204</v>
      </c>
      <c r="E10" s="6">
        <f t="shared" si="1"/>
        <v>8205</v>
      </c>
      <c r="F10" s="10" t="s">
        <v>27</v>
      </c>
      <c r="G10" s="5" t="s">
        <v>21</v>
      </c>
      <c r="H10" s="5" t="s">
        <v>15</v>
      </c>
      <c r="I10" s="5">
        <v>2</v>
      </c>
    </row>
    <row r="11" spans="1:12" x14ac:dyDescent="0.25">
      <c r="B11" s="6" t="str">
        <f t="shared" si="0"/>
        <v>0x200E</v>
      </c>
      <c r="C11" s="6" t="str">
        <f t="shared" si="0"/>
        <v>0x200F</v>
      </c>
      <c r="D11" s="6">
        <f t="shared" si="2"/>
        <v>8206</v>
      </c>
      <c r="E11" s="6">
        <f t="shared" si="1"/>
        <v>8207</v>
      </c>
      <c r="F11" s="10" t="s">
        <v>28</v>
      </c>
      <c r="G11" s="5" t="s">
        <v>21</v>
      </c>
      <c r="H11" s="5" t="s">
        <v>15</v>
      </c>
      <c r="I11" s="5">
        <v>2</v>
      </c>
    </row>
    <row r="12" spans="1:12" x14ac:dyDescent="0.25">
      <c r="B12" s="6" t="str">
        <f t="shared" si="0"/>
        <v>0x2010</v>
      </c>
      <c r="C12" s="6" t="str">
        <f t="shared" si="0"/>
        <v>0x2011</v>
      </c>
      <c r="D12" s="6">
        <f t="shared" si="2"/>
        <v>8208</v>
      </c>
      <c r="E12" s="6">
        <f t="shared" si="1"/>
        <v>8209</v>
      </c>
      <c r="F12" s="10" t="s">
        <v>29</v>
      </c>
      <c r="G12" s="5" t="s">
        <v>21</v>
      </c>
      <c r="H12" s="5" t="s">
        <v>15</v>
      </c>
      <c r="I12" s="5">
        <v>2</v>
      </c>
    </row>
    <row r="13" spans="1:12" ht="43.2" x14ac:dyDescent="0.25">
      <c r="B13" s="6" t="str">
        <f t="shared" si="0"/>
        <v>0x2012</v>
      </c>
      <c r="C13" s="6" t="str">
        <f t="shared" si="0"/>
        <v>0x2013</v>
      </c>
      <c r="D13" s="6">
        <f>E12+1</f>
        <v>8210</v>
      </c>
      <c r="E13" s="6">
        <f t="shared" si="1"/>
        <v>8211</v>
      </c>
      <c r="F13" s="16" t="s">
        <v>30</v>
      </c>
      <c r="G13" s="5" t="s">
        <v>21</v>
      </c>
      <c r="H13" s="5" t="s">
        <v>15</v>
      </c>
      <c r="I13" s="5">
        <v>2</v>
      </c>
      <c r="J13" s="10"/>
    </row>
    <row r="14" spans="1:12" ht="43.2" x14ac:dyDescent="0.25">
      <c r="B14" s="6" t="str">
        <f t="shared" si="0"/>
        <v>0x2014</v>
      </c>
      <c r="C14" s="6" t="str">
        <f t="shared" si="0"/>
        <v>0x2015</v>
      </c>
      <c r="D14" s="6">
        <f t="shared" si="2"/>
        <v>8212</v>
      </c>
      <c r="E14" s="6">
        <f t="shared" si="1"/>
        <v>8213</v>
      </c>
      <c r="F14" s="16" t="s">
        <v>31</v>
      </c>
      <c r="G14" s="5" t="s">
        <v>21</v>
      </c>
      <c r="H14" s="5" t="s">
        <v>15</v>
      </c>
      <c r="I14" s="5">
        <v>2</v>
      </c>
      <c r="J14" s="10"/>
    </row>
    <row r="15" spans="1:12" ht="30" customHeight="1" x14ac:dyDescent="0.25">
      <c r="B15" s="6" t="str">
        <f t="shared" si="0"/>
        <v>0x2016</v>
      </c>
      <c r="C15" s="6" t="str">
        <f t="shared" si="0"/>
        <v>0x2017</v>
      </c>
      <c r="D15" s="6">
        <f t="shared" si="2"/>
        <v>8214</v>
      </c>
      <c r="E15" s="6">
        <f t="shared" si="1"/>
        <v>8215</v>
      </c>
      <c r="F15" s="16" t="s">
        <v>32</v>
      </c>
      <c r="G15" s="5" t="s">
        <v>21</v>
      </c>
      <c r="H15" s="5" t="s">
        <v>15</v>
      </c>
      <c r="I15" s="5">
        <v>2</v>
      </c>
      <c r="J15" s="10"/>
    </row>
    <row r="16" spans="1:12" x14ac:dyDescent="0.25">
      <c r="B16" s="6" t="str">
        <f t="shared" si="0"/>
        <v>0x2018</v>
      </c>
      <c r="C16" s="6" t="str">
        <f t="shared" si="0"/>
        <v>0x2019</v>
      </c>
      <c r="D16" s="6">
        <f>E15+1</f>
        <v>8216</v>
      </c>
      <c r="E16" s="6">
        <f t="shared" si="1"/>
        <v>8217</v>
      </c>
      <c r="F16" s="10" t="s">
        <v>33</v>
      </c>
      <c r="G16" s="5" t="s">
        <v>21</v>
      </c>
      <c r="H16" s="5" t="s">
        <v>15</v>
      </c>
      <c r="I16" s="5">
        <v>2</v>
      </c>
      <c r="J16" s="10"/>
    </row>
    <row r="17" spans="2:10" x14ac:dyDescent="0.25">
      <c r="B17" s="6" t="str">
        <f t="shared" si="0"/>
        <v>0x201A</v>
      </c>
      <c r="C17" s="6" t="str">
        <f t="shared" si="0"/>
        <v>0x201B</v>
      </c>
      <c r="D17" s="6">
        <f t="shared" si="2"/>
        <v>8218</v>
      </c>
      <c r="E17" s="6">
        <f t="shared" si="1"/>
        <v>8219</v>
      </c>
      <c r="F17" s="10" t="s">
        <v>34</v>
      </c>
      <c r="G17" s="5" t="s">
        <v>21</v>
      </c>
      <c r="H17" s="5" t="s">
        <v>15</v>
      </c>
      <c r="I17" s="5">
        <v>2</v>
      </c>
      <c r="J17" s="10"/>
    </row>
    <row r="18" spans="2:10" x14ac:dyDescent="0.25">
      <c r="B18" s="6" t="str">
        <f t="shared" si="0"/>
        <v>0x201C</v>
      </c>
      <c r="C18" s="6" t="str">
        <f t="shared" si="0"/>
        <v>0x201D</v>
      </c>
      <c r="D18" s="6">
        <f t="shared" si="2"/>
        <v>8220</v>
      </c>
      <c r="E18" s="6">
        <f t="shared" si="1"/>
        <v>8221</v>
      </c>
      <c r="F18" s="10" t="s">
        <v>35</v>
      </c>
      <c r="G18" s="5" t="s">
        <v>21</v>
      </c>
      <c r="H18" s="5" t="s">
        <v>15</v>
      </c>
      <c r="I18" s="5">
        <v>2</v>
      </c>
      <c r="J18" s="10"/>
    </row>
    <row r="19" spans="2:10" x14ac:dyDescent="0.25">
      <c r="B19" s="6" t="str">
        <f t="shared" si="0"/>
        <v>0x201E</v>
      </c>
      <c r="C19" s="6" t="str">
        <f t="shared" si="0"/>
        <v>0x201F</v>
      </c>
      <c r="D19" s="6">
        <f t="shared" si="2"/>
        <v>8222</v>
      </c>
      <c r="E19" s="6">
        <f t="shared" si="1"/>
        <v>8223</v>
      </c>
      <c r="F19" s="10" t="s">
        <v>36</v>
      </c>
      <c r="G19" s="5" t="s">
        <v>21</v>
      </c>
      <c r="H19" s="5" t="s">
        <v>15</v>
      </c>
      <c r="I19" s="5">
        <v>2</v>
      </c>
    </row>
    <row r="20" spans="2:10" x14ac:dyDescent="0.25">
      <c r="B20" s="6" t="str">
        <f t="shared" si="0"/>
        <v>0x2020</v>
      </c>
      <c r="C20" s="6" t="str">
        <f t="shared" si="0"/>
        <v>0x2021</v>
      </c>
      <c r="D20" s="6">
        <f t="shared" si="2"/>
        <v>8224</v>
      </c>
      <c r="E20" s="6">
        <f t="shared" si="1"/>
        <v>8225</v>
      </c>
      <c r="F20" s="2" t="s">
        <v>37</v>
      </c>
      <c r="G20" s="5" t="s">
        <v>14</v>
      </c>
      <c r="H20" s="5" t="s">
        <v>15</v>
      </c>
      <c r="I20" s="5">
        <v>2</v>
      </c>
    </row>
    <row r="21" spans="2:10" x14ac:dyDescent="0.25">
      <c r="B21" s="6" t="str">
        <f t="shared" ref="B21:C46" si="3">"0x"&amp;DEC2HEX(D21,4)</f>
        <v>0x2022</v>
      </c>
      <c r="C21" s="6" t="str">
        <f t="shared" si="3"/>
        <v>0x2023</v>
      </c>
      <c r="D21" s="6">
        <f t="shared" si="2"/>
        <v>8226</v>
      </c>
      <c r="E21" s="6">
        <f t="shared" si="1"/>
        <v>8227</v>
      </c>
      <c r="F21" s="10" t="s">
        <v>38</v>
      </c>
      <c r="G21" s="5" t="s">
        <v>21</v>
      </c>
      <c r="H21" s="5" t="s">
        <v>15</v>
      </c>
      <c r="I21" s="5">
        <v>2</v>
      </c>
    </row>
    <row r="22" spans="2:10" x14ac:dyDescent="0.25">
      <c r="B22" s="6" t="str">
        <f t="shared" si="3"/>
        <v>0x2024</v>
      </c>
      <c r="C22" s="6" t="str">
        <f t="shared" si="3"/>
        <v>0x2025</v>
      </c>
      <c r="D22" s="6">
        <f t="shared" si="2"/>
        <v>8228</v>
      </c>
      <c r="E22" s="6">
        <f t="shared" si="1"/>
        <v>8229</v>
      </c>
      <c r="F22" s="2" t="s">
        <v>39</v>
      </c>
      <c r="G22" s="5" t="s">
        <v>21</v>
      </c>
      <c r="H22" s="5" t="s">
        <v>15</v>
      </c>
      <c r="I22" s="5">
        <v>2</v>
      </c>
    </row>
    <row r="23" spans="2:10" x14ac:dyDescent="0.25">
      <c r="B23" s="6" t="str">
        <f t="shared" si="3"/>
        <v>0x2026</v>
      </c>
      <c r="C23" s="6" t="str">
        <f t="shared" si="3"/>
        <v>0x2027</v>
      </c>
      <c r="D23" s="6">
        <f t="shared" si="2"/>
        <v>8230</v>
      </c>
      <c r="E23" s="6">
        <f t="shared" si="1"/>
        <v>8231</v>
      </c>
      <c r="F23" s="2" t="s">
        <v>40</v>
      </c>
      <c r="G23" s="5" t="s">
        <v>21</v>
      </c>
      <c r="H23" s="5" t="s">
        <v>15</v>
      </c>
      <c r="I23" s="5">
        <v>2</v>
      </c>
    </row>
    <row r="24" spans="2:10" x14ac:dyDescent="0.25">
      <c r="B24" s="6" t="str">
        <f t="shared" si="3"/>
        <v>0x2028</v>
      </c>
      <c r="C24" s="6" t="str">
        <f t="shared" si="3"/>
        <v>0x2029</v>
      </c>
      <c r="D24" s="6">
        <f t="shared" si="2"/>
        <v>8232</v>
      </c>
      <c r="E24" s="6">
        <f t="shared" si="1"/>
        <v>8233</v>
      </c>
      <c r="F24" s="2" t="s">
        <v>41</v>
      </c>
      <c r="G24" s="5" t="s">
        <v>21</v>
      </c>
      <c r="H24" s="5" t="s">
        <v>15</v>
      </c>
      <c r="I24" s="5">
        <v>2</v>
      </c>
    </row>
    <row r="25" spans="2:10" x14ac:dyDescent="0.25">
      <c r="B25" s="6" t="str">
        <f t="shared" si="3"/>
        <v>0x202A</v>
      </c>
      <c r="C25" s="6" t="str">
        <f t="shared" si="3"/>
        <v>0x202B</v>
      </c>
      <c r="D25" s="6">
        <f t="shared" si="2"/>
        <v>8234</v>
      </c>
      <c r="E25" s="6">
        <f t="shared" si="1"/>
        <v>8235</v>
      </c>
      <c r="F25" s="2" t="s">
        <v>42</v>
      </c>
      <c r="G25" s="5" t="s">
        <v>21</v>
      </c>
      <c r="H25" s="5" t="s">
        <v>15</v>
      </c>
      <c r="I25" s="5">
        <v>2</v>
      </c>
    </row>
    <row r="26" spans="2:10" x14ac:dyDescent="0.25">
      <c r="B26" s="6" t="str">
        <f t="shared" si="3"/>
        <v>0x202C</v>
      </c>
      <c r="C26" s="6" t="str">
        <f t="shared" si="3"/>
        <v>0x202D</v>
      </c>
      <c r="D26" s="6">
        <f t="shared" si="2"/>
        <v>8236</v>
      </c>
      <c r="E26" s="6">
        <f t="shared" si="1"/>
        <v>8237</v>
      </c>
      <c r="F26" s="2" t="s">
        <v>43</v>
      </c>
      <c r="G26" s="5" t="s">
        <v>14</v>
      </c>
      <c r="H26" s="5" t="s">
        <v>15</v>
      </c>
      <c r="I26" s="5">
        <v>2</v>
      </c>
    </row>
    <row r="27" spans="2:10" x14ac:dyDescent="0.25">
      <c r="B27" s="6" t="str">
        <f t="shared" si="3"/>
        <v>0x202E</v>
      </c>
      <c r="C27" s="6" t="str">
        <f t="shared" si="3"/>
        <v>0x202F</v>
      </c>
      <c r="D27" s="6">
        <f t="shared" si="2"/>
        <v>8238</v>
      </c>
      <c r="E27" s="6">
        <f t="shared" si="1"/>
        <v>8239</v>
      </c>
      <c r="F27" s="2" t="s">
        <v>44</v>
      </c>
      <c r="G27" s="5" t="s">
        <v>21</v>
      </c>
      <c r="H27" s="5" t="s">
        <v>15</v>
      </c>
      <c r="I27" s="5">
        <v>2</v>
      </c>
    </row>
    <row r="28" spans="2:10" x14ac:dyDescent="0.25">
      <c r="B28" s="6" t="str">
        <f t="shared" si="3"/>
        <v>0x2030</v>
      </c>
      <c r="C28" s="6" t="str">
        <f t="shared" si="3"/>
        <v>0x2031</v>
      </c>
      <c r="D28" s="6">
        <f t="shared" si="2"/>
        <v>8240</v>
      </c>
      <c r="E28" s="6">
        <f t="shared" si="1"/>
        <v>8241</v>
      </c>
      <c r="F28" s="2" t="s">
        <v>45</v>
      </c>
      <c r="G28" s="5" t="s">
        <v>21</v>
      </c>
      <c r="H28" s="5" t="s">
        <v>15</v>
      </c>
      <c r="I28" s="5">
        <v>2</v>
      </c>
    </row>
    <row r="29" spans="2:10" x14ac:dyDescent="0.25">
      <c r="B29" s="6" t="str">
        <f t="shared" si="3"/>
        <v>0x2032</v>
      </c>
      <c r="C29" s="6" t="str">
        <f t="shared" si="3"/>
        <v>0x2033</v>
      </c>
      <c r="D29" s="6">
        <f t="shared" si="2"/>
        <v>8242</v>
      </c>
      <c r="E29" s="6">
        <f t="shared" si="1"/>
        <v>8243</v>
      </c>
      <c r="F29" s="2" t="s">
        <v>46</v>
      </c>
      <c r="G29" s="5" t="s">
        <v>21</v>
      </c>
      <c r="H29" s="5" t="s">
        <v>15</v>
      </c>
      <c r="I29" s="5">
        <v>2</v>
      </c>
    </row>
    <row r="30" spans="2:10" x14ac:dyDescent="0.25">
      <c r="B30" s="6" t="str">
        <f t="shared" si="3"/>
        <v>0x2034</v>
      </c>
      <c r="C30" s="6" t="str">
        <f t="shared" si="3"/>
        <v>0x2035</v>
      </c>
      <c r="D30" s="6">
        <f t="shared" si="2"/>
        <v>8244</v>
      </c>
      <c r="E30" s="6">
        <f t="shared" si="1"/>
        <v>8245</v>
      </c>
      <c r="F30" s="2" t="s">
        <v>47</v>
      </c>
      <c r="G30" s="5" t="s">
        <v>21</v>
      </c>
      <c r="H30" s="5" t="s">
        <v>15</v>
      </c>
      <c r="I30" s="5">
        <v>2</v>
      </c>
    </row>
    <row r="31" spans="2:10" x14ac:dyDescent="0.25">
      <c r="B31" s="6" t="str">
        <f t="shared" si="3"/>
        <v>0x2036</v>
      </c>
      <c r="C31" s="6" t="str">
        <f t="shared" si="3"/>
        <v>0x2037</v>
      </c>
      <c r="D31" s="6">
        <f t="shared" si="2"/>
        <v>8246</v>
      </c>
      <c r="E31" s="6">
        <f t="shared" si="1"/>
        <v>8247</v>
      </c>
      <c r="F31" s="2" t="s">
        <v>48</v>
      </c>
      <c r="G31" s="5" t="s">
        <v>21</v>
      </c>
      <c r="H31" s="5" t="s">
        <v>15</v>
      </c>
      <c r="I31" s="5">
        <v>2</v>
      </c>
    </row>
    <row r="32" spans="2:10" x14ac:dyDescent="0.25">
      <c r="B32" s="6" t="str">
        <f t="shared" si="3"/>
        <v>0x2038</v>
      </c>
      <c r="C32" s="6" t="str">
        <f t="shared" si="3"/>
        <v>0x2039</v>
      </c>
      <c r="D32" s="6">
        <f t="shared" si="2"/>
        <v>8248</v>
      </c>
      <c r="E32" s="6">
        <f t="shared" si="1"/>
        <v>8249</v>
      </c>
      <c r="F32" s="2" t="s">
        <v>49</v>
      </c>
      <c r="G32" s="5" t="s">
        <v>14</v>
      </c>
      <c r="H32" s="5" t="s">
        <v>15</v>
      </c>
      <c r="I32" s="5">
        <v>2</v>
      </c>
    </row>
    <row r="33" spans="1:9" x14ac:dyDescent="0.25">
      <c r="B33" s="6" t="str">
        <f t="shared" si="3"/>
        <v>0x203A</v>
      </c>
      <c r="C33" s="6" t="str">
        <f t="shared" si="3"/>
        <v>0x203B</v>
      </c>
      <c r="D33" s="6">
        <f t="shared" si="2"/>
        <v>8250</v>
      </c>
      <c r="E33" s="6">
        <f t="shared" si="1"/>
        <v>8251</v>
      </c>
      <c r="F33" s="2" t="s">
        <v>50</v>
      </c>
      <c r="G33" s="5" t="s">
        <v>21</v>
      </c>
      <c r="H33" s="5" t="s">
        <v>15</v>
      </c>
      <c r="I33" s="5">
        <v>2</v>
      </c>
    </row>
    <row r="34" spans="1:9" x14ac:dyDescent="0.25">
      <c r="B34" s="6" t="str">
        <f t="shared" si="3"/>
        <v>0x203C</v>
      </c>
      <c r="C34" s="6" t="str">
        <f t="shared" si="3"/>
        <v>0x203D</v>
      </c>
      <c r="D34" s="6">
        <f>E33+1</f>
        <v>8252</v>
      </c>
      <c r="E34" s="6">
        <f t="shared" si="1"/>
        <v>8253</v>
      </c>
      <c r="F34" s="2" t="s">
        <v>51</v>
      </c>
      <c r="G34" s="5" t="s">
        <v>21</v>
      </c>
      <c r="H34" s="5" t="s">
        <v>15</v>
      </c>
      <c r="I34" s="5">
        <v>2</v>
      </c>
    </row>
    <row r="35" spans="1:9" x14ac:dyDescent="0.25">
      <c r="B35" s="6" t="str">
        <f t="shared" si="3"/>
        <v>0x203E</v>
      </c>
      <c r="C35" s="6" t="str">
        <f t="shared" si="3"/>
        <v>0x203F</v>
      </c>
      <c r="D35" s="6">
        <f t="shared" si="2"/>
        <v>8254</v>
      </c>
      <c r="E35" s="6">
        <f t="shared" si="1"/>
        <v>8255</v>
      </c>
      <c r="F35" s="2" t="s">
        <v>52</v>
      </c>
      <c r="G35" s="5" t="s">
        <v>21</v>
      </c>
      <c r="H35" s="5" t="s">
        <v>15</v>
      </c>
      <c r="I35" s="5">
        <v>2</v>
      </c>
    </row>
    <row r="36" spans="1:9" x14ac:dyDescent="0.25">
      <c r="B36" s="6" t="str">
        <f t="shared" si="3"/>
        <v>0x2040</v>
      </c>
      <c r="C36" s="6" t="str">
        <f t="shared" si="3"/>
        <v>0x2041</v>
      </c>
      <c r="D36" s="6">
        <f t="shared" si="2"/>
        <v>8256</v>
      </c>
      <c r="E36" s="6">
        <f t="shared" si="1"/>
        <v>8257</v>
      </c>
      <c r="F36" s="2" t="s">
        <v>53</v>
      </c>
      <c r="G36" s="5" t="s">
        <v>21</v>
      </c>
      <c r="H36" s="5" t="s">
        <v>15</v>
      </c>
      <c r="I36" s="5">
        <v>2</v>
      </c>
    </row>
    <row r="37" spans="1:9" x14ac:dyDescent="0.25">
      <c r="B37" s="6" t="str">
        <f t="shared" si="3"/>
        <v>0x2042</v>
      </c>
      <c r="C37" s="6" t="str">
        <f t="shared" si="3"/>
        <v>0x2043</v>
      </c>
      <c r="D37" s="6">
        <f t="shared" si="2"/>
        <v>8258</v>
      </c>
      <c r="E37" s="6">
        <f t="shared" si="1"/>
        <v>8259</v>
      </c>
      <c r="F37" s="2" t="s">
        <v>54</v>
      </c>
      <c r="G37" s="5" t="s">
        <v>21</v>
      </c>
      <c r="H37" s="5" t="s">
        <v>15</v>
      </c>
      <c r="I37" s="5">
        <v>2</v>
      </c>
    </row>
    <row r="38" spans="1:9" x14ac:dyDescent="0.25">
      <c r="B38" s="6" t="str">
        <f t="shared" si="3"/>
        <v>0x2044</v>
      </c>
      <c r="C38" s="6" t="str">
        <f t="shared" si="3"/>
        <v>0x2045</v>
      </c>
      <c r="D38" s="6">
        <f t="shared" si="2"/>
        <v>8260</v>
      </c>
      <c r="E38" s="6">
        <f t="shared" si="1"/>
        <v>8261</v>
      </c>
      <c r="F38" s="2" t="s">
        <v>55</v>
      </c>
      <c r="G38" s="5" t="s">
        <v>14</v>
      </c>
      <c r="H38" s="5" t="s">
        <v>15</v>
      </c>
      <c r="I38" s="5">
        <v>2</v>
      </c>
    </row>
    <row r="39" spans="1:9" x14ac:dyDescent="0.25">
      <c r="B39" s="6" t="str">
        <f t="shared" si="3"/>
        <v>0x2046</v>
      </c>
      <c r="C39" s="6" t="str">
        <f t="shared" si="3"/>
        <v>0x2047</v>
      </c>
      <c r="D39" s="6">
        <f t="shared" si="2"/>
        <v>8262</v>
      </c>
      <c r="E39" s="6">
        <f t="shared" si="1"/>
        <v>8263</v>
      </c>
      <c r="F39" s="2" t="s">
        <v>56</v>
      </c>
      <c r="G39" s="5" t="s">
        <v>21</v>
      </c>
      <c r="H39" s="5" t="s">
        <v>15</v>
      </c>
      <c r="I39" s="5">
        <v>2</v>
      </c>
    </row>
    <row r="40" spans="1:9" x14ac:dyDescent="0.25">
      <c r="A40" s="4" t="s">
        <v>57</v>
      </c>
      <c r="B40" s="6" t="str">
        <f>"0x"&amp;DEC2HEX(D40,4)</f>
        <v>0x2048</v>
      </c>
      <c r="C40" s="6" t="str">
        <f t="shared" si="3"/>
        <v>0x2049</v>
      </c>
      <c r="D40" s="6">
        <f t="shared" si="2"/>
        <v>8264</v>
      </c>
      <c r="E40" s="6">
        <f t="shared" si="1"/>
        <v>8265</v>
      </c>
      <c r="F40" s="2" t="s">
        <v>58</v>
      </c>
      <c r="G40" s="5" t="s">
        <v>21</v>
      </c>
      <c r="H40" s="5" t="s">
        <v>15</v>
      </c>
      <c r="I40" s="5">
        <v>2</v>
      </c>
    </row>
    <row r="41" spans="1:9" x14ac:dyDescent="0.25">
      <c r="B41" s="6" t="str">
        <f t="shared" si="3"/>
        <v>0x204A</v>
      </c>
      <c r="C41" s="6" t="str">
        <f t="shared" si="3"/>
        <v>0x204B</v>
      </c>
      <c r="D41" s="6">
        <f t="shared" si="2"/>
        <v>8266</v>
      </c>
      <c r="E41" s="6">
        <f t="shared" si="1"/>
        <v>8267</v>
      </c>
      <c r="F41" s="2" t="s">
        <v>59</v>
      </c>
      <c r="G41" s="5" t="s">
        <v>21</v>
      </c>
      <c r="H41" s="5" t="s">
        <v>15</v>
      </c>
      <c r="I41" s="5">
        <v>2</v>
      </c>
    </row>
    <row r="42" spans="1:9" x14ac:dyDescent="0.25">
      <c r="B42" s="6" t="str">
        <f t="shared" si="3"/>
        <v>0x204C</v>
      </c>
      <c r="C42" s="6" t="str">
        <f t="shared" si="3"/>
        <v>0x204D</v>
      </c>
      <c r="D42" s="6">
        <f t="shared" si="2"/>
        <v>8268</v>
      </c>
      <c r="E42" s="6">
        <f t="shared" si="1"/>
        <v>8269</v>
      </c>
      <c r="F42" s="2" t="s">
        <v>60</v>
      </c>
      <c r="G42" s="5" t="s">
        <v>21</v>
      </c>
      <c r="H42" s="5" t="s">
        <v>15</v>
      </c>
      <c r="I42" s="5">
        <v>2</v>
      </c>
    </row>
    <row r="43" spans="1:9" x14ac:dyDescent="0.25">
      <c r="B43" s="6" t="str">
        <f t="shared" si="3"/>
        <v>0x204E</v>
      </c>
      <c r="C43" s="6" t="str">
        <f t="shared" si="3"/>
        <v>0x204F</v>
      </c>
      <c r="D43" s="6">
        <f t="shared" si="2"/>
        <v>8270</v>
      </c>
      <c r="E43" s="6">
        <f t="shared" si="1"/>
        <v>8271</v>
      </c>
      <c r="F43" s="2" t="s">
        <v>61</v>
      </c>
      <c r="G43" s="5" t="s">
        <v>21</v>
      </c>
      <c r="H43" s="5" t="s">
        <v>15</v>
      </c>
      <c r="I43" s="5">
        <v>2</v>
      </c>
    </row>
    <row r="44" spans="1:9" x14ac:dyDescent="0.25">
      <c r="B44" s="6" t="str">
        <f t="shared" si="3"/>
        <v>0x2050</v>
      </c>
      <c r="C44" s="6" t="str">
        <f t="shared" si="3"/>
        <v>0x2051</v>
      </c>
      <c r="D44" s="6">
        <f t="shared" si="2"/>
        <v>8272</v>
      </c>
      <c r="E44" s="6">
        <f t="shared" si="1"/>
        <v>8273</v>
      </c>
      <c r="F44" s="2" t="s">
        <v>62</v>
      </c>
      <c r="G44" s="5" t="s">
        <v>14</v>
      </c>
      <c r="H44" s="5" t="s">
        <v>15</v>
      </c>
      <c r="I44" s="5">
        <v>2</v>
      </c>
    </row>
    <row r="45" spans="1:9" x14ac:dyDescent="0.25">
      <c r="B45" s="6" t="str">
        <f t="shared" si="3"/>
        <v>0x2052</v>
      </c>
      <c r="C45" s="6" t="str">
        <f t="shared" si="3"/>
        <v>0x2053</v>
      </c>
      <c r="D45" s="6">
        <f t="shared" si="2"/>
        <v>8274</v>
      </c>
      <c r="E45" s="6">
        <f t="shared" si="1"/>
        <v>8275</v>
      </c>
      <c r="F45" s="2" t="s">
        <v>63</v>
      </c>
      <c r="G45" s="5" t="s">
        <v>21</v>
      </c>
      <c r="H45" s="5" t="s">
        <v>15</v>
      </c>
      <c r="I45" s="5">
        <v>2</v>
      </c>
    </row>
    <row r="46" spans="1:9" x14ac:dyDescent="0.25">
      <c r="B46" s="6" t="str">
        <f t="shared" si="3"/>
        <v>0x2054</v>
      </c>
      <c r="C46" s="6" t="str">
        <f t="shared" si="3"/>
        <v>0x2055</v>
      </c>
      <c r="D46" s="6">
        <f t="shared" si="2"/>
        <v>8276</v>
      </c>
      <c r="E46" s="6">
        <f t="shared" si="1"/>
        <v>8277</v>
      </c>
      <c r="F46" s="2" t="s">
        <v>64</v>
      </c>
      <c r="G46" s="5" t="s">
        <v>21</v>
      </c>
      <c r="H46" s="5" t="s">
        <v>15</v>
      </c>
      <c r="I46" s="5">
        <v>2</v>
      </c>
    </row>
    <row r="47" spans="1:9" x14ac:dyDescent="0.25">
      <c r="B47" s="5" t="s">
        <v>121</v>
      </c>
      <c r="C47" s="5" t="s">
        <v>122</v>
      </c>
      <c r="D47" s="6">
        <v>8278</v>
      </c>
      <c r="E47" s="6">
        <v>8279</v>
      </c>
      <c r="F47" s="2" t="s">
        <v>123</v>
      </c>
      <c r="G47" s="5" t="s">
        <v>21</v>
      </c>
      <c r="H47" s="5" t="s">
        <v>15</v>
      </c>
      <c r="I47" s="5">
        <v>2</v>
      </c>
    </row>
    <row r="48" spans="1:9" x14ac:dyDescent="0.25">
      <c r="F48" s="2"/>
    </row>
    <row r="49" spans="6:6" x14ac:dyDescent="0.25">
      <c r="F49" s="2"/>
    </row>
    <row r="50" spans="6:6" x14ac:dyDescent="0.25">
      <c r="F50" s="2"/>
    </row>
    <row r="51" spans="6:6" x14ac:dyDescent="0.25">
      <c r="F51" s="2"/>
    </row>
    <row r="52" spans="6:6" x14ac:dyDescent="0.25">
      <c r="F52" s="2"/>
    </row>
    <row r="53" spans="6:6" x14ac:dyDescent="0.25">
      <c r="F53" s="2"/>
    </row>
    <row r="54" spans="6:6" x14ac:dyDescent="0.25">
      <c r="F54" s="2"/>
    </row>
    <row r="55" spans="6:6" x14ac:dyDescent="0.25">
      <c r="F55" s="2"/>
    </row>
    <row r="56" spans="6:6" x14ac:dyDescent="0.25">
      <c r="F56" s="2"/>
    </row>
    <row r="57" spans="6:6" x14ac:dyDescent="0.25">
      <c r="F57" s="2"/>
    </row>
    <row r="58" spans="6:6" x14ac:dyDescent="0.25">
      <c r="F58" s="2"/>
    </row>
    <row r="59" spans="6:6" x14ac:dyDescent="0.25">
      <c r="F59" s="2"/>
    </row>
    <row r="60" spans="6:6" x14ac:dyDescent="0.25">
      <c r="F60" s="2"/>
    </row>
    <row r="61" spans="6:6" x14ac:dyDescent="0.25">
      <c r="F61" s="2"/>
    </row>
    <row r="62" spans="6:6" x14ac:dyDescent="0.25">
      <c r="F62" s="2"/>
    </row>
    <row r="63" spans="6:6" x14ac:dyDescent="0.25">
      <c r="F63" s="2"/>
    </row>
    <row r="64" spans="6:6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2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</sheetData>
  <phoneticPr fontId="10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zoomScaleNormal="115" workbookViewId="0">
      <selection activeCell="E32" sqref="E32"/>
    </sheetView>
  </sheetViews>
  <sheetFormatPr defaultColWidth="9" defaultRowHeight="14.4" x14ac:dyDescent="0.25"/>
  <cols>
    <col min="1" max="1" width="28.44140625" customWidth="1"/>
    <col min="6" max="6" width="38.21875" customWidth="1"/>
    <col min="7" max="7" width="9" customWidth="1"/>
    <col min="8" max="8" width="5.21875" customWidth="1"/>
    <col min="9" max="9" width="8.77734375" customWidth="1"/>
    <col min="10" max="10" width="29.33203125" customWidth="1"/>
    <col min="11" max="11" width="31.21875" customWidth="1"/>
  </cols>
  <sheetData>
    <row r="1" spans="1:13" s="1" customFormat="1" ht="13.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65</v>
      </c>
      <c r="K1" s="12" t="s">
        <v>10</v>
      </c>
      <c r="L1" s="1" t="s">
        <v>11</v>
      </c>
      <c r="M1" s="1" t="s">
        <v>12</v>
      </c>
    </row>
    <row r="2" spans="1:13" x14ac:dyDescent="0.25">
      <c r="A2" s="4" t="s">
        <v>66</v>
      </c>
      <c r="B2" s="5"/>
      <c r="C2" s="5"/>
      <c r="D2" s="5"/>
      <c r="E2" s="2"/>
      <c r="F2" s="5"/>
      <c r="G2" s="5"/>
      <c r="H2" s="5"/>
      <c r="I2" s="5"/>
      <c r="J2" s="5"/>
      <c r="K2" s="13"/>
      <c r="L2" s="5"/>
      <c r="M2" s="5"/>
    </row>
    <row r="3" spans="1:13" x14ac:dyDescent="0.25">
      <c r="A3" s="4" t="s">
        <v>67</v>
      </c>
      <c r="B3" s="6" t="str">
        <f t="shared" ref="B3:C5" si="0">"0x"&amp;DEC2HEX(D3,4)</f>
        <v>0x3000</v>
      </c>
      <c r="C3" s="6" t="str">
        <f>"0x"&amp;DEC2HEX(E3,4)</f>
        <v>0x3003</v>
      </c>
      <c r="D3" s="6">
        <v>12288</v>
      </c>
      <c r="E3" s="6">
        <f t="shared" ref="E3:E5" si="1">D3+I3-1</f>
        <v>12291</v>
      </c>
      <c r="F3" s="2" t="s">
        <v>68</v>
      </c>
      <c r="G3" s="5" t="s">
        <v>69</v>
      </c>
      <c r="H3" s="5" t="s">
        <v>15</v>
      </c>
      <c r="I3" s="5">
        <v>4</v>
      </c>
      <c r="J3" s="5">
        <v>1</v>
      </c>
      <c r="K3" s="13"/>
      <c r="L3" s="5"/>
      <c r="M3" s="5"/>
    </row>
    <row r="4" spans="1:13" x14ac:dyDescent="0.25">
      <c r="A4" s="5"/>
      <c r="B4" s="6" t="str">
        <f t="shared" si="0"/>
        <v>0x3004</v>
      </c>
      <c r="C4" s="6" t="str">
        <f t="shared" si="0"/>
        <v>0x3007</v>
      </c>
      <c r="D4" s="6">
        <f>E3+1</f>
        <v>12292</v>
      </c>
      <c r="E4" s="6">
        <f t="shared" si="1"/>
        <v>12295</v>
      </c>
      <c r="F4" s="2" t="s">
        <v>70</v>
      </c>
      <c r="G4" s="5" t="s">
        <v>69</v>
      </c>
      <c r="H4" s="5" t="s">
        <v>15</v>
      </c>
      <c r="I4" s="5">
        <v>4</v>
      </c>
      <c r="J4" s="5">
        <v>2</v>
      </c>
      <c r="K4" s="13"/>
      <c r="L4" s="5"/>
      <c r="M4" s="5"/>
    </row>
    <row r="5" spans="1:13" x14ac:dyDescent="0.25">
      <c r="A5" s="5"/>
      <c r="B5" s="6" t="str">
        <f t="shared" si="0"/>
        <v>0x3008</v>
      </c>
      <c r="C5" s="6" t="str">
        <f t="shared" si="0"/>
        <v>0x300B</v>
      </c>
      <c r="D5" s="6">
        <f t="shared" ref="D5:D47" si="2">E4+1</f>
        <v>12296</v>
      </c>
      <c r="E5" s="6">
        <f t="shared" si="1"/>
        <v>12299</v>
      </c>
      <c r="F5" s="2" t="s">
        <v>71</v>
      </c>
      <c r="G5" s="5" t="s">
        <v>69</v>
      </c>
      <c r="H5" s="5" t="s">
        <v>15</v>
      </c>
      <c r="I5" s="5">
        <v>4</v>
      </c>
      <c r="J5" s="5">
        <v>3</v>
      </c>
      <c r="K5" s="15"/>
      <c r="L5" s="5"/>
      <c r="M5" s="5"/>
    </row>
    <row r="6" spans="1:13" x14ac:dyDescent="0.25">
      <c r="A6" s="5"/>
      <c r="B6" s="6" t="str">
        <f t="shared" ref="B6:B47" si="3">"0x"&amp;DEC2HEX(D6,4)</f>
        <v>0x300C</v>
      </c>
      <c r="C6" s="6" t="str">
        <f t="shared" ref="C6:C47" si="4">"0x"&amp;DEC2HEX(E6,4)</f>
        <v>0x300F</v>
      </c>
      <c r="D6" s="6">
        <f t="shared" si="2"/>
        <v>12300</v>
      </c>
      <c r="E6" s="6">
        <f t="shared" ref="E6:E47" si="5">D6+I6-1</f>
        <v>12303</v>
      </c>
      <c r="F6" s="2" t="s">
        <v>72</v>
      </c>
      <c r="G6" s="5" t="s">
        <v>69</v>
      </c>
      <c r="H6" s="5" t="s">
        <v>15</v>
      </c>
      <c r="I6" s="5">
        <v>4</v>
      </c>
      <c r="J6" s="5">
        <v>4</v>
      </c>
      <c r="K6" s="13"/>
      <c r="L6" s="5"/>
      <c r="M6" s="5"/>
    </row>
    <row r="7" spans="1:13" x14ac:dyDescent="0.25">
      <c r="A7" s="5"/>
      <c r="B7" s="6" t="str">
        <f t="shared" si="3"/>
        <v>0x3010</v>
      </c>
      <c r="C7" s="6" t="str">
        <f t="shared" si="4"/>
        <v>0x3013</v>
      </c>
      <c r="D7" s="6">
        <f t="shared" si="2"/>
        <v>12304</v>
      </c>
      <c r="E7" s="6">
        <f t="shared" si="5"/>
        <v>12307</v>
      </c>
      <c r="F7" s="2" t="s">
        <v>73</v>
      </c>
      <c r="G7" s="5" t="s">
        <v>69</v>
      </c>
      <c r="H7" s="5" t="s">
        <v>15</v>
      </c>
      <c r="I7" s="5">
        <v>4</v>
      </c>
      <c r="J7" s="5">
        <v>5</v>
      </c>
      <c r="K7" s="13"/>
      <c r="L7" s="5"/>
      <c r="M7" s="5"/>
    </row>
    <row r="8" spans="1:13" x14ac:dyDescent="0.25">
      <c r="A8" s="5"/>
      <c r="B8" s="6" t="str">
        <f t="shared" si="3"/>
        <v>0x3014</v>
      </c>
      <c r="C8" s="6" t="str">
        <f t="shared" si="4"/>
        <v>0x3017</v>
      </c>
      <c r="D8" s="6">
        <f t="shared" si="2"/>
        <v>12308</v>
      </c>
      <c r="E8" s="6">
        <f t="shared" si="5"/>
        <v>12311</v>
      </c>
      <c r="F8" s="2" t="s">
        <v>74</v>
      </c>
      <c r="G8" s="5" t="s">
        <v>69</v>
      </c>
      <c r="H8" s="5" t="s">
        <v>15</v>
      </c>
      <c r="I8" s="5">
        <v>4</v>
      </c>
      <c r="J8" s="5">
        <v>6</v>
      </c>
      <c r="K8" s="13"/>
      <c r="L8" s="5"/>
      <c r="M8" s="5"/>
    </row>
    <row r="9" spans="1:13" x14ac:dyDescent="0.25">
      <c r="A9" s="5"/>
      <c r="B9" s="6" t="str">
        <f t="shared" si="3"/>
        <v>0x3018</v>
      </c>
      <c r="C9" s="6" t="str">
        <f t="shared" si="4"/>
        <v>0x301B</v>
      </c>
      <c r="D9" s="6">
        <f t="shared" si="2"/>
        <v>12312</v>
      </c>
      <c r="E9" s="6">
        <f t="shared" si="5"/>
        <v>12315</v>
      </c>
      <c r="F9" s="2" t="s">
        <v>75</v>
      </c>
      <c r="G9" s="5" t="s">
        <v>69</v>
      </c>
      <c r="H9" s="5" t="s">
        <v>15</v>
      </c>
      <c r="I9" s="5">
        <v>4</v>
      </c>
      <c r="J9" s="5">
        <v>7</v>
      </c>
      <c r="K9" s="15"/>
      <c r="L9" s="5"/>
      <c r="M9" s="5"/>
    </row>
    <row r="10" spans="1:13" x14ac:dyDescent="0.25">
      <c r="A10" s="5"/>
      <c r="B10" s="6" t="str">
        <f t="shared" si="3"/>
        <v>0x301C</v>
      </c>
      <c r="C10" s="6" t="str">
        <f t="shared" si="4"/>
        <v>0x301F</v>
      </c>
      <c r="D10" s="6">
        <f t="shared" si="2"/>
        <v>12316</v>
      </c>
      <c r="E10" s="6">
        <f t="shared" si="5"/>
        <v>12319</v>
      </c>
      <c r="F10" s="2" t="s">
        <v>76</v>
      </c>
      <c r="G10" s="5" t="s">
        <v>69</v>
      </c>
      <c r="H10" s="5" t="s">
        <v>15</v>
      </c>
      <c r="I10" s="5">
        <v>4</v>
      </c>
      <c r="J10" s="5">
        <v>8</v>
      </c>
      <c r="K10" s="13"/>
      <c r="L10" s="5"/>
      <c r="M10" s="5"/>
    </row>
    <row r="11" spans="1:13" x14ac:dyDescent="0.25">
      <c r="A11" s="5"/>
      <c r="B11" s="6" t="str">
        <f t="shared" si="3"/>
        <v>0x3020</v>
      </c>
      <c r="C11" s="6" t="str">
        <f t="shared" si="4"/>
        <v>0x3023</v>
      </c>
      <c r="D11" s="6">
        <f t="shared" si="2"/>
        <v>12320</v>
      </c>
      <c r="E11" s="6">
        <f t="shared" si="5"/>
        <v>12323</v>
      </c>
      <c r="F11" s="2" t="s">
        <v>77</v>
      </c>
      <c r="G11" s="5" t="s">
        <v>69</v>
      </c>
      <c r="H11" s="5" t="s">
        <v>15</v>
      </c>
      <c r="I11" s="5">
        <v>4</v>
      </c>
      <c r="J11" s="5">
        <v>9</v>
      </c>
      <c r="K11" s="13"/>
      <c r="L11" s="5"/>
      <c r="M11" s="5"/>
    </row>
    <row r="12" spans="1:13" x14ac:dyDescent="0.25">
      <c r="A12" s="5"/>
      <c r="B12" s="6" t="str">
        <f t="shared" si="3"/>
        <v>0x3024</v>
      </c>
      <c r="C12" s="6" t="str">
        <f t="shared" si="4"/>
        <v>0x3027</v>
      </c>
      <c r="D12" s="6">
        <f t="shared" si="2"/>
        <v>12324</v>
      </c>
      <c r="E12" s="6">
        <f t="shared" si="5"/>
        <v>12327</v>
      </c>
      <c r="F12" s="2" t="s">
        <v>78</v>
      </c>
      <c r="G12" s="5" t="s">
        <v>69</v>
      </c>
      <c r="H12" s="5" t="s">
        <v>15</v>
      </c>
      <c r="I12" s="5">
        <v>4</v>
      </c>
      <c r="J12" s="5">
        <v>10</v>
      </c>
      <c r="K12" s="13"/>
      <c r="L12" s="5"/>
      <c r="M12" s="5"/>
    </row>
    <row r="13" spans="1:13" x14ac:dyDescent="0.25">
      <c r="A13" s="5"/>
      <c r="B13" s="6" t="str">
        <f t="shared" si="3"/>
        <v>0x3028</v>
      </c>
      <c r="C13" s="6" t="str">
        <f t="shared" si="4"/>
        <v>0x302B</v>
      </c>
      <c r="D13" s="6">
        <f t="shared" si="2"/>
        <v>12328</v>
      </c>
      <c r="E13" s="6">
        <f t="shared" si="5"/>
        <v>12331</v>
      </c>
      <c r="F13" s="2" t="s">
        <v>79</v>
      </c>
      <c r="G13" s="5" t="s">
        <v>69</v>
      </c>
      <c r="H13" s="5" t="s">
        <v>15</v>
      </c>
      <c r="I13" s="5">
        <v>4</v>
      </c>
      <c r="J13" s="5">
        <v>11</v>
      </c>
      <c r="K13" s="13"/>
      <c r="L13" s="5"/>
      <c r="M13" s="5"/>
    </row>
    <row r="14" spans="1:13" x14ac:dyDescent="0.25">
      <c r="A14" s="5"/>
      <c r="B14" s="6" t="str">
        <f t="shared" si="3"/>
        <v>0x302C</v>
      </c>
      <c r="C14" s="6" t="str">
        <f t="shared" si="4"/>
        <v>0x302F</v>
      </c>
      <c r="D14" s="6">
        <f t="shared" si="2"/>
        <v>12332</v>
      </c>
      <c r="E14" s="6">
        <f t="shared" si="5"/>
        <v>12335</v>
      </c>
      <c r="F14" s="2" t="s">
        <v>80</v>
      </c>
      <c r="G14" s="5" t="s">
        <v>69</v>
      </c>
      <c r="H14" s="5" t="s">
        <v>15</v>
      </c>
      <c r="I14" s="5">
        <v>4</v>
      </c>
      <c r="J14" s="5">
        <v>12</v>
      </c>
      <c r="K14" s="15"/>
      <c r="L14" s="5"/>
      <c r="M14" s="5"/>
    </row>
    <row r="15" spans="1:13" x14ac:dyDescent="0.25">
      <c r="A15" s="5"/>
      <c r="B15" s="6" t="str">
        <f t="shared" si="3"/>
        <v>0x3030</v>
      </c>
      <c r="C15" s="6" t="str">
        <f t="shared" si="4"/>
        <v>0x3033</v>
      </c>
      <c r="D15" s="6">
        <f t="shared" si="2"/>
        <v>12336</v>
      </c>
      <c r="E15" s="6">
        <f t="shared" si="5"/>
        <v>12339</v>
      </c>
      <c r="F15" s="2" t="s">
        <v>81</v>
      </c>
      <c r="G15" s="5" t="s">
        <v>69</v>
      </c>
      <c r="H15" s="5" t="s">
        <v>15</v>
      </c>
      <c r="I15" s="5">
        <v>4</v>
      </c>
      <c r="J15" s="5">
        <v>13</v>
      </c>
      <c r="K15" s="13"/>
      <c r="L15" s="5"/>
      <c r="M15" s="5"/>
    </row>
    <row r="16" spans="1:13" x14ac:dyDescent="0.25">
      <c r="A16" s="5"/>
      <c r="B16" s="6" t="str">
        <f t="shared" si="3"/>
        <v>0x3034</v>
      </c>
      <c r="C16" s="6" t="str">
        <f t="shared" si="4"/>
        <v>0x3037</v>
      </c>
      <c r="D16" s="6">
        <f t="shared" si="2"/>
        <v>12340</v>
      </c>
      <c r="E16" s="6">
        <f t="shared" si="5"/>
        <v>12343</v>
      </c>
      <c r="F16" s="2" t="s">
        <v>82</v>
      </c>
      <c r="G16" s="5" t="s">
        <v>69</v>
      </c>
      <c r="H16" s="5" t="s">
        <v>15</v>
      </c>
      <c r="I16" s="5">
        <v>4</v>
      </c>
      <c r="J16" s="5">
        <v>14</v>
      </c>
      <c r="K16" s="13"/>
      <c r="L16" s="5"/>
      <c r="M16" s="5"/>
    </row>
    <row r="17" spans="1:13" x14ac:dyDescent="0.25">
      <c r="A17" s="5"/>
      <c r="B17" s="6" t="str">
        <f t="shared" si="3"/>
        <v>0x3038</v>
      </c>
      <c r="C17" s="6" t="str">
        <f t="shared" si="4"/>
        <v>0x303B</v>
      </c>
      <c r="D17" s="6">
        <f t="shared" si="2"/>
        <v>12344</v>
      </c>
      <c r="E17" s="6">
        <f t="shared" si="5"/>
        <v>12347</v>
      </c>
      <c r="F17" s="2" t="s">
        <v>83</v>
      </c>
      <c r="G17" s="5" t="s">
        <v>69</v>
      </c>
      <c r="H17" s="5" t="s">
        <v>15</v>
      </c>
      <c r="I17" s="5">
        <v>4</v>
      </c>
      <c r="J17" s="5">
        <v>15</v>
      </c>
      <c r="K17" s="13"/>
      <c r="L17" s="5"/>
      <c r="M17" s="5"/>
    </row>
    <row r="18" spans="1:13" x14ac:dyDescent="0.25">
      <c r="A18" s="5"/>
      <c r="B18" s="6" t="str">
        <f t="shared" si="3"/>
        <v>0x303C</v>
      </c>
      <c r="C18" s="6" t="str">
        <f t="shared" si="4"/>
        <v>0x303F</v>
      </c>
      <c r="D18" s="6">
        <f t="shared" si="2"/>
        <v>12348</v>
      </c>
      <c r="E18" s="6">
        <f t="shared" si="5"/>
        <v>12351</v>
      </c>
      <c r="F18" s="2" t="s">
        <v>84</v>
      </c>
      <c r="G18" s="5" t="s">
        <v>69</v>
      </c>
      <c r="H18" s="5" t="s">
        <v>15</v>
      </c>
      <c r="I18" s="5">
        <v>4</v>
      </c>
      <c r="J18" s="5">
        <v>16</v>
      </c>
      <c r="K18" s="15"/>
      <c r="L18" s="5"/>
      <c r="M18" s="5"/>
    </row>
    <row r="19" spans="1:13" x14ac:dyDescent="0.25">
      <c r="A19" s="5"/>
      <c r="B19" s="6" t="str">
        <f t="shared" si="3"/>
        <v>0x3040</v>
      </c>
      <c r="C19" s="6" t="str">
        <f t="shared" si="4"/>
        <v>0x3043</v>
      </c>
      <c r="D19" s="6">
        <f t="shared" si="2"/>
        <v>12352</v>
      </c>
      <c r="E19" s="6">
        <f t="shared" si="5"/>
        <v>12355</v>
      </c>
      <c r="F19" s="2" t="s">
        <v>85</v>
      </c>
      <c r="G19" s="5" t="s">
        <v>69</v>
      </c>
      <c r="H19" s="5" t="s">
        <v>15</v>
      </c>
      <c r="I19" s="5">
        <v>4</v>
      </c>
      <c r="J19" s="5">
        <v>17</v>
      </c>
      <c r="K19" s="13"/>
      <c r="L19" s="5"/>
      <c r="M19" s="5"/>
    </row>
    <row r="20" spans="1:13" x14ac:dyDescent="0.25">
      <c r="A20" s="5"/>
      <c r="B20" s="6" t="str">
        <f t="shared" si="3"/>
        <v>0x3044</v>
      </c>
      <c r="C20" s="6" t="str">
        <f t="shared" si="4"/>
        <v>0x3047</v>
      </c>
      <c r="D20" s="6">
        <f t="shared" si="2"/>
        <v>12356</v>
      </c>
      <c r="E20" s="6">
        <f t="shared" si="5"/>
        <v>12359</v>
      </c>
      <c r="F20" s="2" t="s">
        <v>86</v>
      </c>
      <c r="G20" s="5" t="s">
        <v>69</v>
      </c>
      <c r="H20" s="5" t="s">
        <v>15</v>
      </c>
      <c r="I20" s="5">
        <v>4</v>
      </c>
      <c r="J20" s="5">
        <v>18</v>
      </c>
      <c r="K20" s="13"/>
      <c r="L20" s="5"/>
      <c r="M20" s="5"/>
    </row>
    <row r="21" spans="1:13" x14ac:dyDescent="0.25">
      <c r="A21" s="5"/>
      <c r="B21" s="6" t="str">
        <f t="shared" si="3"/>
        <v>0x3048</v>
      </c>
      <c r="C21" s="6" t="str">
        <f t="shared" si="4"/>
        <v>0x304B</v>
      </c>
      <c r="D21" s="6">
        <f t="shared" si="2"/>
        <v>12360</v>
      </c>
      <c r="E21" s="6">
        <f t="shared" si="5"/>
        <v>12363</v>
      </c>
      <c r="F21" s="2" t="s">
        <v>87</v>
      </c>
      <c r="G21" s="5" t="s">
        <v>69</v>
      </c>
      <c r="H21" s="5" t="s">
        <v>15</v>
      </c>
      <c r="I21" s="5">
        <v>4</v>
      </c>
      <c r="J21" s="5">
        <v>19</v>
      </c>
      <c r="K21" s="13"/>
      <c r="L21" s="5"/>
      <c r="M21" s="5"/>
    </row>
    <row r="22" spans="1:13" x14ac:dyDescent="0.25">
      <c r="A22" s="5"/>
      <c r="B22" s="6" t="str">
        <f t="shared" si="3"/>
        <v>0x304C</v>
      </c>
      <c r="C22" s="6" t="str">
        <f t="shared" si="4"/>
        <v>0x304F</v>
      </c>
      <c r="D22" s="6">
        <f t="shared" si="2"/>
        <v>12364</v>
      </c>
      <c r="E22" s="6">
        <f t="shared" si="5"/>
        <v>12367</v>
      </c>
      <c r="F22" s="2" t="s">
        <v>88</v>
      </c>
      <c r="G22" s="5" t="s">
        <v>69</v>
      </c>
      <c r="H22" s="5" t="s">
        <v>15</v>
      </c>
      <c r="I22" s="5">
        <v>4</v>
      </c>
      <c r="J22" s="5">
        <v>20</v>
      </c>
      <c r="K22" s="13"/>
      <c r="L22" s="5"/>
      <c r="M22" s="5"/>
    </row>
    <row r="23" spans="1:13" x14ac:dyDescent="0.25">
      <c r="A23" s="5"/>
      <c r="B23" s="6" t="str">
        <f t="shared" si="3"/>
        <v>0x3050</v>
      </c>
      <c r="C23" s="6" t="str">
        <f t="shared" si="4"/>
        <v>0x3053</v>
      </c>
      <c r="D23" s="6">
        <f t="shared" si="2"/>
        <v>12368</v>
      </c>
      <c r="E23" s="6">
        <f t="shared" si="5"/>
        <v>12371</v>
      </c>
      <c r="F23" s="2" t="s">
        <v>89</v>
      </c>
      <c r="G23" s="5" t="s">
        <v>69</v>
      </c>
      <c r="H23" s="5" t="s">
        <v>15</v>
      </c>
      <c r="I23" s="5">
        <v>4</v>
      </c>
      <c r="J23" s="5">
        <v>21</v>
      </c>
      <c r="K23" s="13"/>
      <c r="L23" s="5"/>
      <c r="M23" s="5"/>
    </row>
    <row r="24" spans="1:13" x14ac:dyDescent="0.25">
      <c r="A24" s="5"/>
      <c r="B24" s="6" t="str">
        <f t="shared" si="3"/>
        <v>0x3054</v>
      </c>
      <c r="C24" s="6" t="str">
        <f t="shared" si="4"/>
        <v>0x3057</v>
      </c>
      <c r="D24" s="6">
        <f t="shared" si="2"/>
        <v>12372</v>
      </c>
      <c r="E24" s="6">
        <f t="shared" si="5"/>
        <v>12375</v>
      </c>
      <c r="F24" s="2" t="s">
        <v>90</v>
      </c>
      <c r="G24" s="5" t="s">
        <v>69</v>
      </c>
      <c r="H24" s="5" t="s">
        <v>15</v>
      </c>
      <c r="I24" s="5">
        <v>4</v>
      </c>
      <c r="J24" s="5">
        <v>22</v>
      </c>
      <c r="K24" s="15"/>
      <c r="L24" s="5"/>
      <c r="M24" s="5"/>
    </row>
    <row r="25" spans="1:13" x14ac:dyDescent="0.25">
      <c r="A25" s="5"/>
      <c r="B25" s="6" t="str">
        <f t="shared" si="3"/>
        <v>0x3058</v>
      </c>
      <c r="C25" s="6" t="str">
        <f t="shared" si="4"/>
        <v>0x305B</v>
      </c>
      <c r="D25" s="6">
        <f t="shared" si="2"/>
        <v>12376</v>
      </c>
      <c r="E25" s="6">
        <f t="shared" si="5"/>
        <v>12379</v>
      </c>
      <c r="F25" s="2" t="s">
        <v>91</v>
      </c>
      <c r="G25" s="5" t="s">
        <v>69</v>
      </c>
      <c r="H25" s="5" t="s">
        <v>15</v>
      </c>
      <c r="I25" s="5">
        <v>4</v>
      </c>
      <c r="J25" s="5">
        <v>23</v>
      </c>
      <c r="K25" s="13"/>
      <c r="L25" s="5"/>
      <c r="M25" s="5"/>
    </row>
    <row r="26" spans="1:13" x14ac:dyDescent="0.25">
      <c r="A26" s="5"/>
      <c r="B26" s="6" t="str">
        <f t="shared" si="3"/>
        <v>0x305C</v>
      </c>
      <c r="C26" s="6" t="str">
        <f t="shared" si="4"/>
        <v>0x305F</v>
      </c>
      <c r="D26" s="6">
        <f t="shared" si="2"/>
        <v>12380</v>
      </c>
      <c r="E26" s="6">
        <f t="shared" si="5"/>
        <v>12383</v>
      </c>
      <c r="F26" s="2" t="s">
        <v>92</v>
      </c>
      <c r="G26" s="5" t="s">
        <v>69</v>
      </c>
      <c r="H26" s="5" t="s">
        <v>15</v>
      </c>
      <c r="I26" s="5">
        <v>4</v>
      </c>
      <c r="J26" s="5">
        <v>24</v>
      </c>
      <c r="K26" s="13"/>
      <c r="L26" s="5"/>
      <c r="M26" s="5"/>
    </row>
    <row r="27" spans="1:13" x14ac:dyDescent="0.25">
      <c r="A27" s="5"/>
      <c r="B27" s="6" t="str">
        <f t="shared" si="3"/>
        <v>0x3060</v>
      </c>
      <c r="C27" s="6" t="str">
        <f t="shared" si="4"/>
        <v>0x3063</v>
      </c>
      <c r="D27" s="6">
        <f t="shared" si="2"/>
        <v>12384</v>
      </c>
      <c r="E27" s="6">
        <f t="shared" si="5"/>
        <v>12387</v>
      </c>
      <c r="F27" s="2" t="s">
        <v>93</v>
      </c>
      <c r="G27" s="5" t="s">
        <v>69</v>
      </c>
      <c r="H27" s="5" t="s">
        <v>15</v>
      </c>
      <c r="I27" s="5">
        <v>4</v>
      </c>
      <c r="J27" s="5">
        <v>25</v>
      </c>
      <c r="K27" s="15"/>
      <c r="L27" s="5"/>
      <c r="M27" s="5"/>
    </row>
    <row r="28" spans="1:13" x14ac:dyDescent="0.25">
      <c r="A28" s="5"/>
      <c r="B28" s="6" t="str">
        <f t="shared" si="3"/>
        <v>0x3064</v>
      </c>
      <c r="C28" s="6" t="str">
        <f t="shared" si="4"/>
        <v>0x3067</v>
      </c>
      <c r="D28" s="6">
        <f t="shared" si="2"/>
        <v>12388</v>
      </c>
      <c r="E28" s="6">
        <f t="shared" si="5"/>
        <v>12391</v>
      </c>
      <c r="F28" s="2" t="s">
        <v>94</v>
      </c>
      <c r="G28" s="5" t="s">
        <v>69</v>
      </c>
      <c r="H28" s="5" t="s">
        <v>15</v>
      </c>
      <c r="I28" s="5">
        <v>4</v>
      </c>
      <c r="J28" s="5">
        <v>26</v>
      </c>
      <c r="K28" s="13"/>
      <c r="L28" s="5"/>
      <c r="M28" s="5"/>
    </row>
    <row r="29" spans="1:13" x14ac:dyDescent="0.25">
      <c r="A29" s="5"/>
      <c r="B29" s="6" t="str">
        <f t="shared" si="3"/>
        <v>0x3068</v>
      </c>
      <c r="C29" s="6" t="str">
        <f t="shared" si="4"/>
        <v>0x306B</v>
      </c>
      <c r="D29" s="6">
        <f t="shared" si="2"/>
        <v>12392</v>
      </c>
      <c r="E29" s="6">
        <f t="shared" si="5"/>
        <v>12395</v>
      </c>
      <c r="F29" s="2" t="s">
        <v>95</v>
      </c>
      <c r="G29" s="5" t="s">
        <v>69</v>
      </c>
      <c r="H29" s="5" t="s">
        <v>15</v>
      </c>
      <c r="I29" s="5">
        <v>4</v>
      </c>
      <c r="J29" s="5">
        <v>27</v>
      </c>
      <c r="K29" s="13"/>
      <c r="L29" s="5"/>
      <c r="M29" s="5"/>
    </row>
    <row r="30" spans="1:13" x14ac:dyDescent="0.25">
      <c r="A30" s="5"/>
      <c r="B30" s="6" t="str">
        <f t="shared" si="3"/>
        <v>0x306C</v>
      </c>
      <c r="C30" s="6" t="str">
        <f t="shared" si="4"/>
        <v>0x306F</v>
      </c>
      <c r="D30" s="6">
        <f t="shared" si="2"/>
        <v>12396</v>
      </c>
      <c r="E30" s="6">
        <f t="shared" si="5"/>
        <v>12399</v>
      </c>
      <c r="F30" s="2" t="s">
        <v>96</v>
      </c>
      <c r="G30" s="5" t="s">
        <v>69</v>
      </c>
      <c r="H30" s="5" t="s">
        <v>15</v>
      </c>
      <c r="I30" s="5">
        <v>4</v>
      </c>
      <c r="J30" s="5">
        <v>28</v>
      </c>
      <c r="K30" s="13"/>
      <c r="L30" s="5"/>
      <c r="M30" s="5"/>
    </row>
    <row r="31" spans="1:13" x14ac:dyDescent="0.25">
      <c r="A31" s="5"/>
      <c r="B31" s="6" t="str">
        <f t="shared" si="3"/>
        <v>0x3070</v>
      </c>
      <c r="C31" s="6" t="str">
        <f t="shared" si="4"/>
        <v>0x3073</v>
      </c>
      <c r="D31" s="6">
        <f t="shared" si="2"/>
        <v>12400</v>
      </c>
      <c r="E31" s="6">
        <f t="shared" si="5"/>
        <v>12403</v>
      </c>
      <c r="F31" s="2" t="s">
        <v>97</v>
      </c>
      <c r="G31" s="5" t="s">
        <v>69</v>
      </c>
      <c r="H31" s="5" t="s">
        <v>15</v>
      </c>
      <c r="I31" s="5">
        <v>4</v>
      </c>
      <c r="J31" s="5">
        <v>29</v>
      </c>
      <c r="K31" s="13"/>
      <c r="L31" s="5"/>
      <c r="M31" s="5"/>
    </row>
    <row r="32" spans="1:13" x14ac:dyDescent="0.25">
      <c r="A32" s="5"/>
      <c r="B32" s="6" t="str">
        <f t="shared" si="3"/>
        <v>0x3074</v>
      </c>
      <c r="C32" s="6" t="str">
        <f t="shared" si="4"/>
        <v>0x3077</v>
      </c>
      <c r="D32" s="6">
        <f t="shared" si="2"/>
        <v>12404</v>
      </c>
      <c r="E32" s="6">
        <f t="shared" si="5"/>
        <v>12407</v>
      </c>
      <c r="F32" s="2" t="s">
        <v>98</v>
      </c>
      <c r="G32" s="5" t="s">
        <v>69</v>
      </c>
      <c r="H32" s="5" t="s">
        <v>15</v>
      </c>
      <c r="I32" s="5">
        <v>4</v>
      </c>
      <c r="J32" s="5">
        <v>30</v>
      </c>
      <c r="K32" s="15"/>
      <c r="L32" s="5"/>
      <c r="M32" s="5"/>
    </row>
    <row r="33" spans="1:13" x14ac:dyDescent="0.25">
      <c r="A33" s="5"/>
      <c r="B33" s="6" t="str">
        <f t="shared" si="3"/>
        <v>0x3078</v>
      </c>
      <c r="C33" s="6" t="str">
        <f t="shared" si="4"/>
        <v>0x307B</v>
      </c>
      <c r="D33" s="6">
        <f t="shared" si="2"/>
        <v>12408</v>
      </c>
      <c r="E33" s="6">
        <f t="shared" si="5"/>
        <v>12411</v>
      </c>
      <c r="F33" s="2" t="s">
        <v>99</v>
      </c>
      <c r="G33" s="5" t="s">
        <v>69</v>
      </c>
      <c r="H33" s="5" t="s">
        <v>15</v>
      </c>
      <c r="I33" s="5">
        <v>4</v>
      </c>
      <c r="J33" s="5">
        <v>31</v>
      </c>
      <c r="K33" s="13"/>
      <c r="L33" s="5"/>
      <c r="M33" s="5"/>
    </row>
    <row r="34" spans="1:13" x14ac:dyDescent="0.25">
      <c r="A34" s="5"/>
      <c r="B34" s="6" t="str">
        <f t="shared" si="3"/>
        <v>0x307C</v>
      </c>
      <c r="C34" s="6" t="str">
        <f t="shared" si="4"/>
        <v>0x307F</v>
      </c>
      <c r="D34" s="6">
        <f t="shared" si="2"/>
        <v>12412</v>
      </c>
      <c r="E34" s="6">
        <f t="shared" si="5"/>
        <v>12415</v>
      </c>
      <c r="F34" s="2" t="s">
        <v>100</v>
      </c>
      <c r="G34" s="5" t="s">
        <v>69</v>
      </c>
      <c r="H34" s="5" t="s">
        <v>15</v>
      </c>
      <c r="I34" s="5">
        <v>4</v>
      </c>
      <c r="J34" s="5">
        <v>32</v>
      </c>
      <c r="K34" s="13"/>
      <c r="L34" s="5"/>
      <c r="M34" s="5"/>
    </row>
    <row r="35" spans="1:13" x14ac:dyDescent="0.25">
      <c r="A35" s="5"/>
      <c r="B35" s="6" t="str">
        <f t="shared" si="3"/>
        <v>0x3080</v>
      </c>
      <c r="C35" s="6" t="str">
        <f t="shared" si="4"/>
        <v>0x3083</v>
      </c>
      <c r="D35" s="6">
        <f t="shared" si="2"/>
        <v>12416</v>
      </c>
      <c r="E35" s="6">
        <f t="shared" si="5"/>
        <v>12419</v>
      </c>
      <c r="F35" s="2" t="s">
        <v>101</v>
      </c>
      <c r="G35" s="5" t="s">
        <v>69</v>
      </c>
      <c r="H35" s="5" t="s">
        <v>15</v>
      </c>
      <c r="I35" s="5">
        <v>4</v>
      </c>
      <c r="J35" s="5">
        <v>33</v>
      </c>
      <c r="K35" s="13"/>
      <c r="L35" s="5"/>
      <c r="M35" s="5"/>
    </row>
    <row r="36" spans="1:13" x14ac:dyDescent="0.25">
      <c r="A36" s="5"/>
      <c r="B36" s="6" t="str">
        <f t="shared" si="3"/>
        <v>0x3084</v>
      </c>
      <c r="C36" s="6" t="str">
        <f t="shared" si="4"/>
        <v>0x3087</v>
      </c>
      <c r="D36" s="6">
        <f t="shared" si="2"/>
        <v>12420</v>
      </c>
      <c r="E36" s="6">
        <f t="shared" si="5"/>
        <v>12423</v>
      </c>
      <c r="F36" s="2" t="s">
        <v>102</v>
      </c>
      <c r="G36" s="5" t="s">
        <v>69</v>
      </c>
      <c r="H36" s="5" t="s">
        <v>15</v>
      </c>
      <c r="I36" s="5">
        <v>4</v>
      </c>
      <c r="J36" s="5">
        <v>34</v>
      </c>
      <c r="K36" s="15"/>
      <c r="L36" s="5"/>
      <c r="M36" s="5"/>
    </row>
    <row r="37" spans="1:13" x14ac:dyDescent="0.25">
      <c r="A37" s="5"/>
      <c r="B37" s="6" t="str">
        <f t="shared" si="3"/>
        <v>0x3088</v>
      </c>
      <c r="C37" s="6" t="str">
        <f t="shared" si="4"/>
        <v>0x308B</v>
      </c>
      <c r="D37" s="6">
        <f t="shared" si="2"/>
        <v>12424</v>
      </c>
      <c r="E37" s="6">
        <f t="shared" si="5"/>
        <v>12427</v>
      </c>
      <c r="F37" s="2" t="s">
        <v>103</v>
      </c>
      <c r="G37" s="5" t="s">
        <v>69</v>
      </c>
      <c r="H37" s="5" t="s">
        <v>15</v>
      </c>
      <c r="I37" s="5">
        <v>4</v>
      </c>
      <c r="J37" s="5">
        <v>35</v>
      </c>
      <c r="K37" s="13"/>
      <c r="L37" s="5"/>
      <c r="M37" s="5"/>
    </row>
    <row r="38" spans="1:13" ht="14.1" customHeight="1" x14ac:dyDescent="0.25">
      <c r="A38" s="5"/>
      <c r="B38" s="6" t="str">
        <f t="shared" si="3"/>
        <v>0x308C</v>
      </c>
      <c r="C38" s="6" t="str">
        <f t="shared" si="4"/>
        <v>0x308F</v>
      </c>
      <c r="D38" s="6">
        <f t="shared" si="2"/>
        <v>12428</v>
      </c>
      <c r="E38" s="6">
        <f t="shared" si="5"/>
        <v>12431</v>
      </c>
      <c r="F38" s="2" t="s">
        <v>104</v>
      </c>
      <c r="G38" s="5" t="s">
        <v>69</v>
      </c>
      <c r="H38" s="5" t="s">
        <v>15</v>
      </c>
      <c r="I38" s="5">
        <v>4</v>
      </c>
      <c r="J38" s="5">
        <v>36</v>
      </c>
      <c r="K38" s="13"/>
      <c r="L38" s="5"/>
      <c r="M38" s="5"/>
    </row>
    <row r="39" spans="1:13" x14ac:dyDescent="0.25">
      <c r="A39" s="4" t="s">
        <v>105</v>
      </c>
      <c r="B39" s="6" t="str">
        <f t="shared" si="3"/>
        <v>0x3090</v>
      </c>
      <c r="C39" s="6" t="str">
        <f t="shared" si="4"/>
        <v>0x3093</v>
      </c>
      <c r="D39" s="6">
        <f>E38+1</f>
        <v>12432</v>
      </c>
      <c r="E39" s="6">
        <f>D39+I39-1</f>
        <v>12435</v>
      </c>
      <c r="F39" s="2" t="s">
        <v>106</v>
      </c>
      <c r="G39" s="5" t="s">
        <v>69</v>
      </c>
      <c r="H39" s="5" t="s">
        <v>15</v>
      </c>
      <c r="I39" s="5">
        <v>4</v>
      </c>
      <c r="J39" s="5">
        <v>37</v>
      </c>
      <c r="K39" s="13"/>
      <c r="L39" s="5"/>
      <c r="M39" s="5"/>
    </row>
    <row r="40" spans="1:13" x14ac:dyDescent="0.25">
      <c r="A40" s="5"/>
      <c r="B40" s="6" t="str">
        <f t="shared" si="3"/>
        <v>0x3094</v>
      </c>
      <c r="C40" s="6" t="str">
        <f t="shared" si="4"/>
        <v>0x3097</v>
      </c>
      <c r="D40" s="6">
        <f t="shared" si="2"/>
        <v>12436</v>
      </c>
      <c r="E40" s="6">
        <f t="shared" si="5"/>
        <v>12439</v>
      </c>
      <c r="F40" s="2" t="s">
        <v>107</v>
      </c>
      <c r="G40" s="5" t="s">
        <v>69</v>
      </c>
      <c r="H40" s="5" t="s">
        <v>15</v>
      </c>
      <c r="I40" s="5">
        <v>4</v>
      </c>
      <c r="J40" s="5">
        <v>38</v>
      </c>
      <c r="K40" s="13"/>
      <c r="L40" s="5"/>
      <c r="M40" s="5"/>
    </row>
    <row r="41" spans="1:13" x14ac:dyDescent="0.25">
      <c r="A41" s="5"/>
      <c r="B41" s="6" t="str">
        <f t="shared" si="3"/>
        <v>0x3098</v>
      </c>
      <c r="C41" s="6" t="str">
        <f t="shared" si="4"/>
        <v>0x309B</v>
      </c>
      <c r="D41" s="6">
        <f t="shared" si="2"/>
        <v>12440</v>
      </c>
      <c r="E41" s="6">
        <f t="shared" si="5"/>
        <v>12443</v>
      </c>
      <c r="F41" s="2" t="s">
        <v>108</v>
      </c>
      <c r="G41" s="5" t="s">
        <v>69</v>
      </c>
      <c r="H41" s="5" t="s">
        <v>15</v>
      </c>
      <c r="I41" s="5">
        <v>4</v>
      </c>
      <c r="J41" s="5">
        <v>39</v>
      </c>
      <c r="K41" s="15"/>
      <c r="L41" s="5"/>
      <c r="M41" s="5"/>
    </row>
    <row r="42" spans="1:13" x14ac:dyDescent="0.25">
      <c r="A42" s="5"/>
      <c r="B42" s="6" t="str">
        <f t="shared" si="3"/>
        <v>0x309C</v>
      </c>
      <c r="C42" s="6" t="str">
        <f t="shared" si="4"/>
        <v>0x309F</v>
      </c>
      <c r="D42" s="6">
        <f t="shared" si="2"/>
        <v>12444</v>
      </c>
      <c r="E42" s="6">
        <f t="shared" si="5"/>
        <v>12447</v>
      </c>
      <c r="F42" s="2" t="s">
        <v>109</v>
      </c>
      <c r="G42" s="5" t="s">
        <v>69</v>
      </c>
      <c r="H42" s="5" t="s">
        <v>15</v>
      </c>
      <c r="I42" s="5">
        <v>4</v>
      </c>
      <c r="J42" s="5">
        <v>40</v>
      </c>
      <c r="K42" s="13"/>
      <c r="L42" s="5"/>
      <c r="M42" s="5"/>
    </row>
    <row r="43" spans="1:13" x14ac:dyDescent="0.25">
      <c r="A43" s="5"/>
      <c r="B43" s="6" t="str">
        <f t="shared" si="3"/>
        <v>0x30A0</v>
      </c>
      <c r="C43" s="6" t="str">
        <f t="shared" si="4"/>
        <v>0x30A3</v>
      </c>
      <c r="D43" s="6">
        <f t="shared" si="2"/>
        <v>12448</v>
      </c>
      <c r="E43" s="6">
        <f t="shared" si="5"/>
        <v>12451</v>
      </c>
      <c r="F43" s="2" t="s">
        <v>110</v>
      </c>
      <c r="G43" s="5" t="s">
        <v>69</v>
      </c>
      <c r="H43" s="5" t="s">
        <v>15</v>
      </c>
      <c r="I43" s="5">
        <v>4</v>
      </c>
      <c r="J43" s="5">
        <v>41</v>
      </c>
      <c r="K43" s="13"/>
      <c r="L43" s="5"/>
      <c r="M43" s="5"/>
    </row>
    <row r="44" spans="1:13" x14ac:dyDescent="0.25">
      <c r="A44" s="5"/>
      <c r="B44" s="6" t="str">
        <f t="shared" si="3"/>
        <v>0x30A4</v>
      </c>
      <c r="C44" s="6" t="str">
        <f t="shared" si="4"/>
        <v>0x30A7</v>
      </c>
      <c r="D44" s="6">
        <f t="shared" si="2"/>
        <v>12452</v>
      </c>
      <c r="E44" s="6">
        <f t="shared" si="5"/>
        <v>12455</v>
      </c>
      <c r="F44" s="2" t="s">
        <v>111</v>
      </c>
      <c r="G44" s="5" t="s">
        <v>69</v>
      </c>
      <c r="H44" s="5" t="s">
        <v>15</v>
      </c>
      <c r="I44" s="5">
        <v>4</v>
      </c>
      <c r="J44" s="5">
        <v>42</v>
      </c>
      <c r="K44" s="13"/>
      <c r="L44" s="5"/>
      <c r="M44" s="5"/>
    </row>
    <row r="45" spans="1:13" x14ac:dyDescent="0.25">
      <c r="A45" s="5"/>
      <c r="B45" s="6" t="str">
        <f t="shared" si="3"/>
        <v>0x30A8</v>
      </c>
      <c r="C45" s="6" t="str">
        <f t="shared" si="4"/>
        <v>0x30AB</v>
      </c>
      <c r="D45" s="6">
        <f t="shared" si="2"/>
        <v>12456</v>
      </c>
      <c r="E45" s="6">
        <f t="shared" si="5"/>
        <v>12459</v>
      </c>
      <c r="F45" s="2" t="s">
        <v>112</v>
      </c>
      <c r="G45" s="5" t="s">
        <v>69</v>
      </c>
      <c r="H45" s="5" t="s">
        <v>15</v>
      </c>
      <c r="I45" s="5">
        <v>4</v>
      </c>
      <c r="J45" s="5">
        <v>43</v>
      </c>
      <c r="K45" s="15"/>
      <c r="L45" s="5"/>
      <c r="M45" s="5"/>
    </row>
    <row r="46" spans="1:13" x14ac:dyDescent="0.25">
      <c r="A46" s="5"/>
      <c r="B46" s="6" t="str">
        <f t="shared" si="3"/>
        <v>0x30AC</v>
      </c>
      <c r="C46" s="6" t="str">
        <f t="shared" si="4"/>
        <v>0x30AF</v>
      </c>
      <c r="D46" s="6">
        <f t="shared" si="2"/>
        <v>12460</v>
      </c>
      <c r="E46" s="6">
        <f t="shared" si="5"/>
        <v>12463</v>
      </c>
      <c r="F46" s="2" t="s">
        <v>113</v>
      </c>
      <c r="G46" s="5" t="s">
        <v>69</v>
      </c>
      <c r="H46" s="5" t="s">
        <v>15</v>
      </c>
      <c r="I46" s="5">
        <v>4</v>
      </c>
      <c r="J46" s="5">
        <v>44</v>
      </c>
      <c r="K46" s="13"/>
      <c r="L46" s="5"/>
      <c r="M46" s="5"/>
    </row>
    <row r="47" spans="1:13" x14ac:dyDescent="0.25">
      <c r="A47" s="5"/>
      <c r="B47" s="6" t="str">
        <f t="shared" si="3"/>
        <v>0x30B0</v>
      </c>
      <c r="C47" s="6" t="str">
        <f t="shared" si="4"/>
        <v>0x30B3</v>
      </c>
      <c r="D47" s="6">
        <f t="shared" si="2"/>
        <v>12464</v>
      </c>
      <c r="E47" s="6">
        <f t="shared" si="5"/>
        <v>12467</v>
      </c>
      <c r="F47" s="2" t="s">
        <v>114</v>
      </c>
      <c r="G47" s="5" t="s">
        <v>69</v>
      </c>
      <c r="H47" s="5" t="s">
        <v>15</v>
      </c>
      <c r="I47" s="5">
        <v>4</v>
      </c>
      <c r="J47" s="5">
        <v>45</v>
      </c>
      <c r="K47" s="13"/>
      <c r="L47" s="5"/>
      <c r="M47" s="5"/>
    </row>
    <row r="48" spans="1:13" ht="16.2" x14ac:dyDescent="0.25">
      <c r="B48" s="8"/>
      <c r="C48" s="8"/>
      <c r="D48" s="8"/>
      <c r="E48" s="8"/>
      <c r="F48" s="9"/>
      <c r="I48">
        <f>SUM(I3:I47)</f>
        <v>180</v>
      </c>
      <c r="K48" s="14"/>
    </row>
    <row r="49" spans="2:11" ht="16.2" x14ac:dyDescent="0.25">
      <c r="B49" s="8"/>
      <c r="C49" s="8"/>
      <c r="D49" s="8"/>
      <c r="E49" s="8"/>
      <c r="F49" s="9"/>
      <c r="K49" s="14"/>
    </row>
  </sheetData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A993-F92D-42BD-A6B7-AF74D7E640BA}">
  <dimension ref="A1:L16"/>
  <sheetViews>
    <sheetView workbookViewId="0">
      <selection activeCell="L19" sqref="L19"/>
    </sheetView>
  </sheetViews>
  <sheetFormatPr defaultRowHeight="14.4" x14ac:dyDescent="0.25"/>
  <cols>
    <col min="1" max="1" width="42.6640625" customWidth="1"/>
  </cols>
  <sheetData>
    <row r="1" spans="1:12" ht="33.75" customHeight="1" x14ac:dyDescent="0.25">
      <c r="A1" s="3" t="s">
        <v>116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115</v>
      </c>
    </row>
    <row r="2" spans="1:12" x14ac:dyDescent="0.25">
      <c r="A2" s="18" t="s">
        <v>1</v>
      </c>
    </row>
    <row r="3" spans="1:12" x14ac:dyDescent="0.25">
      <c r="A3" s="18"/>
      <c r="B3" s="2" t="str">
        <f>"0x"&amp;DEC2HEX(D3,4)</f>
        <v>0x0000</v>
      </c>
      <c r="C3" s="2" t="str">
        <f>"0x"&amp;DEC2HEX(E3,4)</f>
        <v>0x0000</v>
      </c>
      <c r="D3" s="2">
        <v>0</v>
      </c>
      <c r="E3" s="2">
        <f>D3+I3-1</f>
        <v>0</v>
      </c>
      <c r="F3" s="2" t="s">
        <v>117</v>
      </c>
      <c r="G3" s="2"/>
      <c r="H3" s="2" t="s">
        <v>15</v>
      </c>
      <c r="I3" s="2">
        <v>1</v>
      </c>
    </row>
    <row r="4" spans="1:12" x14ac:dyDescent="0.25">
      <c r="B4" s="2" t="str">
        <f t="shared" ref="B4:C6" si="0">"0x"&amp;DEC2HEX(D4,4)</f>
        <v>0x0001</v>
      </c>
      <c r="C4" s="2" t="str">
        <f t="shared" si="0"/>
        <v>0x0001</v>
      </c>
      <c r="D4" s="2">
        <f t="shared" ref="D4:D6" si="1">D3+I3</f>
        <v>1</v>
      </c>
      <c r="E4" s="2">
        <f t="shared" ref="E4:E6" si="2">D4+I3-1</f>
        <v>1</v>
      </c>
      <c r="F4" s="2" t="s">
        <v>118</v>
      </c>
      <c r="G4" s="2"/>
      <c r="H4" s="2" t="s">
        <v>15</v>
      </c>
      <c r="I4" s="2">
        <v>1</v>
      </c>
    </row>
    <row r="5" spans="1:12" x14ac:dyDescent="0.25">
      <c r="B5" s="2" t="str">
        <f t="shared" si="0"/>
        <v>0x0002</v>
      </c>
      <c r="C5" s="2" t="str">
        <f t="shared" si="0"/>
        <v>0x0002</v>
      </c>
      <c r="D5" s="2">
        <f t="shared" si="1"/>
        <v>2</v>
      </c>
      <c r="E5" s="2">
        <f t="shared" si="2"/>
        <v>2</v>
      </c>
      <c r="F5" s="2" t="s">
        <v>119</v>
      </c>
      <c r="G5" s="2"/>
      <c r="H5" s="2" t="s">
        <v>15</v>
      </c>
      <c r="I5" s="2">
        <v>1</v>
      </c>
    </row>
    <row r="6" spans="1:12" x14ac:dyDescent="0.25">
      <c r="B6" s="2" t="str">
        <f t="shared" si="0"/>
        <v>0x0003</v>
      </c>
      <c r="C6" s="2" t="str">
        <f t="shared" si="0"/>
        <v>0x0003</v>
      </c>
      <c r="D6" s="2">
        <f t="shared" si="1"/>
        <v>3</v>
      </c>
      <c r="E6" s="2">
        <f t="shared" si="2"/>
        <v>3</v>
      </c>
      <c r="F6" s="2" t="s">
        <v>120</v>
      </c>
      <c r="G6" s="2"/>
      <c r="H6" s="2" t="s">
        <v>15</v>
      </c>
      <c r="I6" s="2">
        <v>1</v>
      </c>
    </row>
    <row r="7" spans="1:12" x14ac:dyDescent="0.25">
      <c r="B7" s="2"/>
      <c r="C7" s="2"/>
      <c r="D7" s="2"/>
      <c r="E7" s="2"/>
      <c r="F7" s="2"/>
      <c r="G7" s="2"/>
      <c r="H7" s="2"/>
      <c r="I7" s="2"/>
    </row>
    <row r="8" spans="1:12" x14ac:dyDescent="0.25">
      <c r="B8" s="2"/>
      <c r="C8" s="2"/>
      <c r="D8" s="2"/>
      <c r="E8" s="2"/>
      <c r="F8" s="2"/>
      <c r="G8" s="2"/>
      <c r="H8" s="2"/>
      <c r="I8" s="2"/>
    </row>
    <row r="9" spans="1:12" x14ac:dyDescent="0.25">
      <c r="B9" s="2"/>
      <c r="C9" s="2"/>
      <c r="D9" s="2"/>
      <c r="E9" s="2"/>
      <c r="F9" s="2"/>
      <c r="G9" s="2"/>
      <c r="H9" s="2"/>
      <c r="I9" s="2"/>
    </row>
    <row r="10" spans="1:12" x14ac:dyDescent="0.25">
      <c r="B10" s="2"/>
      <c r="C10" s="2"/>
      <c r="D10" s="2"/>
      <c r="E10" s="2"/>
      <c r="F10" s="2"/>
      <c r="G10" s="2"/>
      <c r="H10" s="2"/>
      <c r="I10" s="2"/>
    </row>
    <row r="15" spans="1:12" x14ac:dyDescent="0.25">
      <c r="A15" s="18"/>
      <c r="B15" s="2"/>
      <c r="C15" s="2"/>
      <c r="D15" s="2"/>
      <c r="E15" s="2"/>
      <c r="F15" s="2"/>
      <c r="G15" s="2"/>
      <c r="H15" s="2"/>
      <c r="I15" s="2"/>
    </row>
    <row r="16" spans="1:12" x14ac:dyDescent="0.25">
      <c r="B16" s="2"/>
      <c r="C16" s="2"/>
      <c r="D16" s="2"/>
      <c r="E16" s="2"/>
      <c r="F16" s="2"/>
      <c r="G16" s="2"/>
      <c r="H16" s="2"/>
      <c r="I16" s="2"/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9bbcd-3240-4de9-a367-eac0606b20c8">
      <Terms xmlns="http://schemas.microsoft.com/office/infopath/2007/PartnerControls"/>
    </lcf76f155ced4ddcb4097134ff3c332f>
    <TaxCatchAll xmlns="828e6ecc-f3bc-4b04-98a4-e28a99a91c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644A37897417949A41541FBF72CCC08" ma:contentTypeVersion="14" ma:contentTypeDescription="新建文档。" ma:contentTypeScope="" ma:versionID="9ed4ebabf590dcf2249505c718e89808">
  <xsd:schema xmlns:xsd="http://www.w3.org/2001/XMLSchema" xmlns:xs="http://www.w3.org/2001/XMLSchema" xmlns:p="http://schemas.microsoft.com/office/2006/metadata/properties" xmlns:ns2="e919bbcd-3240-4de9-a367-eac0606b20c8" xmlns:ns3="828e6ecc-f3bc-4b04-98a4-e28a99a91c03" targetNamespace="http://schemas.microsoft.com/office/2006/metadata/properties" ma:root="true" ma:fieldsID="6e80580b10622debbef6d15b501b0bca" ns2:_="" ns3:_="">
    <xsd:import namespace="e919bbcd-3240-4de9-a367-eac0606b20c8"/>
    <xsd:import namespace="828e6ecc-f3bc-4b04-98a4-e28a99a91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bbcd-3240-4de9-a367-eac0606b2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e6ecc-f3bc-4b04-98a4-e28a99a91c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11afc-e106-4a53-b392-2377353b04f2}" ma:internalName="TaxCatchAll" ma:showField="CatchAllData" ma:web="828e6ecc-f3bc-4b04-98a4-e28a99a91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288021-4374-4E6F-A621-4678E810EE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677CDB-2D7C-4EA3-93FC-DC4FCD350A40}">
  <ds:schemaRefs>
    <ds:schemaRef ds:uri="http://schemas.microsoft.com/office/2006/metadata/properties"/>
    <ds:schemaRef ds:uri="http://schemas.microsoft.com/office/infopath/2007/PartnerControls"/>
    <ds:schemaRef ds:uri="e919bbcd-3240-4de9-a367-eac0606b20c8"/>
    <ds:schemaRef ds:uri="828e6ecc-f3bc-4b04-98a4-e28a99a91c03"/>
  </ds:schemaRefs>
</ds:datastoreItem>
</file>

<file path=customXml/itemProps3.xml><?xml version="1.0" encoding="utf-8"?>
<ds:datastoreItem xmlns:ds="http://schemas.openxmlformats.org/officeDocument/2006/customXml" ds:itemID="{C24D91BC-45A2-407E-B75D-F8C75EE7B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19bbcd-3240-4de9-a367-eac0606b20c8"/>
    <ds:schemaRef ds:uri="828e6ecc-f3bc-4b04-98a4-e28a99a91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Real time</vt:lpstr>
      <vt:lpstr>Energy</vt:lpstr>
      <vt:lpstr>DI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Li</dc:creator>
  <cp:keywords/>
  <dc:description/>
  <cp:lastModifiedBy>Lihong Wang</cp:lastModifiedBy>
  <cp:revision/>
  <dcterms:created xsi:type="dcterms:W3CDTF">2024-09-11T08:56:00Z</dcterms:created>
  <dcterms:modified xsi:type="dcterms:W3CDTF">2026-01-22T06:23:19Z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1BF133A81F774AAB8867B9C93B50E4A0</vt:lpwstr>
  </property>
  <property fmtid="{D5CDD505-2E9C-101B-9397-08002B2CF9AE}" pid="4" name="ContentTypeId">
    <vt:lpwstr>0x0101003644A37897417949A41541FBF72CCC08</vt:lpwstr>
  </property>
  <property fmtid="{D5CDD505-2E9C-101B-9397-08002B2CF9AE}" pid="5" name="MediaServiceImageTags">
    <vt:lpwstr/>
  </property>
</Properties>
</file>