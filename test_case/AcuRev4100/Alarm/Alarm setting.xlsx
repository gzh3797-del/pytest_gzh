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ihongWang\Desktop\自动化\autotest\test_case\AcuRev4100\Alarm\"/>
    </mc:Choice>
  </mc:AlternateContent>
  <xr:revisionPtr revIDLastSave="0" documentId="13_ncr:1_{71E788E9-FFFB-452F-944F-AD121F84B7A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Alarm setting" sheetId="1" r:id="rId1"/>
    <sheet name="Alarm Logic check" sheetId="4" r:id="rId2"/>
    <sheet name="Alarm Setting Modbus Address" sheetId="2" r:id="rId3"/>
    <sheet name="Alarm Reading Modbus Addres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D8" i="2"/>
  <c r="D4" i="3"/>
  <c r="E4" i="3" s="1"/>
  <c r="C4" i="3" s="1"/>
  <c r="B4" i="3"/>
  <c r="E3" i="3"/>
  <c r="C3" i="3"/>
  <c r="B3" i="3"/>
  <c r="B3" i="2"/>
  <c r="D4" i="2"/>
  <c r="D17" i="2" s="1"/>
  <c r="E3" i="2"/>
  <c r="C3" i="2"/>
  <c r="E4" i="2" l="1"/>
  <c r="B4" i="2"/>
  <c r="D5" i="2"/>
  <c r="D5" i="3"/>
  <c r="D6" i="2" l="1"/>
  <c r="E5" i="2"/>
  <c r="B5" i="2"/>
  <c r="C4" i="2"/>
  <c r="E17" i="2"/>
  <c r="C17" i="2" s="1"/>
  <c r="E5" i="3"/>
  <c r="C5" i="3" s="1"/>
  <c r="B5" i="3"/>
  <c r="D6" i="3"/>
  <c r="D7" i="3" s="1"/>
  <c r="C5" i="2" l="1"/>
  <c r="D7" i="2"/>
  <c r="B6" i="2"/>
  <c r="E6" i="2"/>
  <c r="B6" i="3"/>
  <c r="E6" i="3"/>
  <c r="C6" i="3" s="1"/>
  <c r="D8" i="3"/>
  <c r="E7" i="3"/>
  <c r="C7" i="3" s="1"/>
  <c r="B7" i="3"/>
  <c r="C6" i="2" l="1"/>
  <c r="E7" i="2"/>
  <c r="B7" i="2"/>
  <c r="E8" i="3"/>
  <c r="C8" i="3" s="1"/>
  <c r="B8" i="3"/>
  <c r="D9" i="3"/>
  <c r="C7" i="2" l="1"/>
  <c r="D9" i="2"/>
  <c r="E8" i="2"/>
  <c r="C8" i="2" s="1"/>
  <c r="B9" i="3"/>
  <c r="E9" i="3"/>
  <c r="C9" i="3" s="1"/>
  <c r="D10" i="2" l="1"/>
  <c r="B9" i="2"/>
  <c r="E9" i="2"/>
  <c r="C9" i="2" s="1"/>
  <c r="B10" i="2" l="1"/>
  <c r="D11" i="2"/>
  <c r="E10" i="2"/>
  <c r="C10" i="2" s="1"/>
  <c r="D12" i="2" l="1"/>
  <c r="B11" i="2"/>
  <c r="E11" i="2"/>
  <c r="C11" i="2" s="1"/>
  <c r="E12" i="2" l="1"/>
  <c r="C12" i="2" s="1"/>
  <c r="B12" i="2"/>
  <c r="D13" i="2"/>
  <c r="E13" i="2" l="1"/>
  <c r="C13" i="2" s="1"/>
  <c r="B13" i="2"/>
  <c r="D14" i="2"/>
  <c r="E14" i="2" l="1"/>
  <c r="C14" i="2" s="1"/>
  <c r="B14" i="2"/>
  <c r="D15" i="2"/>
  <c r="D16" i="2" l="1"/>
  <c r="E15" i="2"/>
  <c r="C15" i="2" s="1"/>
  <c r="B15" i="2"/>
  <c r="B16" i="2" l="1"/>
  <c r="E16" i="2"/>
  <c r="C16" i="2" s="1"/>
</calcChain>
</file>

<file path=xl/sharedStrings.xml><?xml version="1.0" encoding="utf-8"?>
<sst xmlns="http://schemas.openxmlformats.org/spreadsheetml/2006/main" count="291" uniqueCount="128">
  <si>
    <t>Alarm Enable</t>
    <phoneticPr fontId="1" type="noConversion"/>
  </si>
  <si>
    <t>Alarm Channel</t>
    <phoneticPr fontId="1" type="noConversion"/>
  </si>
  <si>
    <t>Parameter 1 index</t>
    <phoneticPr fontId="1" type="noConversion"/>
  </si>
  <si>
    <t>Parameter 1 Pickup Value</t>
    <phoneticPr fontId="1" type="noConversion"/>
  </si>
  <si>
    <t>Parameter 1 Pickup Delay</t>
    <phoneticPr fontId="1" type="noConversion"/>
  </si>
  <si>
    <t>Parameter 1 Dropout Value</t>
    <phoneticPr fontId="1" type="noConversion"/>
  </si>
  <si>
    <t>Parameter 1 Dropout Delay</t>
    <phoneticPr fontId="1" type="noConversion"/>
  </si>
  <si>
    <t>Parameter 2 index</t>
    <phoneticPr fontId="1" type="noConversion"/>
  </si>
  <si>
    <t>Parameter 2 Pickup Value</t>
    <phoneticPr fontId="1" type="noConversion"/>
  </si>
  <si>
    <t>Parameter 2 Pickup Delay</t>
    <phoneticPr fontId="1" type="noConversion"/>
  </si>
  <si>
    <t>Parameter 2 Dropout Value</t>
    <phoneticPr fontId="1" type="noConversion"/>
  </si>
  <si>
    <t>Parameter 2 Dropout Delay</t>
    <phoneticPr fontId="1" type="noConversion"/>
  </si>
  <si>
    <t>Parameter 2 Logic</t>
    <phoneticPr fontId="1" type="noConversion"/>
  </si>
  <si>
    <t>Parameter 1 Logic</t>
    <phoneticPr fontId="1" type="noConversion"/>
  </si>
  <si>
    <t>DO selection</t>
    <phoneticPr fontId="1" type="noConversion"/>
  </si>
  <si>
    <t>Enable</t>
    <phoneticPr fontId="1" type="noConversion"/>
  </si>
  <si>
    <t>Block</t>
  </si>
  <si>
    <t>Start(Hex)</t>
  </si>
  <si>
    <t>End(Hex)</t>
  </si>
  <si>
    <t>Start(Dec)</t>
  </si>
  <si>
    <t>End(Dec)</t>
  </si>
  <si>
    <t>Description</t>
  </si>
  <si>
    <t>RW</t>
  </si>
  <si>
    <t>Range</t>
  </si>
  <si>
    <t>Alarm settings
code function : 03H Read, 10H Write</t>
  </si>
  <si>
    <t>uint32_t</t>
  </si>
  <si>
    <t>R/W</t>
  </si>
  <si>
    <t>uint16_t</t>
  </si>
  <si>
    <t>Alarm channel 1 RO  selection</t>
    <phoneticPr fontId="1" type="noConversion"/>
  </si>
  <si>
    <t>float32</t>
  </si>
  <si>
    <t>1-65535</t>
    <phoneticPr fontId="1" type="noConversion"/>
  </si>
  <si>
    <t>1-65535</t>
  </si>
  <si>
    <t>0: no output
1-8: output DO ID</t>
    <phoneticPr fontId="1" type="noConversion"/>
  </si>
  <si>
    <r>
      <t>modbus addr (DI :1-4)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 xml:space="preserve">Basic Parameters 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Demand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Power Quality</t>
    </r>
    <phoneticPr fontId="1" type="noConversion"/>
  </si>
  <si>
    <t>Alarm channel 1 parameter1 Pickup Value</t>
    <phoneticPr fontId="1" type="noConversion"/>
  </si>
  <si>
    <t>Alarm channel 1 parameter2 index</t>
    <phoneticPr fontId="1" type="noConversion"/>
  </si>
  <si>
    <t>modbus addr (DI :1-4)、Basic Parameters 、Demand、Power Quality</t>
    <phoneticPr fontId="1" type="noConversion"/>
  </si>
  <si>
    <t>Alarm channel 1 parameter2 Pickup Value</t>
    <phoneticPr fontId="1" type="noConversion"/>
  </si>
  <si>
    <t>Alarm channel 1 parameter2 Pickup Delay</t>
    <phoneticPr fontId="1" type="noConversion"/>
  </si>
  <si>
    <t>Alarm channel 1 parameter2 Dropout Value</t>
    <phoneticPr fontId="1" type="noConversion"/>
  </si>
  <si>
    <t>Alarm channel 1 parameter2 Dropout Delay</t>
    <phoneticPr fontId="1" type="noConversion"/>
  </si>
  <si>
    <t>Data Format</t>
  </si>
  <si>
    <t>R</t>
  </si>
  <si>
    <t>the index of the Alarm Log</t>
    <phoneticPr fontId="1" type="noConversion"/>
  </si>
  <si>
    <t>1-200</t>
  </si>
  <si>
    <t xml:space="preserve">Alarm Log already occurred Count      0：Empty  </t>
  </si>
  <si>
    <t>1--8</t>
  </si>
  <si>
    <t>Alarm Log Data</t>
  </si>
  <si>
    <t>Alarm Log Record Data Format</t>
  </si>
  <si>
    <t>Alarm Status</t>
    <phoneticPr fontId="1" type="noConversion"/>
  </si>
  <si>
    <r>
      <t>1:start 0:end 2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configuration change</t>
    </r>
    <phoneticPr fontId="1" type="noConversion"/>
  </si>
  <si>
    <t xml:space="preserve"> </t>
  </si>
  <si>
    <t>Alarm Log  Duration</t>
    <phoneticPr fontId="1" type="noConversion"/>
  </si>
  <si>
    <t>Alarm Channel 2 Logic</t>
    <phoneticPr fontId="1" type="noConversion"/>
  </si>
  <si>
    <t>Start(Dec) = 相同参数channel1 Start(Dec) + Alarm configure 长度</t>
    <phoneticPr fontId="1" type="noConversion"/>
  </si>
  <si>
    <t>Channel Logic</t>
    <phoneticPr fontId="1" type="noConversion"/>
  </si>
  <si>
    <t>Phase A Current</t>
    <phoneticPr fontId="1" type="noConversion"/>
  </si>
  <si>
    <t>Phase B Current</t>
    <phoneticPr fontId="1" type="noConversion"/>
  </si>
  <si>
    <t>&gt;</t>
    <phoneticPr fontId="1" type="noConversion"/>
  </si>
  <si>
    <t>&amp;&amp;</t>
    <phoneticPr fontId="1" type="noConversion"/>
  </si>
  <si>
    <t>Disable</t>
    <phoneticPr fontId="1" type="noConversion"/>
  </si>
  <si>
    <t>&lt;</t>
    <phoneticPr fontId="1" type="noConversion"/>
  </si>
  <si>
    <t>DI1</t>
    <phoneticPr fontId="1" type="noConversion"/>
  </si>
  <si>
    <t>||</t>
    <phoneticPr fontId="1" type="noConversion"/>
  </si>
  <si>
    <t>0: no output
1-2: output relay ID</t>
    <phoneticPr fontId="1" type="noConversion"/>
  </si>
  <si>
    <r>
      <t>bit2-0= 000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 1 is not involved in the alert logic calculation
bit2-0= 001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 1 is used as the "=" condition in the alert logic calculation 
bit2-0= 010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 1 is used for the "&gt;" condition in the alert logic calculation
bit2-0= 011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 1 is used for the "&lt;" condition in the alert logic calculation
bit 5-3 = 000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 2 is not involved in the alert logic calculation 
bit5-3= 001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parameter 2 is used as the "=" condition in the alert logic calculation
bit 5-3 = 010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 2 is used for the "&gt;" condition in the alert logic calculation 
bit 5-3 =0 11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 2 is used for the "&lt;" condition in the alert logic calculation
bit7-6=01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Parameters 1 and 2 have an "&amp;&amp;" relationship in the alert logic calculation
bit7-6=10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Parameters 1 and 2 have an "||" relationship in the alert logic calculation                                                         </t>
    </r>
    <phoneticPr fontId="1" type="noConversion"/>
  </si>
  <si>
    <t>Parameter 1 Start(Dec)</t>
    <phoneticPr fontId="1" type="noConversion"/>
  </si>
  <si>
    <t>Parameter 2 Start(Dec)</t>
    <phoneticPr fontId="1" type="noConversion"/>
  </si>
  <si>
    <t>Alarm channel 1 parameter1 index</t>
    <phoneticPr fontId="1" type="noConversion"/>
  </si>
  <si>
    <t>uint16_t</t>
    <phoneticPr fontId="1" type="noConversion"/>
  </si>
  <si>
    <t>Data type</t>
    <phoneticPr fontId="1" type="noConversion"/>
  </si>
  <si>
    <t>Reg</t>
    <phoneticPr fontId="1" type="noConversion"/>
  </si>
  <si>
    <t>Alarm channel 1 parameter1 Pickup Delay</t>
    <phoneticPr fontId="1" type="noConversion"/>
  </si>
  <si>
    <t>Alarm channel 1 parameter1 Dropout Value</t>
    <phoneticPr fontId="1" type="noConversion"/>
  </si>
  <si>
    <t>Alarm channel 1 parameter1 Dropout Delay</t>
    <phoneticPr fontId="1" type="noConversion"/>
  </si>
  <si>
    <t>Alarm channel 1 DO  selection</t>
    <phoneticPr fontId="1" type="noConversion"/>
  </si>
  <si>
    <t>DI1</t>
  </si>
  <si>
    <t>Disable</t>
  </si>
  <si>
    <t>Alarm Channel 1 Logic</t>
    <phoneticPr fontId="1" type="noConversion"/>
  </si>
  <si>
    <t xml:space="preserve">Enable all alarm </t>
    <phoneticPr fontId="1" type="noConversion"/>
  </si>
  <si>
    <t>Enable</t>
  </si>
  <si>
    <r>
      <t>Bit 0~19 for alarm channel 1~20 (0: disabled; 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enabled</t>
    </r>
    <phoneticPr fontId="1" type="noConversion"/>
  </si>
  <si>
    <t>uint32_t</t>
    <phoneticPr fontId="1" type="noConversion"/>
  </si>
  <si>
    <t>Phase_A_Voltage</t>
    <phoneticPr fontId="1" type="noConversion"/>
  </si>
  <si>
    <t>check_Alarm_channel</t>
    <phoneticPr fontId="1" type="noConversion"/>
  </si>
  <si>
    <t>target_status</t>
    <phoneticPr fontId="1" type="noConversion"/>
  </si>
  <si>
    <t>start</t>
    <phoneticPr fontId="1" type="noConversion"/>
  </si>
  <si>
    <t>end</t>
    <phoneticPr fontId="1" type="noConversion"/>
  </si>
  <si>
    <t>keep_time(s)</t>
    <phoneticPr fontId="1" type="noConversion"/>
  </si>
  <si>
    <t>Phase_B_Voltage</t>
    <phoneticPr fontId="1" type="noConversion"/>
  </si>
  <si>
    <t>Phase_C_Voltage</t>
    <phoneticPr fontId="1" type="noConversion"/>
  </si>
  <si>
    <t>Phase_A_Current</t>
    <phoneticPr fontId="1" type="noConversion"/>
  </si>
  <si>
    <t>Phase_B_Current</t>
    <phoneticPr fontId="1" type="noConversion"/>
  </si>
  <si>
    <t>Phase_C_Current</t>
    <phoneticPr fontId="1" type="noConversion"/>
  </si>
  <si>
    <t>Va_angle</t>
    <phoneticPr fontId="1" type="noConversion"/>
  </si>
  <si>
    <t>Vb_angle</t>
    <phoneticPr fontId="1" type="noConversion"/>
  </si>
  <si>
    <t>Vc_angle</t>
    <phoneticPr fontId="1" type="noConversion"/>
  </si>
  <si>
    <t>Ia_angle</t>
    <phoneticPr fontId="1" type="noConversion"/>
  </si>
  <si>
    <t>Ib_angle</t>
    <phoneticPr fontId="1" type="noConversion"/>
  </si>
  <si>
    <t>Ic_angle</t>
    <phoneticPr fontId="1" type="noConversion"/>
  </si>
  <si>
    <r>
      <t>bit0-bit019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0-&gt;Alarm release   1:Alarm activation</t>
    </r>
    <phoneticPr fontId="1" type="noConversion"/>
  </si>
  <si>
    <t>The first index of the alarm Log will be read</t>
    <phoneticPr fontId="1" type="noConversion"/>
  </si>
  <si>
    <t>Alarm Log Read Window</t>
    <phoneticPr fontId="1" type="noConversion"/>
  </si>
  <si>
    <t>0x1139</t>
  </si>
  <si>
    <t>W</t>
  </si>
  <si>
    <t>0: None</t>
  </si>
  <si>
    <t>1: Clearing</t>
  </si>
  <si>
    <t>Operations</t>
  </si>
  <si>
    <t>Number of the Alarm Log</t>
    <phoneticPr fontId="1" type="noConversion"/>
  </si>
  <si>
    <t xml:space="preserve">Read the number of the Alarm Log offset </t>
    <phoneticPr fontId="1" type="noConversion"/>
  </si>
  <si>
    <t>Data state of Alarm Log Window</t>
    <phoneticPr fontId="1" type="noConversion"/>
  </si>
  <si>
    <t>Clear alarm Log</t>
    <phoneticPr fontId="1" type="noConversion"/>
  </si>
  <si>
    <t>The alarm status of each alarm channel</t>
    <phoneticPr fontId="1" type="noConversion"/>
  </si>
  <si>
    <t>0x00: window get data failed;
0x0B: window data effective;
0xFF: window data Busy;</t>
    <phoneticPr fontId="1" type="noConversion"/>
  </si>
  <si>
    <t>Alarm Log Reading Window</t>
    <phoneticPr fontId="1" type="noConversion"/>
  </si>
  <si>
    <t>frequency</t>
    <phoneticPr fontId="1" type="noConversion"/>
  </si>
  <si>
    <t>Alarm Log ID</t>
    <phoneticPr fontId="1" type="noConversion"/>
  </si>
  <si>
    <t>Alarm Log Monitor ID</t>
    <phoneticPr fontId="1" type="noConversion"/>
  </si>
  <si>
    <r>
      <t>Alarm Log Time Stamp
( year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   uint8_t
  month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uint8_t
  day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    uint8_t
  hour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   uint8_t
  min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    uint8_t
  sec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    uint8_t
 millisec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uint16_t)</t>
    </r>
    <phoneticPr fontId="1" type="noConversion"/>
  </si>
  <si>
    <t>Alarm Log  Extreme Value 1</t>
    <phoneticPr fontId="1" type="noConversion"/>
  </si>
  <si>
    <t>float32</t>
    <phoneticPr fontId="1" type="noConversion"/>
  </si>
  <si>
    <t>Alarm Log  Extreme Value 2</t>
    <phoneticPr fontId="1" type="noConversion"/>
  </si>
  <si>
    <t>Phase A Line-to-Neutral Voltage</t>
    <phoneticPr fontId="1" type="noConversion"/>
  </si>
  <si>
    <t>Phase B Line-to-Neutral Voltage</t>
    <phoneticPr fontId="1" type="noConversion"/>
  </si>
  <si>
    <t>Input Channel 1 Current</t>
    <phoneticPr fontId="1" type="noConversion"/>
  </si>
  <si>
    <t>Input Channel 2 Current</t>
    <phoneticPr fontId="1" type="noConversion"/>
  </si>
  <si>
    <t>check_result</t>
    <phoneticPr fontId="1" type="noConversion"/>
  </si>
  <si>
    <t>Phase C Line-to-Neutral Voltage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</si>
</sst>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华文细黑"/>
      <family val="3"/>
      <charset val="134"/>
    </font>
    <font>
      <sz val="10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CB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BD3F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8" fillId="0" borderId="0">
      <alignment vertical="center"/>
    </xf>
  </cellStyleXfs>
  <cellXfs count="36">
    <xf numFmtId="0" fontId="0" fillId="0" borderId="0" xfId="0"/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0" fillId="0" borderId="0" xfId="0" applyNumberFormat="1"/>
    <xf numFmtId="0" fontId="0" fillId="8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0" fillId="10" borderId="1" xfId="0" applyFill="1" applyBorder="1" applyAlignment="1">
      <alignment wrapText="1"/>
    </xf>
    <xf numFmtId="0" fontId="8" fillId="10" borderId="1" xfId="1" applyFill="1" applyBorder="1" applyAlignment="1">
      <alignment horizontal="center" vertical="center" wrapText="1"/>
    </xf>
    <xf numFmtId="0" fontId="0" fillId="11" borderId="1" xfId="0" applyFill="1" applyBorder="1" applyAlignment="1">
      <alignment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</cellXfs>
  <cellStyles count="3">
    <cellStyle name="常规" xfId="0" builtinId="0"/>
    <cellStyle name="常规 2" xfId="2" xr:uid="{AB38D060-A2E8-4162-8062-B455F3903FF5}"/>
    <cellStyle name="常规 3" xfId="1" xr:uid="{239C422B-9853-4237-8706-47330E0A2A65}"/>
  </cellStyles>
  <dxfs count="0"/>
  <tableStyles count="0" defaultTableStyle="TableStyleMedium2" defaultPivotStyle="PivotStyleLight16"/>
  <colors>
    <mruColors>
      <color rgb="FFFBD3F2"/>
      <color rgb="FFFF8989"/>
      <color rgb="FFE6C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I5" sqref="I5"/>
    </sheetView>
  </sheetViews>
  <sheetFormatPr defaultRowHeight="13.8" x14ac:dyDescent="0.25"/>
  <cols>
    <col min="1" max="1" width="7.6640625" customWidth="1"/>
    <col min="2" max="2" width="8.88671875" customWidth="1"/>
    <col min="3" max="3" width="30.77734375" style="1" customWidth="1"/>
    <col min="4" max="4" width="11.21875" style="1" customWidth="1"/>
    <col min="5" max="5" width="10.5546875" style="1" customWidth="1"/>
    <col min="6" max="8" width="11.21875" style="1" customWidth="1"/>
    <col min="9" max="9" width="8.33203125" style="1" customWidth="1"/>
    <col min="10" max="10" width="30.88671875" style="1" customWidth="1"/>
    <col min="11" max="11" width="10.109375" style="1" customWidth="1"/>
    <col min="12" max="15" width="11.21875" style="1" customWidth="1"/>
    <col min="16" max="16" width="10" style="1" customWidth="1"/>
    <col min="17" max="18" width="12.5546875" customWidth="1"/>
  </cols>
  <sheetData>
    <row r="1" spans="1:18" s="1" customFormat="1" ht="43.2" customHeight="1" x14ac:dyDescent="0.25">
      <c r="A1" s="23" t="s">
        <v>0</v>
      </c>
      <c r="B1" s="24" t="s">
        <v>1</v>
      </c>
      <c r="C1" s="2" t="s">
        <v>2</v>
      </c>
      <c r="D1" s="2" t="s">
        <v>13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55</v>
      </c>
      <c r="J1" s="4" t="s">
        <v>7</v>
      </c>
      <c r="K1" s="4" t="s">
        <v>12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14</v>
      </c>
      <c r="Q1" s="22" t="s">
        <v>66</v>
      </c>
      <c r="R1" s="22" t="s">
        <v>67</v>
      </c>
    </row>
    <row r="2" spans="1:18" ht="16.8" customHeight="1" x14ac:dyDescent="0.25">
      <c r="A2" s="5" t="s">
        <v>15</v>
      </c>
      <c r="B2" s="5">
        <v>1</v>
      </c>
      <c r="C2" s="6" t="s">
        <v>124</v>
      </c>
      <c r="D2" s="6" t="s">
        <v>58</v>
      </c>
      <c r="E2" s="6">
        <v>4</v>
      </c>
      <c r="F2" s="6">
        <v>5000</v>
      </c>
      <c r="G2" s="6">
        <v>3</v>
      </c>
      <c r="H2" s="6">
        <v>5000</v>
      </c>
      <c r="I2" s="6" t="s">
        <v>59</v>
      </c>
      <c r="J2" s="6" t="s">
        <v>125</v>
      </c>
      <c r="K2" s="6" t="s">
        <v>58</v>
      </c>
      <c r="L2" s="6">
        <v>4</v>
      </c>
      <c r="M2" s="6">
        <v>5000</v>
      </c>
      <c r="N2" s="6">
        <v>3</v>
      </c>
      <c r="O2" s="6">
        <v>5000</v>
      </c>
      <c r="P2" s="6">
        <v>1</v>
      </c>
      <c r="Q2" s="5"/>
      <c r="R2" s="5"/>
    </row>
    <row r="3" spans="1:18" x14ac:dyDescent="0.25">
      <c r="A3" s="25" t="s">
        <v>80</v>
      </c>
      <c r="B3" s="25">
        <v>2</v>
      </c>
      <c r="C3" s="26" t="s">
        <v>56</v>
      </c>
      <c r="D3" s="26" t="s">
        <v>61</v>
      </c>
      <c r="E3" s="26">
        <v>8</v>
      </c>
      <c r="F3" s="26">
        <v>5000</v>
      </c>
      <c r="G3" s="26">
        <v>16</v>
      </c>
      <c r="H3" s="26">
        <v>5000</v>
      </c>
      <c r="I3" s="26" t="s">
        <v>63</v>
      </c>
      <c r="J3" s="26" t="s">
        <v>57</v>
      </c>
      <c r="K3" s="26" t="s">
        <v>61</v>
      </c>
      <c r="L3" s="26">
        <v>8</v>
      </c>
      <c r="M3" s="26">
        <v>5000</v>
      </c>
      <c r="N3" s="26">
        <v>16</v>
      </c>
      <c r="O3" s="26">
        <v>5000</v>
      </c>
      <c r="P3" s="26">
        <v>0</v>
      </c>
      <c r="Q3" s="25"/>
      <c r="R3" s="25"/>
    </row>
    <row r="4" spans="1:18" ht="15.6" customHeight="1" x14ac:dyDescent="0.25">
      <c r="A4" s="5" t="s">
        <v>15</v>
      </c>
      <c r="B4" s="5">
        <v>3</v>
      </c>
      <c r="C4" s="6" t="s">
        <v>122</v>
      </c>
      <c r="D4" s="6" t="s">
        <v>58</v>
      </c>
      <c r="E4" s="6">
        <v>120</v>
      </c>
      <c r="F4" s="6">
        <v>5000</v>
      </c>
      <c r="G4" s="6">
        <v>110</v>
      </c>
      <c r="H4" s="6">
        <v>5000</v>
      </c>
      <c r="I4" s="6" t="s">
        <v>59</v>
      </c>
      <c r="J4" s="6" t="s">
        <v>123</v>
      </c>
      <c r="K4" s="6" t="s">
        <v>58</v>
      </c>
      <c r="L4" s="6">
        <v>120</v>
      </c>
      <c r="M4" s="6">
        <v>5000</v>
      </c>
      <c r="N4" s="6">
        <v>110</v>
      </c>
      <c r="O4" s="6">
        <v>5000</v>
      </c>
      <c r="P4" s="6">
        <v>0</v>
      </c>
      <c r="Q4" s="5"/>
      <c r="R4" s="5"/>
    </row>
    <row r="5" spans="1:18" x14ac:dyDescent="0.25">
      <c r="A5" s="25" t="s">
        <v>80</v>
      </c>
      <c r="B5" s="25">
        <v>4</v>
      </c>
      <c r="C5" s="26" t="s">
        <v>123</v>
      </c>
      <c r="D5" s="26" t="s">
        <v>61</v>
      </c>
      <c r="E5" s="26">
        <v>80</v>
      </c>
      <c r="F5" s="26">
        <v>2000</v>
      </c>
      <c r="G5" s="26">
        <v>100</v>
      </c>
      <c r="H5" s="26">
        <v>2000</v>
      </c>
      <c r="I5" s="26" t="s">
        <v>60</v>
      </c>
      <c r="J5" s="26" t="s">
        <v>127</v>
      </c>
      <c r="K5" s="26" t="s">
        <v>61</v>
      </c>
      <c r="L5" s="26">
        <v>80</v>
      </c>
      <c r="M5" s="26">
        <v>2000</v>
      </c>
      <c r="N5" s="26">
        <v>100</v>
      </c>
      <c r="O5" s="26">
        <v>2000</v>
      </c>
      <c r="P5" s="26">
        <v>0</v>
      </c>
      <c r="Q5" s="25"/>
      <c r="R5" s="25"/>
    </row>
    <row r="6" spans="1:18" x14ac:dyDescent="0.25">
      <c r="A6" s="5" t="s">
        <v>60</v>
      </c>
      <c r="B6" s="5">
        <v>5</v>
      </c>
      <c r="C6" s="6" t="s">
        <v>62</v>
      </c>
      <c r="D6" s="6" t="s">
        <v>77</v>
      </c>
      <c r="E6" s="6">
        <v>0</v>
      </c>
      <c r="F6" s="6">
        <v>0</v>
      </c>
      <c r="G6" s="6">
        <v>0</v>
      </c>
      <c r="H6" s="6">
        <v>0</v>
      </c>
      <c r="I6" s="6" t="s">
        <v>60</v>
      </c>
      <c r="J6" s="6" t="s">
        <v>76</v>
      </c>
      <c r="K6" s="6" t="s">
        <v>77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5"/>
      <c r="R6" s="5"/>
    </row>
    <row r="7" spans="1:18" x14ac:dyDescent="0.25">
      <c r="A7" s="25" t="s">
        <v>60</v>
      </c>
      <c r="B7" s="25">
        <v>6</v>
      </c>
      <c r="C7" s="26" t="s">
        <v>62</v>
      </c>
      <c r="D7" s="26" t="s">
        <v>77</v>
      </c>
      <c r="E7" s="26">
        <v>0</v>
      </c>
      <c r="F7" s="26">
        <v>0</v>
      </c>
      <c r="G7" s="26">
        <v>0</v>
      </c>
      <c r="H7" s="26">
        <v>0</v>
      </c>
      <c r="I7" s="26" t="s">
        <v>60</v>
      </c>
      <c r="J7" s="26" t="s">
        <v>62</v>
      </c>
      <c r="K7" s="26" t="s">
        <v>77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5"/>
      <c r="R7" s="25"/>
    </row>
    <row r="8" spans="1:18" x14ac:dyDescent="0.25">
      <c r="A8" s="5" t="s">
        <v>60</v>
      </c>
      <c r="B8" s="5">
        <v>7</v>
      </c>
      <c r="C8" s="6" t="s">
        <v>62</v>
      </c>
      <c r="D8" s="6" t="s">
        <v>77</v>
      </c>
      <c r="E8" s="6">
        <v>0</v>
      </c>
      <c r="F8" s="6">
        <v>0</v>
      </c>
      <c r="G8" s="6">
        <v>0</v>
      </c>
      <c r="H8" s="6">
        <v>0</v>
      </c>
      <c r="I8" s="6" t="s">
        <v>60</v>
      </c>
      <c r="J8" s="6" t="s">
        <v>76</v>
      </c>
      <c r="K8" s="6" t="s">
        <v>77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5"/>
      <c r="R8" s="5"/>
    </row>
    <row r="9" spans="1:18" x14ac:dyDescent="0.25">
      <c r="A9" s="25" t="s">
        <v>60</v>
      </c>
      <c r="B9" s="25">
        <v>8</v>
      </c>
      <c r="C9" s="26" t="s">
        <v>62</v>
      </c>
      <c r="D9" s="26" t="s">
        <v>77</v>
      </c>
      <c r="E9" s="26">
        <v>0</v>
      </c>
      <c r="F9" s="26">
        <v>0</v>
      </c>
      <c r="G9" s="26">
        <v>0</v>
      </c>
      <c r="H9" s="26">
        <v>0</v>
      </c>
      <c r="I9" s="26" t="s">
        <v>60</v>
      </c>
      <c r="J9" s="26" t="s">
        <v>62</v>
      </c>
      <c r="K9" s="26" t="s">
        <v>77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5"/>
      <c r="R9" s="25"/>
    </row>
    <row r="10" spans="1:18" x14ac:dyDescent="0.25">
      <c r="A10" s="5" t="s">
        <v>60</v>
      </c>
      <c r="B10" s="5">
        <v>9</v>
      </c>
      <c r="C10" s="6" t="s">
        <v>62</v>
      </c>
      <c r="D10" s="6" t="s">
        <v>77</v>
      </c>
      <c r="E10" s="6">
        <v>0</v>
      </c>
      <c r="F10" s="6">
        <v>0</v>
      </c>
      <c r="G10" s="6">
        <v>0</v>
      </c>
      <c r="H10" s="6">
        <v>0</v>
      </c>
      <c r="I10" s="6" t="s">
        <v>60</v>
      </c>
      <c r="J10" s="6" t="s">
        <v>76</v>
      </c>
      <c r="K10" s="6" t="s">
        <v>77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5"/>
      <c r="R10" s="5"/>
    </row>
    <row r="11" spans="1:18" x14ac:dyDescent="0.25">
      <c r="A11" s="25" t="s">
        <v>60</v>
      </c>
      <c r="B11" s="25">
        <v>10</v>
      </c>
      <c r="C11" s="26" t="s">
        <v>62</v>
      </c>
      <c r="D11" s="26" t="s">
        <v>77</v>
      </c>
      <c r="E11" s="26">
        <v>0</v>
      </c>
      <c r="F11" s="26">
        <v>0</v>
      </c>
      <c r="G11" s="26">
        <v>0</v>
      </c>
      <c r="H11" s="26">
        <v>0</v>
      </c>
      <c r="I11" s="26" t="s">
        <v>60</v>
      </c>
      <c r="J11" s="26" t="s">
        <v>62</v>
      </c>
      <c r="K11" s="26" t="s">
        <v>77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5"/>
      <c r="R11" s="25"/>
    </row>
    <row r="12" spans="1:18" x14ac:dyDescent="0.25">
      <c r="A12" s="5" t="s">
        <v>60</v>
      </c>
      <c r="B12" s="5">
        <v>11</v>
      </c>
      <c r="C12" s="6" t="s">
        <v>62</v>
      </c>
      <c r="D12" s="6" t="s">
        <v>77</v>
      </c>
      <c r="E12" s="6">
        <v>0</v>
      </c>
      <c r="F12" s="6">
        <v>0</v>
      </c>
      <c r="G12" s="6">
        <v>0</v>
      </c>
      <c r="H12" s="6">
        <v>0</v>
      </c>
      <c r="I12" s="6" t="s">
        <v>60</v>
      </c>
      <c r="J12" s="6" t="s">
        <v>76</v>
      </c>
      <c r="K12" s="6" t="s">
        <v>77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5"/>
      <c r="R12" s="5"/>
    </row>
    <row r="13" spans="1:18" x14ac:dyDescent="0.25">
      <c r="A13" s="25" t="s">
        <v>60</v>
      </c>
      <c r="B13" s="25">
        <v>12</v>
      </c>
      <c r="C13" s="26" t="s">
        <v>62</v>
      </c>
      <c r="D13" s="26" t="s">
        <v>77</v>
      </c>
      <c r="E13" s="26">
        <v>0</v>
      </c>
      <c r="F13" s="26">
        <v>0</v>
      </c>
      <c r="G13" s="26">
        <v>0</v>
      </c>
      <c r="H13" s="26">
        <v>0</v>
      </c>
      <c r="I13" s="26" t="s">
        <v>60</v>
      </c>
      <c r="J13" s="26" t="s">
        <v>62</v>
      </c>
      <c r="K13" s="26" t="s">
        <v>77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5"/>
      <c r="R13" s="25"/>
    </row>
    <row r="14" spans="1:18" x14ac:dyDescent="0.25">
      <c r="A14" s="5" t="s">
        <v>60</v>
      </c>
      <c r="B14" s="5">
        <v>13</v>
      </c>
      <c r="C14" s="6" t="s">
        <v>62</v>
      </c>
      <c r="D14" s="6" t="s">
        <v>77</v>
      </c>
      <c r="E14" s="6">
        <v>0</v>
      </c>
      <c r="F14" s="6">
        <v>0</v>
      </c>
      <c r="G14" s="6">
        <v>0</v>
      </c>
      <c r="H14" s="6">
        <v>0</v>
      </c>
      <c r="I14" s="6" t="s">
        <v>60</v>
      </c>
      <c r="J14" s="6" t="s">
        <v>76</v>
      </c>
      <c r="K14" s="6" t="s">
        <v>77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5"/>
      <c r="R14" s="5"/>
    </row>
    <row r="15" spans="1:18" x14ac:dyDescent="0.25">
      <c r="A15" s="25" t="s">
        <v>60</v>
      </c>
      <c r="B15" s="25">
        <v>14</v>
      </c>
      <c r="C15" s="26" t="s">
        <v>62</v>
      </c>
      <c r="D15" s="26" t="s">
        <v>77</v>
      </c>
      <c r="E15" s="26">
        <v>0</v>
      </c>
      <c r="F15" s="26">
        <v>0</v>
      </c>
      <c r="G15" s="26">
        <v>0</v>
      </c>
      <c r="H15" s="26">
        <v>0</v>
      </c>
      <c r="I15" s="26" t="s">
        <v>60</v>
      </c>
      <c r="J15" s="26" t="s">
        <v>62</v>
      </c>
      <c r="K15" s="26" t="s">
        <v>77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5"/>
      <c r="R15" s="25"/>
    </row>
    <row r="16" spans="1:18" x14ac:dyDescent="0.25">
      <c r="A16" s="5" t="s">
        <v>60</v>
      </c>
      <c r="B16" s="5">
        <v>15</v>
      </c>
      <c r="C16" s="6" t="s">
        <v>62</v>
      </c>
      <c r="D16" s="6" t="s">
        <v>77</v>
      </c>
      <c r="E16" s="6">
        <v>0</v>
      </c>
      <c r="F16" s="6">
        <v>0</v>
      </c>
      <c r="G16" s="6">
        <v>0</v>
      </c>
      <c r="H16" s="6">
        <v>0</v>
      </c>
      <c r="I16" s="6" t="s">
        <v>60</v>
      </c>
      <c r="J16" s="6" t="s">
        <v>76</v>
      </c>
      <c r="K16" s="6" t="s">
        <v>77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5"/>
      <c r="R16" s="5"/>
    </row>
    <row r="17" spans="1:18" x14ac:dyDescent="0.25">
      <c r="A17" s="25" t="s">
        <v>60</v>
      </c>
      <c r="B17" s="25">
        <v>16</v>
      </c>
      <c r="C17" s="26" t="s">
        <v>62</v>
      </c>
      <c r="D17" s="26" t="s">
        <v>77</v>
      </c>
      <c r="E17" s="26">
        <v>0</v>
      </c>
      <c r="F17" s="26">
        <v>0</v>
      </c>
      <c r="G17" s="26">
        <v>0</v>
      </c>
      <c r="H17" s="26">
        <v>0</v>
      </c>
      <c r="I17" s="26" t="s">
        <v>60</v>
      </c>
      <c r="J17" s="26" t="s">
        <v>62</v>
      </c>
      <c r="K17" s="26" t="s">
        <v>77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5"/>
      <c r="R17" s="25"/>
    </row>
    <row r="18" spans="1:18" x14ac:dyDescent="0.25">
      <c r="A18" s="5" t="s">
        <v>60</v>
      </c>
      <c r="B18" s="5">
        <v>17</v>
      </c>
      <c r="C18" s="6" t="s">
        <v>62</v>
      </c>
      <c r="D18" s="6" t="s">
        <v>77</v>
      </c>
      <c r="E18" s="6">
        <v>0</v>
      </c>
      <c r="F18" s="6">
        <v>0</v>
      </c>
      <c r="G18" s="6">
        <v>0</v>
      </c>
      <c r="H18" s="6">
        <v>0</v>
      </c>
      <c r="I18" s="6" t="s">
        <v>60</v>
      </c>
      <c r="J18" s="6" t="s">
        <v>76</v>
      </c>
      <c r="K18" s="6" t="s">
        <v>77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5"/>
      <c r="R18" s="5"/>
    </row>
    <row r="19" spans="1:18" x14ac:dyDescent="0.25">
      <c r="A19" s="25" t="s">
        <v>60</v>
      </c>
      <c r="B19" s="25">
        <v>18</v>
      </c>
      <c r="C19" s="26" t="s">
        <v>62</v>
      </c>
      <c r="D19" s="26" t="s">
        <v>77</v>
      </c>
      <c r="E19" s="26">
        <v>0</v>
      </c>
      <c r="F19" s="26">
        <v>0</v>
      </c>
      <c r="G19" s="26">
        <v>0</v>
      </c>
      <c r="H19" s="26">
        <v>0</v>
      </c>
      <c r="I19" s="26" t="s">
        <v>60</v>
      </c>
      <c r="J19" s="26" t="s">
        <v>62</v>
      </c>
      <c r="K19" s="26" t="s">
        <v>77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5"/>
      <c r="R19" s="25"/>
    </row>
    <row r="20" spans="1:18" x14ac:dyDescent="0.25">
      <c r="A20" s="5" t="s">
        <v>60</v>
      </c>
      <c r="B20" s="5">
        <v>19</v>
      </c>
      <c r="C20" s="6" t="s">
        <v>62</v>
      </c>
      <c r="D20" s="6" t="s">
        <v>77</v>
      </c>
      <c r="E20" s="6">
        <v>0</v>
      </c>
      <c r="F20" s="6">
        <v>0</v>
      </c>
      <c r="G20" s="6">
        <v>0</v>
      </c>
      <c r="H20" s="6">
        <v>0</v>
      </c>
      <c r="I20" s="6" t="s">
        <v>60</v>
      </c>
      <c r="J20" s="6" t="s">
        <v>76</v>
      </c>
      <c r="K20" s="6" t="s">
        <v>77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5"/>
      <c r="R20" s="5"/>
    </row>
    <row r="21" spans="1:18" x14ac:dyDescent="0.25">
      <c r="A21" s="25" t="s">
        <v>60</v>
      </c>
      <c r="B21" s="25">
        <v>20</v>
      </c>
      <c r="C21" s="26" t="s">
        <v>62</v>
      </c>
      <c r="D21" s="26" t="s">
        <v>77</v>
      </c>
      <c r="E21" s="26">
        <v>0</v>
      </c>
      <c r="F21" s="26">
        <v>0</v>
      </c>
      <c r="G21" s="26">
        <v>0</v>
      </c>
      <c r="H21" s="26">
        <v>0</v>
      </c>
      <c r="I21" s="26" t="s">
        <v>60</v>
      </c>
      <c r="J21" s="26" t="s">
        <v>62</v>
      </c>
      <c r="K21" s="26" t="s">
        <v>77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5"/>
      <c r="R21" s="2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2F5-1914-4A89-8AB8-CED6BCC322EB}">
  <dimension ref="A1:Q21"/>
  <sheetViews>
    <sheetView tabSelected="1" workbookViewId="0">
      <selection activeCell="D8" sqref="D8"/>
    </sheetView>
  </sheetViews>
  <sheetFormatPr defaultRowHeight="13.8" x14ac:dyDescent="0.25"/>
  <cols>
    <col min="1" max="2" width="13.21875" style="1" customWidth="1"/>
    <col min="3" max="5" width="10.33203125" style="1" customWidth="1"/>
    <col min="6" max="8" width="9.109375" style="1" customWidth="1"/>
    <col min="9" max="16" width="10.33203125" style="1" customWidth="1"/>
    <col min="17" max="17" width="14.88671875" style="1" customWidth="1"/>
  </cols>
  <sheetData>
    <row r="1" spans="1:17" ht="27.6" x14ac:dyDescent="0.25">
      <c r="A1" s="29" t="s">
        <v>84</v>
      </c>
      <c r="B1" s="29" t="s">
        <v>85</v>
      </c>
      <c r="C1" s="30" t="s">
        <v>83</v>
      </c>
      <c r="D1" s="30" t="s">
        <v>89</v>
      </c>
      <c r="E1" s="30" t="s">
        <v>90</v>
      </c>
      <c r="F1" s="30" t="s">
        <v>91</v>
      </c>
      <c r="G1" s="30" t="s">
        <v>92</v>
      </c>
      <c r="H1" s="30" t="s">
        <v>93</v>
      </c>
      <c r="I1" s="30" t="s">
        <v>94</v>
      </c>
      <c r="J1" s="30" t="s">
        <v>95</v>
      </c>
      <c r="K1" s="30" t="s">
        <v>96</v>
      </c>
      <c r="L1" s="30" t="s">
        <v>97</v>
      </c>
      <c r="M1" s="30" t="s">
        <v>98</v>
      </c>
      <c r="N1" s="30" t="s">
        <v>99</v>
      </c>
      <c r="O1" s="30" t="s">
        <v>115</v>
      </c>
      <c r="P1" s="30" t="s">
        <v>88</v>
      </c>
      <c r="Q1" s="30" t="s">
        <v>126</v>
      </c>
    </row>
    <row r="2" spans="1:17" x14ac:dyDescent="0.25">
      <c r="A2" s="6">
        <v>1</v>
      </c>
      <c r="B2" s="6" t="s">
        <v>86</v>
      </c>
      <c r="C2" s="6">
        <v>100</v>
      </c>
      <c r="D2" s="6">
        <v>100</v>
      </c>
      <c r="E2" s="6">
        <v>100</v>
      </c>
      <c r="F2" s="6">
        <v>5</v>
      </c>
      <c r="G2" s="6">
        <v>5</v>
      </c>
      <c r="H2" s="6">
        <v>5</v>
      </c>
      <c r="I2" s="6">
        <v>0</v>
      </c>
      <c r="J2" s="6">
        <v>240</v>
      </c>
      <c r="K2" s="6">
        <v>120</v>
      </c>
      <c r="L2" s="6">
        <v>0</v>
      </c>
      <c r="M2" s="6">
        <v>240</v>
      </c>
      <c r="N2" s="6">
        <v>120</v>
      </c>
      <c r="O2" s="6">
        <v>50</v>
      </c>
      <c r="P2" s="6">
        <v>10</v>
      </c>
      <c r="Q2" s="6"/>
    </row>
    <row r="3" spans="1:17" x14ac:dyDescent="0.25">
      <c r="A3" s="6">
        <v>1</v>
      </c>
      <c r="B3" s="6" t="s">
        <v>87</v>
      </c>
      <c r="C3" s="6">
        <v>100</v>
      </c>
      <c r="D3" s="6">
        <v>100</v>
      </c>
      <c r="E3" s="6">
        <v>100</v>
      </c>
      <c r="F3" s="6">
        <v>2</v>
      </c>
      <c r="G3" s="6">
        <v>2</v>
      </c>
      <c r="H3" s="6">
        <v>2</v>
      </c>
      <c r="I3" s="6">
        <v>0</v>
      </c>
      <c r="J3" s="6">
        <v>240</v>
      </c>
      <c r="K3" s="6">
        <v>120</v>
      </c>
      <c r="L3" s="6">
        <v>0</v>
      </c>
      <c r="M3" s="6">
        <v>240</v>
      </c>
      <c r="N3" s="6">
        <v>120</v>
      </c>
      <c r="O3" s="6">
        <v>50</v>
      </c>
      <c r="P3" s="6">
        <v>10</v>
      </c>
      <c r="Q3" s="6"/>
    </row>
    <row r="4" spans="1:17" x14ac:dyDescent="0.25">
      <c r="A4" s="31">
        <v>2</v>
      </c>
      <c r="B4" s="31" t="s">
        <v>86</v>
      </c>
      <c r="C4" s="31">
        <v>100</v>
      </c>
      <c r="D4" s="31">
        <v>100</v>
      </c>
      <c r="E4" s="31">
        <v>100</v>
      </c>
      <c r="F4" s="31">
        <v>0.5</v>
      </c>
      <c r="G4" s="31">
        <v>3</v>
      </c>
      <c r="H4" s="31">
        <v>3</v>
      </c>
      <c r="I4" s="31">
        <v>0</v>
      </c>
      <c r="J4" s="31">
        <v>240</v>
      </c>
      <c r="K4" s="31">
        <v>120</v>
      </c>
      <c r="L4" s="31">
        <v>0</v>
      </c>
      <c r="M4" s="31">
        <v>240</v>
      </c>
      <c r="N4" s="31">
        <v>120</v>
      </c>
      <c r="O4" s="31">
        <v>50</v>
      </c>
      <c r="P4" s="31">
        <v>10</v>
      </c>
      <c r="Q4" s="6"/>
    </row>
    <row r="5" spans="1:17" x14ac:dyDescent="0.25">
      <c r="A5" s="31">
        <v>2</v>
      </c>
      <c r="B5" s="31" t="s">
        <v>87</v>
      </c>
      <c r="C5" s="31">
        <v>100</v>
      </c>
      <c r="D5" s="31">
        <v>100</v>
      </c>
      <c r="E5" s="31">
        <v>100</v>
      </c>
      <c r="F5" s="31">
        <v>3</v>
      </c>
      <c r="G5" s="31">
        <v>3</v>
      </c>
      <c r="H5" s="31">
        <v>3</v>
      </c>
      <c r="I5" s="31">
        <v>0</v>
      </c>
      <c r="J5" s="31">
        <v>240</v>
      </c>
      <c r="K5" s="31">
        <v>120</v>
      </c>
      <c r="L5" s="31">
        <v>0</v>
      </c>
      <c r="M5" s="31">
        <v>240</v>
      </c>
      <c r="N5" s="31">
        <v>120</v>
      </c>
      <c r="O5" s="31">
        <v>50</v>
      </c>
      <c r="P5" s="31">
        <v>10</v>
      </c>
      <c r="Q5" s="6"/>
    </row>
    <row r="6" spans="1:17" x14ac:dyDescent="0.25">
      <c r="A6" s="6">
        <v>3</v>
      </c>
      <c r="B6" s="6" t="s">
        <v>86</v>
      </c>
      <c r="C6" s="6">
        <v>150</v>
      </c>
      <c r="D6" s="6">
        <v>150</v>
      </c>
      <c r="E6" s="6">
        <v>150</v>
      </c>
      <c r="F6" s="6">
        <v>2</v>
      </c>
      <c r="G6" s="6">
        <v>2</v>
      </c>
      <c r="H6" s="6">
        <v>2</v>
      </c>
      <c r="I6" s="6">
        <v>0</v>
      </c>
      <c r="J6" s="6">
        <v>240</v>
      </c>
      <c r="K6" s="6">
        <v>120</v>
      </c>
      <c r="L6" s="6">
        <v>0</v>
      </c>
      <c r="M6" s="6">
        <v>240</v>
      </c>
      <c r="N6" s="6">
        <v>120</v>
      </c>
      <c r="O6" s="6">
        <v>50</v>
      </c>
      <c r="P6" s="6">
        <v>10</v>
      </c>
      <c r="Q6" s="6"/>
    </row>
    <row r="7" spans="1:17" x14ac:dyDescent="0.25">
      <c r="A7" s="6">
        <v>3</v>
      </c>
      <c r="B7" s="6" t="s">
        <v>87</v>
      </c>
      <c r="C7" s="6">
        <v>105</v>
      </c>
      <c r="D7" s="6">
        <v>105</v>
      </c>
      <c r="E7" s="6">
        <v>105</v>
      </c>
      <c r="F7" s="6">
        <v>2</v>
      </c>
      <c r="G7" s="6">
        <v>2</v>
      </c>
      <c r="H7" s="6">
        <v>2</v>
      </c>
      <c r="I7" s="6">
        <v>0</v>
      </c>
      <c r="J7" s="6">
        <v>240</v>
      </c>
      <c r="K7" s="6">
        <v>120</v>
      </c>
      <c r="L7" s="6">
        <v>0</v>
      </c>
      <c r="M7" s="6">
        <v>240</v>
      </c>
      <c r="N7" s="6">
        <v>120</v>
      </c>
      <c r="O7" s="6">
        <v>50</v>
      </c>
      <c r="P7" s="6">
        <v>10</v>
      </c>
      <c r="Q7" s="6"/>
    </row>
    <row r="8" spans="1:17" x14ac:dyDescent="0.25">
      <c r="A8" s="31">
        <v>4</v>
      </c>
      <c r="B8" s="31" t="s">
        <v>86</v>
      </c>
      <c r="C8" s="31">
        <v>105</v>
      </c>
      <c r="D8" s="31">
        <v>105</v>
      </c>
      <c r="E8" s="31">
        <v>60</v>
      </c>
      <c r="F8" s="31">
        <v>2</v>
      </c>
      <c r="G8" s="31">
        <v>2</v>
      </c>
      <c r="H8" s="31">
        <v>2</v>
      </c>
      <c r="I8" s="31">
        <v>0</v>
      </c>
      <c r="J8" s="31">
        <v>240</v>
      </c>
      <c r="K8" s="31">
        <v>120</v>
      </c>
      <c r="L8" s="31">
        <v>0</v>
      </c>
      <c r="M8" s="31">
        <v>240</v>
      </c>
      <c r="N8" s="31">
        <v>120</v>
      </c>
      <c r="O8" s="31">
        <v>50</v>
      </c>
      <c r="P8" s="31">
        <v>10</v>
      </c>
      <c r="Q8" s="6"/>
    </row>
    <row r="9" spans="1:17" x14ac:dyDescent="0.25">
      <c r="A9" s="31">
        <v>4</v>
      </c>
      <c r="B9" s="31" t="s">
        <v>87</v>
      </c>
      <c r="C9" s="31">
        <v>105</v>
      </c>
      <c r="D9" s="31">
        <v>105</v>
      </c>
      <c r="E9" s="31">
        <v>105</v>
      </c>
      <c r="F9" s="31">
        <v>2</v>
      </c>
      <c r="G9" s="31">
        <v>2</v>
      </c>
      <c r="H9" s="31">
        <v>2</v>
      </c>
      <c r="I9" s="31">
        <v>0</v>
      </c>
      <c r="J9" s="31">
        <v>240</v>
      </c>
      <c r="K9" s="31">
        <v>120</v>
      </c>
      <c r="L9" s="31">
        <v>0</v>
      </c>
      <c r="M9" s="31">
        <v>240</v>
      </c>
      <c r="N9" s="31">
        <v>120</v>
      </c>
      <c r="O9" s="31">
        <v>50</v>
      </c>
      <c r="P9" s="31">
        <v>10</v>
      </c>
      <c r="Q9" s="6"/>
    </row>
    <row r="10" spans="1:1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2E0A-43FD-422E-9B44-EA796BCB9A0E}">
  <dimension ref="A1:J17"/>
  <sheetViews>
    <sheetView workbookViewId="0">
      <selection activeCell="G13" sqref="G13"/>
    </sheetView>
  </sheetViews>
  <sheetFormatPr defaultRowHeight="13.8" x14ac:dyDescent="0.25"/>
  <cols>
    <col min="1" max="1" width="34.33203125" customWidth="1"/>
    <col min="6" max="6" width="35.77734375" customWidth="1"/>
    <col min="10" max="10" width="93.33203125" customWidth="1"/>
  </cols>
  <sheetData>
    <row r="1" spans="1:10" x14ac:dyDescent="0.25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70</v>
      </c>
      <c r="H1" s="8" t="s">
        <v>22</v>
      </c>
      <c r="I1" s="8" t="s">
        <v>71</v>
      </c>
      <c r="J1" s="7" t="s">
        <v>23</v>
      </c>
    </row>
    <row r="2" spans="1:10" ht="30.6" customHeight="1" x14ac:dyDescent="0.25">
      <c r="A2" s="9" t="s">
        <v>24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15" x14ac:dyDescent="0.25">
      <c r="A3" s="11"/>
      <c r="B3" s="12" t="str">
        <f>"0x"&amp;DEC2HEX(D3,4)</f>
        <v>0x6000</v>
      </c>
      <c r="C3" s="12" t="str">
        <f t="shared" ref="C3:C17" si="0">"0x"&amp;DEC2HEX(E3,4)</f>
        <v>0x6001</v>
      </c>
      <c r="D3" s="13">
        <v>24576</v>
      </c>
      <c r="E3" s="13">
        <f>D3+I3-1</f>
        <v>24577</v>
      </c>
      <c r="F3" s="10" t="s">
        <v>79</v>
      </c>
      <c r="G3" s="10" t="s">
        <v>82</v>
      </c>
      <c r="H3" s="10" t="s">
        <v>26</v>
      </c>
      <c r="I3" s="10">
        <v>2</v>
      </c>
      <c r="J3" s="10" t="s">
        <v>81</v>
      </c>
    </row>
    <row r="4" spans="1:10" ht="142.19999999999999" customHeight="1" x14ac:dyDescent="0.25">
      <c r="A4" s="10"/>
      <c r="B4" s="12" t="str">
        <f>"0x"&amp;DEC2HEX(D4,4)</f>
        <v>0x6002</v>
      </c>
      <c r="C4" s="12" t="str">
        <f t="shared" si="0"/>
        <v>0x6002</v>
      </c>
      <c r="D4" s="13">
        <f>D3+I3</f>
        <v>24578</v>
      </c>
      <c r="E4" s="13">
        <f>D4+I4-1</f>
        <v>24578</v>
      </c>
      <c r="F4" s="10" t="s">
        <v>78</v>
      </c>
      <c r="G4" s="10" t="s">
        <v>27</v>
      </c>
      <c r="H4" s="10" t="s">
        <v>26</v>
      </c>
      <c r="I4" s="10">
        <v>1</v>
      </c>
      <c r="J4" s="14" t="s">
        <v>65</v>
      </c>
    </row>
    <row r="5" spans="1:10" ht="33" customHeight="1" x14ac:dyDescent="0.25">
      <c r="A5" s="10"/>
      <c r="B5" s="12" t="str">
        <f t="shared" ref="B5:B16" si="1">"0x"&amp;DEC2HEX(D5,4)</f>
        <v>0x6003</v>
      </c>
      <c r="C5" s="12" t="str">
        <f t="shared" si="0"/>
        <v>0x6003</v>
      </c>
      <c r="D5" s="13">
        <f t="shared" ref="D5:D16" si="2">D4+I4</f>
        <v>24579</v>
      </c>
      <c r="E5" s="13">
        <f>D5+I5-1</f>
        <v>24579</v>
      </c>
      <c r="F5" s="10" t="s">
        <v>28</v>
      </c>
      <c r="G5" s="10" t="s">
        <v>27</v>
      </c>
      <c r="H5" s="10" t="s">
        <v>26</v>
      </c>
      <c r="I5" s="10">
        <v>1</v>
      </c>
      <c r="J5" s="14" t="s">
        <v>64</v>
      </c>
    </row>
    <row r="6" spans="1:10" ht="26.4" x14ac:dyDescent="0.25">
      <c r="A6" s="11"/>
      <c r="B6" s="12" t="str">
        <f t="shared" si="1"/>
        <v>0x6004</v>
      </c>
      <c r="C6" s="12" t="str">
        <f t="shared" si="0"/>
        <v>0x6004</v>
      </c>
      <c r="D6" s="13">
        <f t="shared" si="2"/>
        <v>24580</v>
      </c>
      <c r="E6" s="13">
        <f t="shared" ref="E6:E16" si="3">D6+I6-1</f>
        <v>24580</v>
      </c>
      <c r="F6" s="10" t="s">
        <v>75</v>
      </c>
      <c r="G6" s="10" t="s">
        <v>27</v>
      </c>
      <c r="H6" s="10" t="s">
        <v>26</v>
      </c>
      <c r="I6" s="10">
        <v>1</v>
      </c>
      <c r="J6" s="14" t="s">
        <v>32</v>
      </c>
    </row>
    <row r="7" spans="1:10" ht="15" x14ac:dyDescent="0.25">
      <c r="A7" s="11"/>
      <c r="B7" s="12" t="str">
        <f t="shared" si="1"/>
        <v>0x6005</v>
      </c>
      <c r="C7" s="12" t="str">
        <f t="shared" si="0"/>
        <v>0x6005</v>
      </c>
      <c r="D7" s="13">
        <f t="shared" si="2"/>
        <v>24581</v>
      </c>
      <c r="E7" s="13">
        <f t="shared" si="3"/>
        <v>24581</v>
      </c>
      <c r="F7" s="10" t="s">
        <v>68</v>
      </c>
      <c r="G7" s="10" t="s">
        <v>27</v>
      </c>
      <c r="H7" s="10" t="s">
        <v>26</v>
      </c>
      <c r="I7" s="10">
        <v>1</v>
      </c>
      <c r="J7" s="14" t="s">
        <v>33</v>
      </c>
    </row>
    <row r="8" spans="1:10" x14ac:dyDescent="0.25">
      <c r="A8" s="11"/>
      <c r="B8" s="12" t="str">
        <f t="shared" si="1"/>
        <v>0x6006</v>
      </c>
      <c r="C8" s="12" t="str">
        <f t="shared" si="0"/>
        <v>0x6007</v>
      </c>
      <c r="D8" s="13">
        <f>D7+I7</f>
        <v>24582</v>
      </c>
      <c r="E8" s="13">
        <f t="shared" si="3"/>
        <v>24583</v>
      </c>
      <c r="F8" s="14" t="s">
        <v>34</v>
      </c>
      <c r="G8" s="10" t="s">
        <v>29</v>
      </c>
      <c r="H8" s="10" t="s">
        <v>26</v>
      </c>
      <c r="I8" s="10">
        <v>2</v>
      </c>
      <c r="J8" s="14"/>
    </row>
    <row r="9" spans="1:10" x14ac:dyDescent="0.25">
      <c r="A9" s="10"/>
      <c r="B9" s="12" t="str">
        <f t="shared" si="1"/>
        <v>0x6008</v>
      </c>
      <c r="C9" s="12" t="str">
        <f t="shared" si="0"/>
        <v>0x6008</v>
      </c>
      <c r="D9" s="13">
        <f t="shared" si="2"/>
        <v>24584</v>
      </c>
      <c r="E9" s="13">
        <f t="shared" si="3"/>
        <v>24584</v>
      </c>
      <c r="F9" s="10" t="s">
        <v>72</v>
      </c>
      <c r="G9" s="10" t="s">
        <v>69</v>
      </c>
      <c r="H9" s="10" t="s">
        <v>26</v>
      </c>
      <c r="I9" s="10">
        <v>1</v>
      </c>
      <c r="J9" s="14" t="s">
        <v>30</v>
      </c>
    </row>
    <row r="10" spans="1:10" x14ac:dyDescent="0.25">
      <c r="A10" s="10"/>
      <c r="B10" s="12" t="str">
        <f t="shared" si="1"/>
        <v>0x6009</v>
      </c>
      <c r="C10" s="12" t="str">
        <f t="shared" si="0"/>
        <v>0x600A</v>
      </c>
      <c r="D10" s="13">
        <f t="shared" si="2"/>
        <v>24585</v>
      </c>
      <c r="E10" s="13">
        <f t="shared" si="3"/>
        <v>24586</v>
      </c>
      <c r="F10" s="10" t="s">
        <v>73</v>
      </c>
      <c r="G10" s="10" t="s">
        <v>29</v>
      </c>
      <c r="H10" s="10" t="s">
        <v>26</v>
      </c>
      <c r="I10" s="10">
        <v>2</v>
      </c>
      <c r="J10" s="15"/>
    </row>
    <row r="11" spans="1:10" x14ac:dyDescent="0.25">
      <c r="A11" s="11"/>
      <c r="B11" s="12" t="str">
        <f t="shared" si="1"/>
        <v>0x600B</v>
      </c>
      <c r="C11" s="12" t="str">
        <f t="shared" si="0"/>
        <v>0x600B</v>
      </c>
      <c r="D11" s="13">
        <f t="shared" si="2"/>
        <v>24587</v>
      </c>
      <c r="E11" s="13">
        <f t="shared" si="3"/>
        <v>24587</v>
      </c>
      <c r="F11" s="10" t="s">
        <v>74</v>
      </c>
      <c r="G11" s="10" t="s">
        <v>27</v>
      </c>
      <c r="H11" s="10" t="s">
        <v>26</v>
      </c>
      <c r="I11" s="10">
        <v>1</v>
      </c>
      <c r="J11" s="14" t="s">
        <v>31</v>
      </c>
    </row>
    <row r="12" spans="1:10" x14ac:dyDescent="0.25">
      <c r="A12" s="11"/>
      <c r="B12" s="12" t="str">
        <f t="shared" si="1"/>
        <v>0x600C</v>
      </c>
      <c r="C12" s="12" t="str">
        <f t="shared" si="0"/>
        <v>0x600C</v>
      </c>
      <c r="D12" s="13">
        <f t="shared" si="2"/>
        <v>24588</v>
      </c>
      <c r="E12" s="13">
        <f t="shared" si="3"/>
        <v>24588</v>
      </c>
      <c r="F12" s="10" t="s">
        <v>35</v>
      </c>
      <c r="G12" s="10" t="s">
        <v>27</v>
      </c>
      <c r="H12" s="10" t="s">
        <v>26</v>
      </c>
      <c r="I12" s="10">
        <v>1</v>
      </c>
      <c r="J12" s="14" t="s">
        <v>36</v>
      </c>
    </row>
    <row r="13" spans="1:10" x14ac:dyDescent="0.25">
      <c r="A13" s="11"/>
      <c r="B13" s="12" t="str">
        <f t="shared" si="1"/>
        <v>0x600D</v>
      </c>
      <c r="C13" s="12" t="str">
        <f t="shared" si="0"/>
        <v>0x600E</v>
      </c>
      <c r="D13" s="13">
        <f t="shared" si="2"/>
        <v>24589</v>
      </c>
      <c r="E13" s="13">
        <f t="shared" si="3"/>
        <v>24590</v>
      </c>
      <c r="F13" s="10" t="s">
        <v>37</v>
      </c>
      <c r="G13" s="10" t="s">
        <v>29</v>
      </c>
      <c r="H13" s="10" t="s">
        <v>26</v>
      </c>
      <c r="I13" s="10">
        <v>2</v>
      </c>
      <c r="J13" s="14"/>
    </row>
    <row r="14" spans="1:10" x14ac:dyDescent="0.25">
      <c r="A14" s="11"/>
      <c r="B14" s="12" t="str">
        <f t="shared" si="1"/>
        <v>0x600F</v>
      </c>
      <c r="C14" s="12" t="str">
        <f t="shared" si="0"/>
        <v>0x600F</v>
      </c>
      <c r="D14" s="13">
        <f t="shared" si="2"/>
        <v>24591</v>
      </c>
      <c r="E14" s="13">
        <f t="shared" si="3"/>
        <v>24591</v>
      </c>
      <c r="F14" s="10" t="s">
        <v>38</v>
      </c>
      <c r="G14" s="10" t="s">
        <v>27</v>
      </c>
      <c r="H14" s="10" t="s">
        <v>26</v>
      </c>
      <c r="I14" s="10">
        <v>1</v>
      </c>
      <c r="J14" s="14"/>
    </row>
    <row r="15" spans="1:10" x14ac:dyDescent="0.25">
      <c r="A15" s="11"/>
      <c r="B15" s="12" t="str">
        <f t="shared" si="1"/>
        <v>0x6010</v>
      </c>
      <c r="C15" s="12" t="str">
        <f t="shared" si="0"/>
        <v>0x6011</v>
      </c>
      <c r="D15" s="13">
        <f t="shared" si="2"/>
        <v>24592</v>
      </c>
      <c r="E15" s="13">
        <f t="shared" si="3"/>
        <v>24593</v>
      </c>
      <c r="F15" s="10" t="s">
        <v>39</v>
      </c>
      <c r="G15" s="10" t="s">
        <v>29</v>
      </c>
      <c r="H15" s="10" t="s">
        <v>26</v>
      </c>
      <c r="I15" s="10">
        <v>2</v>
      </c>
      <c r="J15" s="14"/>
    </row>
    <row r="16" spans="1:10" x14ac:dyDescent="0.25">
      <c r="A16" s="11"/>
      <c r="B16" s="12" t="str">
        <f t="shared" si="1"/>
        <v>0x6012</v>
      </c>
      <c r="C16" s="12" t="str">
        <f t="shared" si="0"/>
        <v>0x6012</v>
      </c>
      <c r="D16" s="13">
        <f t="shared" si="2"/>
        <v>24594</v>
      </c>
      <c r="E16" s="13">
        <f t="shared" si="3"/>
        <v>24594</v>
      </c>
      <c r="F16" s="10" t="s">
        <v>40</v>
      </c>
      <c r="G16" s="10" t="s">
        <v>27</v>
      </c>
      <c r="H16" s="10" t="s">
        <v>26</v>
      </c>
      <c r="I16" s="10">
        <v>1</v>
      </c>
    </row>
    <row r="17" spans="3:10" x14ac:dyDescent="0.25">
      <c r="C17" s="12" t="str">
        <f t="shared" si="0"/>
        <v>0x6013</v>
      </c>
      <c r="D17" s="21">
        <f>D4+17</f>
        <v>24595</v>
      </c>
      <c r="E17" s="21">
        <f>E4+17</f>
        <v>24595</v>
      </c>
      <c r="F17" s="10" t="s">
        <v>53</v>
      </c>
      <c r="I17" s="10">
        <v>1</v>
      </c>
      <c r="J17" t="s">
        <v>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A63D-250E-4B9F-977E-488E39129ABF}">
  <dimension ref="A1:N21"/>
  <sheetViews>
    <sheetView workbookViewId="0">
      <selection activeCell="J13" sqref="J13"/>
    </sheetView>
  </sheetViews>
  <sheetFormatPr defaultRowHeight="13.8" x14ac:dyDescent="0.25"/>
  <cols>
    <col min="1" max="1" width="12.6640625" customWidth="1"/>
    <col min="6" max="6" width="36.21875" customWidth="1"/>
    <col min="10" max="10" width="51.77734375" customWidth="1"/>
  </cols>
  <sheetData>
    <row r="1" spans="1:14" x14ac:dyDescent="0.25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70</v>
      </c>
      <c r="H1" s="8" t="s">
        <v>22</v>
      </c>
      <c r="I1" s="8" t="s">
        <v>71</v>
      </c>
      <c r="J1" s="7" t="s">
        <v>23</v>
      </c>
    </row>
    <row r="2" spans="1:14" s="16" customFormat="1" x14ac:dyDescent="0.25">
      <c r="A2" s="11" t="s">
        <v>102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s="16" customFormat="1" ht="15" x14ac:dyDescent="0.25">
      <c r="A3" s="10" t="s">
        <v>41</v>
      </c>
      <c r="B3" s="12" t="str">
        <f>"0x"&amp;DEC2HEX(D3,4)</f>
        <v>0x6200</v>
      </c>
      <c r="C3" s="12" t="str">
        <f>"0x"&amp;DEC2HEX(E3,4)</f>
        <v>0x6201</v>
      </c>
      <c r="D3" s="13">
        <v>25088</v>
      </c>
      <c r="E3" s="13">
        <f t="shared" ref="E3:E9" si="0">I3+D3-1</f>
        <v>25089</v>
      </c>
      <c r="F3" s="10" t="s">
        <v>112</v>
      </c>
      <c r="G3" s="10" t="s">
        <v>25</v>
      </c>
      <c r="H3" s="10" t="s">
        <v>42</v>
      </c>
      <c r="I3" s="10">
        <v>2</v>
      </c>
      <c r="J3" s="10" t="s">
        <v>100</v>
      </c>
      <c r="K3" s="10"/>
      <c r="L3" s="10"/>
      <c r="M3" s="10"/>
      <c r="N3" s="10"/>
    </row>
    <row r="4" spans="1:14" s="16" customFormat="1" x14ac:dyDescent="0.25">
      <c r="A4" s="11"/>
      <c r="B4" s="12" t="str">
        <f>"0x"&amp;DEC2HEX(D4,4)</f>
        <v>0x6202</v>
      </c>
      <c r="C4" s="12" t="str">
        <f>"0x"&amp;DEC2HEX(E4,4)</f>
        <v>0x6202</v>
      </c>
      <c r="D4" s="13">
        <f>D3+I3</f>
        <v>25090</v>
      </c>
      <c r="E4" s="13">
        <f t="shared" si="0"/>
        <v>25090</v>
      </c>
      <c r="F4" s="10" t="s">
        <v>43</v>
      </c>
      <c r="G4" s="10" t="s">
        <v>27</v>
      </c>
      <c r="H4" s="10" t="s">
        <v>42</v>
      </c>
      <c r="I4" s="10">
        <v>1</v>
      </c>
      <c r="J4" s="10" t="s">
        <v>44</v>
      </c>
      <c r="K4" s="10"/>
      <c r="L4" s="10"/>
      <c r="M4" s="10"/>
      <c r="N4" s="10"/>
    </row>
    <row r="5" spans="1:14" s="16" customFormat="1" x14ac:dyDescent="0.25">
      <c r="A5" s="10"/>
      <c r="B5" s="12" t="str">
        <f t="shared" ref="B5:C9" si="1">"0x"&amp;DEC2HEX(D5,4)</f>
        <v>0x6203</v>
      </c>
      <c r="C5" s="12" t="str">
        <f t="shared" si="1"/>
        <v>0x6203</v>
      </c>
      <c r="D5" s="13">
        <f t="shared" ref="D5:D9" si="2">D4+I4</f>
        <v>25091</v>
      </c>
      <c r="E5" s="13">
        <f t="shared" si="0"/>
        <v>25091</v>
      </c>
      <c r="F5" s="10" t="s">
        <v>108</v>
      </c>
      <c r="G5" s="10" t="s">
        <v>27</v>
      </c>
      <c r="H5" s="10" t="s">
        <v>42</v>
      </c>
      <c r="I5" s="10">
        <v>1</v>
      </c>
      <c r="J5" s="10" t="s">
        <v>45</v>
      </c>
      <c r="K5" s="10"/>
      <c r="L5" s="10"/>
      <c r="M5" s="10"/>
      <c r="N5" s="10"/>
    </row>
    <row r="6" spans="1:14" s="16" customFormat="1" x14ac:dyDescent="0.25">
      <c r="A6" s="11"/>
      <c r="B6" s="12" t="str">
        <f t="shared" si="1"/>
        <v>0x6204</v>
      </c>
      <c r="C6" s="12" t="str">
        <f t="shared" si="1"/>
        <v>0x6204</v>
      </c>
      <c r="D6" s="13">
        <f t="shared" si="2"/>
        <v>25092</v>
      </c>
      <c r="E6" s="13">
        <f t="shared" si="0"/>
        <v>25092</v>
      </c>
      <c r="F6" s="10" t="s">
        <v>101</v>
      </c>
      <c r="G6" s="10" t="s">
        <v>27</v>
      </c>
      <c r="H6" s="10" t="s">
        <v>26</v>
      </c>
      <c r="I6" s="10">
        <v>1</v>
      </c>
      <c r="J6" s="10" t="s">
        <v>44</v>
      </c>
      <c r="K6" s="10"/>
      <c r="L6" s="10"/>
      <c r="M6" s="10"/>
      <c r="N6" s="10"/>
    </row>
    <row r="7" spans="1:14" s="16" customFormat="1" x14ac:dyDescent="0.25">
      <c r="A7" s="17"/>
      <c r="B7" s="12" t="str">
        <f t="shared" si="1"/>
        <v>0x6205</v>
      </c>
      <c r="C7" s="12" t="str">
        <f t="shared" si="1"/>
        <v>0x6205</v>
      </c>
      <c r="D7" s="13">
        <f t="shared" si="2"/>
        <v>25093</v>
      </c>
      <c r="E7" s="13">
        <f t="shared" si="0"/>
        <v>25093</v>
      </c>
      <c r="F7" s="10" t="s">
        <v>109</v>
      </c>
      <c r="G7" s="10" t="s">
        <v>27</v>
      </c>
      <c r="H7" s="10" t="s">
        <v>26</v>
      </c>
      <c r="I7" s="17">
        <v>1</v>
      </c>
      <c r="J7" s="10" t="s">
        <v>46</v>
      </c>
      <c r="K7" s="17"/>
      <c r="L7" s="17"/>
    </row>
    <row r="8" spans="1:14" s="16" customFormat="1" ht="47.4" customHeight="1" x14ac:dyDescent="0.25">
      <c r="A8" s="17"/>
      <c r="B8" s="18" t="str">
        <f t="shared" si="1"/>
        <v>0x6206</v>
      </c>
      <c r="C8" s="18" t="str">
        <f t="shared" si="1"/>
        <v>0x6206</v>
      </c>
      <c r="D8" s="19">
        <f t="shared" si="2"/>
        <v>25094</v>
      </c>
      <c r="E8" s="19">
        <f t="shared" si="0"/>
        <v>25094</v>
      </c>
      <c r="F8" s="20" t="s">
        <v>110</v>
      </c>
      <c r="G8" s="20" t="s">
        <v>27</v>
      </c>
      <c r="H8" s="20" t="s">
        <v>42</v>
      </c>
      <c r="I8" s="20">
        <v>1</v>
      </c>
      <c r="J8" s="15" t="s">
        <v>113</v>
      </c>
      <c r="K8" s="17"/>
      <c r="L8" s="17"/>
    </row>
    <row r="9" spans="1:14" s="16" customFormat="1" ht="13.5" customHeight="1" x14ac:dyDescent="0.25">
      <c r="A9" s="10"/>
      <c r="B9" s="18" t="str">
        <f t="shared" si="1"/>
        <v>0x6207</v>
      </c>
      <c r="C9" s="18" t="str">
        <f t="shared" si="1"/>
        <v>0x627E</v>
      </c>
      <c r="D9" s="19">
        <f t="shared" si="2"/>
        <v>25095</v>
      </c>
      <c r="E9" s="19">
        <f t="shared" si="0"/>
        <v>25214</v>
      </c>
      <c r="F9" s="20" t="s">
        <v>114</v>
      </c>
      <c r="G9" s="20" t="s">
        <v>27</v>
      </c>
      <c r="H9" s="20" t="s">
        <v>42</v>
      </c>
      <c r="I9" s="20">
        <v>120</v>
      </c>
      <c r="J9" s="20" t="s">
        <v>47</v>
      </c>
      <c r="K9" s="10"/>
      <c r="L9" s="10"/>
      <c r="M9" s="10"/>
      <c r="N9" s="10"/>
    </row>
    <row r="11" spans="1:14" s="16" customFormat="1" x14ac:dyDescent="0.25">
      <c r="A11" s="11" t="s">
        <v>48</v>
      </c>
      <c r="B11" s="10"/>
      <c r="C11" s="10"/>
      <c r="D11" s="10"/>
      <c r="E11" s="10"/>
      <c r="F11" s="10"/>
      <c r="G11" s="10"/>
      <c r="H11" s="10"/>
      <c r="I11" s="10"/>
    </row>
    <row r="12" spans="1:14" s="16" customFormat="1" x14ac:dyDescent="0.25">
      <c r="A12" s="11"/>
      <c r="B12" s="10"/>
      <c r="C12" s="10"/>
      <c r="D12" s="10"/>
      <c r="E12" s="10"/>
      <c r="F12" s="10" t="s">
        <v>116</v>
      </c>
      <c r="G12" s="10" t="s">
        <v>27</v>
      </c>
      <c r="H12" s="10"/>
      <c r="I12" s="10">
        <v>1</v>
      </c>
    </row>
    <row r="13" spans="1:14" s="16" customFormat="1" ht="121.8" customHeight="1" x14ac:dyDescent="0.25">
      <c r="A13" s="11"/>
      <c r="B13" s="10"/>
      <c r="C13" s="10"/>
      <c r="D13" s="10"/>
      <c r="E13" s="10"/>
      <c r="F13" s="14" t="s">
        <v>118</v>
      </c>
      <c r="G13" s="10" t="s">
        <v>27</v>
      </c>
      <c r="H13" s="10"/>
      <c r="I13" s="10">
        <v>4</v>
      </c>
    </row>
    <row r="14" spans="1:14" s="16" customFormat="1" x14ac:dyDescent="0.25">
      <c r="A14" s="11"/>
      <c r="B14" s="10"/>
      <c r="C14" s="10"/>
      <c r="D14" s="10"/>
      <c r="E14" s="10"/>
      <c r="F14" s="10" t="s">
        <v>117</v>
      </c>
      <c r="G14" s="10" t="s">
        <v>69</v>
      </c>
      <c r="H14" s="10"/>
      <c r="I14" s="10">
        <v>1</v>
      </c>
    </row>
    <row r="15" spans="1:14" s="16" customFormat="1" ht="15" x14ac:dyDescent="0.25">
      <c r="A15" s="11"/>
      <c r="B15" s="10"/>
      <c r="C15" s="10"/>
      <c r="D15" s="10"/>
      <c r="E15" s="10"/>
      <c r="F15" s="10" t="s">
        <v>49</v>
      </c>
      <c r="G15" s="10" t="s">
        <v>69</v>
      </c>
      <c r="H15" s="10"/>
      <c r="I15" s="10">
        <v>1</v>
      </c>
      <c r="J15" s="10" t="s">
        <v>50</v>
      </c>
    </row>
    <row r="16" spans="1:14" s="16" customFormat="1" ht="13.8" customHeight="1" x14ac:dyDescent="0.25">
      <c r="A16" s="11"/>
      <c r="B16" s="10"/>
      <c r="C16" s="10"/>
      <c r="D16" s="10"/>
      <c r="E16" s="10"/>
      <c r="F16" s="14" t="s">
        <v>119</v>
      </c>
      <c r="G16" s="10" t="s">
        <v>120</v>
      </c>
      <c r="H16" s="10"/>
      <c r="I16" s="10">
        <v>2</v>
      </c>
    </row>
    <row r="17" spans="1:12" s="16" customFormat="1" x14ac:dyDescent="0.25">
      <c r="A17" s="11"/>
      <c r="B17" s="10"/>
      <c r="C17" s="10"/>
      <c r="D17" s="10"/>
      <c r="E17" s="10"/>
      <c r="F17" s="10" t="s">
        <v>121</v>
      </c>
      <c r="G17" s="10" t="s">
        <v>29</v>
      </c>
      <c r="H17" s="10"/>
      <c r="I17" s="10">
        <v>2</v>
      </c>
    </row>
    <row r="18" spans="1:12" s="16" customFormat="1" x14ac:dyDescent="0.25">
      <c r="A18" s="11"/>
      <c r="B18" s="10"/>
      <c r="C18" s="10"/>
      <c r="D18" s="10"/>
      <c r="E18" s="10" t="s">
        <v>51</v>
      </c>
      <c r="F18" s="10" t="s">
        <v>52</v>
      </c>
      <c r="G18" s="10" t="s">
        <v>82</v>
      </c>
      <c r="H18" s="10"/>
      <c r="I18" s="10">
        <v>2</v>
      </c>
    </row>
    <row r="19" spans="1:12" x14ac:dyDescent="0.25">
      <c r="A19" s="28" t="s">
        <v>107</v>
      </c>
    </row>
    <row r="20" spans="1:12" x14ac:dyDescent="0.25">
      <c r="B20" s="34" t="s">
        <v>103</v>
      </c>
      <c r="C20" s="34" t="s">
        <v>103</v>
      </c>
      <c r="D20" s="34">
        <v>4409</v>
      </c>
      <c r="E20" s="34">
        <v>4409</v>
      </c>
      <c r="F20" s="32" t="s">
        <v>111</v>
      </c>
      <c r="G20" s="35" t="s">
        <v>27</v>
      </c>
      <c r="H20" s="32" t="s">
        <v>104</v>
      </c>
      <c r="I20" s="32">
        <v>1</v>
      </c>
      <c r="J20" s="27" t="s">
        <v>105</v>
      </c>
      <c r="K20" s="33">
        <v>0</v>
      </c>
      <c r="L20" s="33">
        <v>0</v>
      </c>
    </row>
    <row r="21" spans="1:12" x14ac:dyDescent="0.25">
      <c r="B21" s="34"/>
      <c r="C21" s="34"/>
      <c r="D21" s="34"/>
      <c r="E21" s="34"/>
      <c r="F21" s="32"/>
      <c r="G21" s="35"/>
      <c r="H21" s="32"/>
      <c r="I21" s="32"/>
      <c r="J21" s="27" t="s">
        <v>106</v>
      </c>
      <c r="K21" s="33"/>
      <c r="L21" s="33"/>
    </row>
  </sheetData>
  <mergeCells count="10">
    <mergeCell ref="H20:H21"/>
    <mergeCell ref="I20:I21"/>
    <mergeCell ref="K20:K21"/>
    <mergeCell ref="L20:L21"/>
    <mergeCell ref="B20:B21"/>
    <mergeCell ref="C20:C21"/>
    <mergeCell ref="D20:D21"/>
    <mergeCell ref="E20:E21"/>
    <mergeCell ref="F20:F21"/>
    <mergeCell ref="G20:G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Alarm setting</vt:lpstr>
      <vt:lpstr>Alarm Logic check</vt:lpstr>
      <vt:lpstr>Alarm Setting Modbus Address</vt:lpstr>
      <vt:lpstr>Alarm Reading Modbus 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Lihong Wang</dc:creator>
  <cp:lastModifiedBy>Lihong Wang</cp:lastModifiedBy>
  <dcterms:created xsi:type="dcterms:W3CDTF">2015-06-05T18:17:20Z</dcterms:created>
  <dcterms:modified xsi:type="dcterms:W3CDTF">2026-01-22T07:45:49Z</dcterms:modified>
</cp:coreProperties>
</file>