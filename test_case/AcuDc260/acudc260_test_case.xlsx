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test_case_dc260" sheetId="19" r:id="rId1"/>
    <sheet name="test_case_dc260-all" sheetId="22" r:id="rId2"/>
    <sheet name="test_case_dc260-bak" sheetId="18" r:id="rId3"/>
    <sheet name="能量脉冲" sheetId="20" r:id="rId4"/>
    <sheet name="能量脉冲结果" sheetId="21" r:id="rId5"/>
    <sheet name="test_case_mV-1e2w1p" sheetId="14" state="hidden" r:id="rId6"/>
    <sheet name="test_case_mA-1e2w1p" sheetId="16" state="hidden" r:id="rId7"/>
    <sheet name="test_data" sheetId="17" state="hidden" r:id="rId8"/>
  </sheets>
  <definedNames>
    <definedName name="_xlnm._FilterDatabase" localSheetId="2" hidden="1">'test_case_dc260-bak'!$A$1:$J$11</definedName>
    <definedName name="_xlnm._FilterDatabase" localSheetId="3" hidden="1">能量脉冲!$A$2:$P$52</definedName>
    <definedName name="_xlnm._FilterDatabase" localSheetId="4" hidden="1">能量脉冲结果!$A$2:$N$54</definedName>
  </definedNames>
  <calcPr calcId="144525"/>
</workbook>
</file>

<file path=xl/sharedStrings.xml><?xml version="1.0" encoding="utf-8"?>
<sst xmlns="http://schemas.openxmlformats.org/spreadsheetml/2006/main" count="410" uniqueCount="115">
  <si>
    <t>test_case</t>
  </si>
  <si>
    <t>Voltage</t>
  </si>
  <si>
    <t>Current_1</t>
  </si>
  <si>
    <t>Current_2</t>
  </si>
  <si>
    <t>等待时间(h)</t>
  </si>
  <si>
    <t>voltage_accuracy</t>
  </si>
  <si>
    <t>current_accuracy</t>
  </si>
  <si>
    <t>power_accuracy</t>
  </si>
  <si>
    <t>采样次数</t>
  </si>
  <si>
    <t>采样间隔</t>
  </si>
  <si>
    <t>acudc260_case1</t>
  </si>
  <si>
    <t>acudc260_case2</t>
  </si>
  <si>
    <t>acudc260_case3</t>
  </si>
  <si>
    <t>acudc260_case4</t>
  </si>
  <si>
    <t>acudc260_case5</t>
  </si>
  <si>
    <t>acudc260_case11</t>
  </si>
  <si>
    <t>acudc260_case12</t>
  </si>
  <si>
    <t>acudc260_case13</t>
  </si>
  <si>
    <t>acudc260_case14</t>
  </si>
  <si>
    <t>acudc260_case21</t>
  </si>
  <si>
    <t>acudc260_case22</t>
  </si>
  <si>
    <t>acudc260_case23</t>
  </si>
  <si>
    <t>acudc260_case25</t>
  </si>
  <si>
    <t>acudc260_case26</t>
  </si>
  <si>
    <t>acudc260_case31</t>
  </si>
  <si>
    <t>acudc260_case32</t>
  </si>
  <si>
    <t>acudc260_case33</t>
  </si>
  <si>
    <t>acudc260_case34</t>
  </si>
  <si>
    <t>acudc260_case35</t>
  </si>
  <si>
    <t>acudc260_case36</t>
  </si>
  <si>
    <t>acudc260_case41</t>
  </si>
  <si>
    <t>acudc260_case42</t>
  </si>
  <si>
    <t>acudc260_case43</t>
  </si>
  <si>
    <t>acudc260_case44</t>
  </si>
  <si>
    <t>acudc260_case45</t>
  </si>
  <si>
    <t>acudc260_case46</t>
  </si>
  <si>
    <t>acudc260_case6</t>
  </si>
  <si>
    <t>acudc260_case7</t>
  </si>
  <si>
    <t>acudc260_case8</t>
  </si>
  <si>
    <t>acudc260_case9</t>
  </si>
  <si>
    <t>acudc260_case10</t>
  </si>
  <si>
    <t>acudc260_case15</t>
  </si>
  <si>
    <t>acudc260_case16</t>
  </si>
  <si>
    <t>acudc260_case17</t>
  </si>
  <si>
    <t>acudc260_case18</t>
  </si>
  <si>
    <t>acudc260_case19</t>
  </si>
  <si>
    <t>acudc260_case20</t>
  </si>
  <si>
    <t>acudc260_case24</t>
  </si>
  <si>
    <t>acudc260_case27</t>
  </si>
  <si>
    <t>acudc260_case28</t>
  </si>
  <si>
    <t>acudc260_case29</t>
  </si>
  <si>
    <t>acudc260_case30</t>
  </si>
  <si>
    <t>acudc260_case37</t>
  </si>
  <si>
    <t>acudc260_case38</t>
  </si>
  <si>
    <t>acudc260_case39</t>
  </si>
  <si>
    <t>acudc260_case40</t>
  </si>
  <si>
    <t>acudc260_case47</t>
  </si>
  <si>
    <t>acudc260_case48</t>
  </si>
  <si>
    <t>acudc260_case49</t>
  </si>
  <si>
    <t>acudc260_case50</t>
  </si>
  <si>
    <t>功率(kW)*间隔时间(ms)*脉冲常数/3600/1000=1kWh</t>
  </si>
  <si>
    <t>系统有功功率(kW)</t>
  </si>
  <si>
    <t>脉冲常数</t>
  </si>
  <si>
    <t>间隔(ms)</t>
  </si>
  <si>
    <t>相对误差</t>
  </si>
  <si>
    <t>mim(ms)</t>
  </si>
  <si>
    <t>max(ms)</t>
  </si>
  <si>
    <t>avg(ms)</t>
  </si>
  <si>
    <t>mim误差(%)</t>
  </si>
  <si>
    <t>max误差(%)</t>
  </si>
  <si>
    <t>avg误差(%)</t>
  </si>
  <si>
    <t>u</t>
  </si>
  <si>
    <t>i</t>
  </si>
  <si>
    <t>acudc260_case51</t>
  </si>
  <si>
    <t>acudc260_case52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</si>
  <si>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</si>
  <si>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</si>
  <si>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</si>
  <si>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</si>
  <si>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</si>
  <si>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</si>
  <si>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</si>
  <si>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</si>
  <si>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</si>
  <si>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</si>
  <si>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</si>
  <si>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</si>
  <si>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PF</t>
  </si>
  <si>
    <t>接线方式</t>
  </si>
  <si>
    <t>频率（Hz）</t>
  </si>
  <si>
    <t>phase_angle_accuracy</t>
  </si>
  <si>
    <t>active_power_accuracy</t>
  </si>
  <si>
    <t>reactive_power_accuracy</t>
  </si>
  <si>
    <t>apparent_power_accuracy</t>
  </si>
  <si>
    <t>备注</t>
  </si>
  <si>
    <t>Acuvim2v3_case98</t>
  </si>
  <si>
    <t>1E2w1p</t>
  </si>
  <si>
    <t>相比TP20, 偏差不超过 0.2%</t>
  </si>
  <si>
    <t>Acuvim2v3_case99</t>
  </si>
  <si>
    <t>相比TP21, 偏差不超过 0.4%</t>
  </si>
  <si>
    <t>Acuvim2v3_case100</t>
  </si>
  <si>
    <t>相比TP22, 偏差不超过 0.4%</t>
  </si>
  <si>
    <t>Acuvim2v3_case101</t>
  </si>
  <si>
    <t>Acuvim2v3_case102</t>
  </si>
  <si>
    <t>Acuvim2v3_case103</t>
  </si>
  <si>
    <t>Acuvim2v3_case104</t>
  </si>
  <si>
    <t>Acuvim2v3_case105</t>
  </si>
  <si>
    <t>Acuvim2v3_case1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</si>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</sst>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0_ "/>
    <numFmt numFmtId="178" formatCode="0_ "/>
    <numFmt numFmtId="179" formatCode="0.000_ "/>
  </numFmts>
  <fonts count="24">
    <font>
      <sz val="11"/>
      <color theme="1"/>
      <name val="宋体"/>
      <charset val="134"/>
      <scheme val="minor"/>
    </font>
    <font>
      <sz val="10"/>
      <name val="Arial"/>
      <charset val="134"/>
    </font>
    <font>
      <sz val="9.8"/>
      <color rgb="FF000000"/>
      <name val="Courier New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4" borderId="2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vertical="center" wrapText="1"/>
    </xf>
    <xf numFmtId="178" fontId="0" fillId="2" borderId="1" xfId="0" applyNumberFormat="1" applyFill="1" applyBorder="1" applyAlignment="1">
      <alignment vertical="center" wrapText="1"/>
    </xf>
    <xf numFmtId="179" fontId="0" fillId="2" borderId="1" xfId="0" applyNumberFormat="1" applyFill="1" applyBorder="1" applyAlignment="1">
      <alignment vertical="center" wrapText="1"/>
    </xf>
    <xf numFmtId="176" fontId="0" fillId="2" borderId="1" xfId="0" applyNumberForma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4" fillId="3" borderId="1" xfId="0" applyFont="1" applyFill="1" applyBorder="1">
      <alignment vertical="center"/>
    </xf>
    <xf numFmtId="178" fontId="0" fillId="3" borderId="1" xfId="0" applyNumberForma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178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4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M7" sqref="M7"/>
    </sheetView>
  </sheetViews>
  <sheetFormatPr defaultColWidth="8.88888888888889" defaultRowHeight="14.4"/>
  <cols>
    <col min="1" max="1" width="19.333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t="s">
        <v>8</v>
      </c>
      <c r="J1" t="s">
        <v>9</v>
      </c>
    </row>
    <row r="2" spans="1:10">
      <c r="A2" s="1" t="s">
        <v>10</v>
      </c>
      <c r="B2" s="25">
        <v>60</v>
      </c>
      <c r="C2" s="25">
        <v>0.4</v>
      </c>
      <c r="D2" s="25">
        <v>0.4</v>
      </c>
      <c r="E2">
        <v>0</v>
      </c>
      <c r="F2">
        <v>0.001</v>
      </c>
      <c r="G2">
        <v>0.075</v>
      </c>
      <c r="H2">
        <v>0.005</v>
      </c>
      <c r="I2">
        <v>20</v>
      </c>
      <c r="J2">
        <v>0.1</v>
      </c>
    </row>
    <row r="3" spans="1:10">
      <c r="A3" s="1" t="s">
        <v>11</v>
      </c>
      <c r="B3" s="25">
        <v>60</v>
      </c>
      <c r="C3" s="25">
        <v>1.5</v>
      </c>
      <c r="D3" s="25">
        <v>1.5</v>
      </c>
      <c r="E3">
        <v>0</v>
      </c>
      <c r="F3">
        <v>0.001</v>
      </c>
      <c r="G3">
        <v>0.02</v>
      </c>
      <c r="H3">
        <v>0.005</v>
      </c>
      <c r="I3">
        <v>20</v>
      </c>
      <c r="J3">
        <v>0.1</v>
      </c>
    </row>
    <row r="4" spans="1:10">
      <c r="A4" s="1" t="s">
        <v>12</v>
      </c>
      <c r="B4" s="25">
        <v>60</v>
      </c>
      <c r="C4" s="25">
        <v>3</v>
      </c>
      <c r="D4" s="25">
        <v>3</v>
      </c>
      <c r="E4">
        <v>0</v>
      </c>
      <c r="F4">
        <v>0.001</v>
      </c>
      <c r="G4">
        <v>0.01</v>
      </c>
      <c r="H4">
        <v>0.005</v>
      </c>
      <c r="I4">
        <v>20</v>
      </c>
      <c r="J4">
        <v>0.1</v>
      </c>
    </row>
    <row r="5" spans="1:10">
      <c r="A5" s="1" t="s">
        <v>13</v>
      </c>
      <c r="B5" s="25">
        <v>60</v>
      </c>
      <c r="C5" s="25">
        <v>5</v>
      </c>
      <c r="D5" s="25">
        <v>5</v>
      </c>
      <c r="E5">
        <v>0</v>
      </c>
      <c r="F5">
        <v>0.001</v>
      </c>
      <c r="G5">
        <v>0.01</v>
      </c>
      <c r="H5">
        <v>0.005</v>
      </c>
      <c r="I5">
        <v>20</v>
      </c>
      <c r="J5">
        <v>0.1</v>
      </c>
    </row>
    <row r="6" spans="1:10">
      <c r="A6" s="1" t="s">
        <v>14</v>
      </c>
      <c r="B6" s="25">
        <v>60</v>
      </c>
      <c r="C6" s="25">
        <v>8</v>
      </c>
      <c r="D6" s="25">
        <v>8</v>
      </c>
      <c r="E6">
        <v>0</v>
      </c>
      <c r="F6">
        <v>0.001</v>
      </c>
      <c r="G6">
        <v>0.01</v>
      </c>
      <c r="H6">
        <v>0.005</v>
      </c>
      <c r="I6">
        <v>20</v>
      </c>
      <c r="J6">
        <v>0.1</v>
      </c>
    </row>
    <row r="7" spans="1:10">
      <c r="A7" s="1" t="s">
        <v>15</v>
      </c>
      <c r="B7" s="25">
        <v>200</v>
      </c>
      <c r="C7" s="25">
        <v>0.4</v>
      </c>
      <c r="D7" s="25">
        <v>0.4</v>
      </c>
      <c r="E7">
        <v>0</v>
      </c>
      <c r="F7">
        <v>0.001</v>
      </c>
      <c r="G7">
        <v>0.075</v>
      </c>
      <c r="H7">
        <v>0.005</v>
      </c>
      <c r="I7">
        <v>20</v>
      </c>
      <c r="J7">
        <v>0.1</v>
      </c>
    </row>
    <row r="8" spans="1:10">
      <c r="A8" s="1" t="s">
        <v>16</v>
      </c>
      <c r="B8" s="25">
        <v>200</v>
      </c>
      <c r="C8" s="25">
        <v>1.5</v>
      </c>
      <c r="D8" s="25">
        <v>1.5</v>
      </c>
      <c r="E8">
        <v>0</v>
      </c>
      <c r="F8">
        <v>0.001</v>
      </c>
      <c r="G8">
        <v>0.02</v>
      </c>
      <c r="H8">
        <v>0.005</v>
      </c>
      <c r="I8">
        <v>20</v>
      </c>
      <c r="J8">
        <v>0.1</v>
      </c>
    </row>
    <row r="9" spans="1:10">
      <c r="A9" s="1" t="s">
        <v>17</v>
      </c>
      <c r="B9" s="25">
        <v>200</v>
      </c>
      <c r="C9" s="25">
        <v>3</v>
      </c>
      <c r="D9" s="25">
        <v>3</v>
      </c>
      <c r="E9">
        <v>0</v>
      </c>
      <c r="F9">
        <v>0.001</v>
      </c>
      <c r="G9">
        <v>0.01</v>
      </c>
      <c r="H9">
        <v>0.005</v>
      </c>
      <c r="I9">
        <v>20</v>
      </c>
      <c r="J9">
        <v>0.1</v>
      </c>
    </row>
    <row r="10" spans="1:10">
      <c r="A10" s="1" t="s">
        <v>18</v>
      </c>
      <c r="B10" s="25">
        <v>200</v>
      </c>
      <c r="C10" s="25">
        <v>5</v>
      </c>
      <c r="D10" s="25">
        <v>5</v>
      </c>
      <c r="E10">
        <v>0</v>
      </c>
      <c r="F10">
        <v>0.001</v>
      </c>
      <c r="G10">
        <v>0.01</v>
      </c>
      <c r="H10">
        <v>0.005</v>
      </c>
      <c r="I10">
        <v>20</v>
      </c>
      <c r="J10">
        <v>0.1</v>
      </c>
    </row>
    <row r="11" spans="1:10">
      <c r="A11" s="1" t="s">
        <v>19</v>
      </c>
      <c r="B11" s="25">
        <v>500</v>
      </c>
      <c r="C11" s="25">
        <v>0.4</v>
      </c>
      <c r="D11" s="25">
        <v>0.4</v>
      </c>
      <c r="E11">
        <v>0</v>
      </c>
      <c r="F11">
        <v>0.001</v>
      </c>
      <c r="G11">
        <v>0.075</v>
      </c>
      <c r="H11">
        <v>0.005</v>
      </c>
      <c r="I11">
        <v>20</v>
      </c>
      <c r="J11">
        <v>0.1</v>
      </c>
    </row>
    <row r="12" spans="1:10">
      <c r="A12" s="1" t="s">
        <v>20</v>
      </c>
      <c r="B12" s="25">
        <v>500</v>
      </c>
      <c r="C12" s="25">
        <v>1.5</v>
      </c>
      <c r="D12" s="25">
        <v>1.5</v>
      </c>
      <c r="E12">
        <v>0</v>
      </c>
      <c r="F12">
        <v>0.001</v>
      </c>
      <c r="G12">
        <v>0.02</v>
      </c>
      <c r="H12">
        <v>0.005</v>
      </c>
      <c r="I12">
        <v>20</v>
      </c>
      <c r="J12">
        <v>0.1</v>
      </c>
    </row>
    <row r="13" spans="1:10">
      <c r="A13" s="1" t="s">
        <v>21</v>
      </c>
      <c r="B13" s="25">
        <v>500</v>
      </c>
      <c r="C13" s="25">
        <v>3</v>
      </c>
      <c r="D13" s="25">
        <v>3</v>
      </c>
      <c r="E13">
        <v>0</v>
      </c>
      <c r="F13">
        <v>0.001</v>
      </c>
      <c r="G13">
        <v>0.01</v>
      </c>
      <c r="H13">
        <v>0.005</v>
      </c>
      <c r="I13">
        <v>20</v>
      </c>
      <c r="J13">
        <v>0.1</v>
      </c>
    </row>
    <row r="14" spans="1:10">
      <c r="A14" s="1" t="s">
        <v>22</v>
      </c>
      <c r="B14" s="25">
        <v>500</v>
      </c>
      <c r="C14" s="25">
        <v>8</v>
      </c>
      <c r="D14" s="25">
        <v>8</v>
      </c>
      <c r="E14">
        <v>0</v>
      </c>
      <c r="F14">
        <v>0.001</v>
      </c>
      <c r="G14">
        <v>0.01</v>
      </c>
      <c r="H14">
        <v>0.005</v>
      </c>
      <c r="I14">
        <v>20</v>
      </c>
      <c r="J14">
        <v>0.1</v>
      </c>
    </row>
    <row r="15" spans="1:10">
      <c r="A15" s="1" t="s">
        <v>23</v>
      </c>
      <c r="B15" s="25">
        <v>500</v>
      </c>
      <c r="C15" s="25">
        <v>10</v>
      </c>
      <c r="D15" s="25">
        <v>10</v>
      </c>
      <c r="E15">
        <v>0</v>
      </c>
      <c r="F15">
        <v>0.001</v>
      </c>
      <c r="G15">
        <v>0.005</v>
      </c>
      <c r="H15">
        <v>0.005</v>
      </c>
      <c r="I15">
        <v>20</v>
      </c>
      <c r="J15">
        <v>0.1</v>
      </c>
    </row>
    <row r="16" spans="1:10">
      <c r="A16" s="1" t="s">
        <v>24</v>
      </c>
      <c r="B16" s="25">
        <v>800</v>
      </c>
      <c r="C16" s="25">
        <v>0.4</v>
      </c>
      <c r="D16" s="25">
        <v>0.4</v>
      </c>
      <c r="E16">
        <v>0</v>
      </c>
      <c r="F16">
        <v>0.001</v>
      </c>
      <c r="G16">
        <v>0.075</v>
      </c>
      <c r="H16">
        <v>0.005</v>
      </c>
      <c r="I16">
        <v>20</v>
      </c>
      <c r="J16">
        <v>0.1</v>
      </c>
    </row>
    <row r="17" spans="1:10">
      <c r="A17" s="1" t="s">
        <v>25</v>
      </c>
      <c r="B17" s="25">
        <v>800</v>
      </c>
      <c r="C17" s="25">
        <v>1.5</v>
      </c>
      <c r="D17" s="25">
        <v>1.5</v>
      </c>
      <c r="E17">
        <v>0</v>
      </c>
      <c r="F17">
        <v>0.001</v>
      </c>
      <c r="G17">
        <v>0.02</v>
      </c>
      <c r="H17">
        <v>0.005</v>
      </c>
      <c r="I17">
        <v>20</v>
      </c>
      <c r="J17">
        <v>0.1</v>
      </c>
    </row>
    <row r="18" spans="1:10">
      <c r="A18" s="1" t="s">
        <v>26</v>
      </c>
      <c r="B18" s="25">
        <v>800</v>
      </c>
      <c r="C18" s="25">
        <v>3</v>
      </c>
      <c r="D18" s="25">
        <v>3</v>
      </c>
      <c r="E18">
        <v>0</v>
      </c>
      <c r="F18">
        <v>0.001</v>
      </c>
      <c r="G18">
        <v>0.01</v>
      </c>
      <c r="H18">
        <v>0.005</v>
      </c>
      <c r="I18">
        <v>20</v>
      </c>
      <c r="J18">
        <v>0.1</v>
      </c>
    </row>
    <row r="19" spans="1:10">
      <c r="A19" s="1" t="s">
        <v>27</v>
      </c>
      <c r="B19" s="25">
        <v>800</v>
      </c>
      <c r="C19" s="25">
        <v>5</v>
      </c>
      <c r="D19" s="25">
        <v>5</v>
      </c>
      <c r="E19">
        <v>0</v>
      </c>
      <c r="F19">
        <v>0.001</v>
      </c>
      <c r="G19">
        <v>0.01</v>
      </c>
      <c r="H19">
        <v>0.005</v>
      </c>
      <c r="I19">
        <v>20</v>
      </c>
      <c r="J19">
        <v>0.1</v>
      </c>
    </row>
    <row r="20" spans="1:10">
      <c r="A20" s="1" t="s">
        <v>28</v>
      </c>
      <c r="B20" s="25">
        <v>800</v>
      </c>
      <c r="C20" s="25">
        <v>8</v>
      </c>
      <c r="D20" s="25">
        <v>8</v>
      </c>
      <c r="E20">
        <v>0</v>
      </c>
      <c r="F20">
        <v>0.001</v>
      </c>
      <c r="G20">
        <v>0.01</v>
      </c>
      <c r="H20">
        <v>0.005</v>
      </c>
      <c r="I20">
        <v>20</v>
      </c>
      <c r="J20">
        <v>0.1</v>
      </c>
    </row>
    <row r="21" spans="1:10">
      <c r="A21" s="1" t="s">
        <v>29</v>
      </c>
      <c r="B21" s="25">
        <v>800</v>
      </c>
      <c r="C21" s="25">
        <v>10</v>
      </c>
      <c r="D21" s="25">
        <v>10</v>
      </c>
      <c r="E21">
        <v>0</v>
      </c>
      <c r="F21">
        <v>0.001</v>
      </c>
      <c r="G21">
        <v>0.005</v>
      </c>
      <c r="H21">
        <v>0.005</v>
      </c>
      <c r="I21">
        <v>20</v>
      </c>
      <c r="J21">
        <v>0.1</v>
      </c>
    </row>
    <row r="22" spans="1:10">
      <c r="A22" s="1" t="s">
        <v>30</v>
      </c>
      <c r="B22" s="25">
        <v>1000</v>
      </c>
      <c r="C22" s="25">
        <v>0.4</v>
      </c>
      <c r="D22" s="25">
        <v>0.4</v>
      </c>
      <c r="E22">
        <v>0</v>
      </c>
      <c r="F22">
        <v>0.001</v>
      </c>
      <c r="G22">
        <v>0.075</v>
      </c>
      <c r="H22">
        <v>0.005</v>
      </c>
      <c r="I22">
        <v>20</v>
      </c>
      <c r="J22">
        <v>0.1</v>
      </c>
    </row>
    <row r="23" spans="1:10">
      <c r="A23" s="1" t="s">
        <v>31</v>
      </c>
      <c r="B23" s="25">
        <v>1000</v>
      </c>
      <c r="C23" s="25">
        <v>1.5</v>
      </c>
      <c r="D23" s="25">
        <v>1.5</v>
      </c>
      <c r="E23">
        <v>0</v>
      </c>
      <c r="F23">
        <v>0.001</v>
      </c>
      <c r="G23">
        <v>0.02</v>
      </c>
      <c r="H23">
        <v>0.005</v>
      </c>
      <c r="I23">
        <v>20</v>
      </c>
      <c r="J23">
        <v>0.1</v>
      </c>
    </row>
    <row r="24" spans="1:10">
      <c r="A24" s="1" t="s">
        <v>32</v>
      </c>
      <c r="B24" s="25">
        <v>1000</v>
      </c>
      <c r="C24" s="25">
        <v>3</v>
      </c>
      <c r="D24" s="25">
        <v>3</v>
      </c>
      <c r="E24">
        <v>0</v>
      </c>
      <c r="F24">
        <v>0.001</v>
      </c>
      <c r="G24">
        <v>0.01</v>
      </c>
      <c r="H24">
        <v>0.005</v>
      </c>
      <c r="I24">
        <v>20</v>
      </c>
      <c r="J24">
        <v>0.1</v>
      </c>
    </row>
    <row r="25" spans="1:10">
      <c r="A25" s="1" t="s">
        <v>33</v>
      </c>
      <c r="B25" s="25">
        <v>1000</v>
      </c>
      <c r="C25" s="25">
        <v>5</v>
      </c>
      <c r="D25" s="25">
        <v>5</v>
      </c>
      <c r="E25">
        <v>0</v>
      </c>
      <c r="F25">
        <v>0.001</v>
      </c>
      <c r="G25">
        <v>0.01</v>
      </c>
      <c r="H25">
        <v>0.005</v>
      </c>
      <c r="I25">
        <v>20</v>
      </c>
      <c r="J25">
        <v>0.1</v>
      </c>
    </row>
    <row r="26" spans="1:10">
      <c r="A26" s="1" t="s">
        <v>34</v>
      </c>
      <c r="B26" s="25">
        <v>1000</v>
      </c>
      <c r="C26" s="25">
        <v>8</v>
      </c>
      <c r="D26" s="25">
        <v>8</v>
      </c>
      <c r="E26">
        <v>0</v>
      </c>
      <c r="F26">
        <v>0.001</v>
      </c>
      <c r="G26">
        <v>0.01</v>
      </c>
      <c r="H26">
        <v>0.005</v>
      </c>
      <c r="I26">
        <v>20</v>
      </c>
      <c r="J26">
        <v>0.1</v>
      </c>
    </row>
    <row r="27" spans="1:10">
      <c r="A27" s="1" t="s">
        <v>35</v>
      </c>
      <c r="B27" s="25">
        <v>1000</v>
      </c>
      <c r="C27" s="25">
        <v>10</v>
      </c>
      <c r="D27" s="25">
        <v>10</v>
      </c>
      <c r="E27">
        <v>0</v>
      </c>
      <c r="F27">
        <v>0.001</v>
      </c>
      <c r="G27">
        <v>0.005</v>
      </c>
      <c r="H27">
        <v>0.005</v>
      </c>
      <c r="I27">
        <v>20</v>
      </c>
      <c r="J27">
        <v>0.1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opLeftCell="A40" workbookViewId="0">
      <selection activeCell="F63" sqref="F63"/>
    </sheetView>
  </sheetViews>
  <sheetFormatPr defaultColWidth="8.88888888888889" defaultRowHeight="14.4"/>
  <cols>
    <col min="1" max="1" width="19.333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t="s">
        <v>8</v>
      </c>
      <c r="J1" t="s">
        <v>9</v>
      </c>
    </row>
    <row r="2" spans="1:10">
      <c r="A2" t="s">
        <v>10</v>
      </c>
      <c r="B2" s="25">
        <v>60</v>
      </c>
      <c r="C2" s="25">
        <v>0.4</v>
      </c>
      <c r="D2" s="25">
        <v>0.4</v>
      </c>
      <c r="E2">
        <v>0</v>
      </c>
      <c r="F2">
        <v>0.001</v>
      </c>
      <c r="G2">
        <v>0.075</v>
      </c>
      <c r="H2">
        <v>0.005</v>
      </c>
      <c r="I2">
        <v>20</v>
      </c>
      <c r="J2">
        <v>0.1</v>
      </c>
    </row>
    <row r="3" spans="1:10">
      <c r="A3" t="s">
        <v>11</v>
      </c>
      <c r="B3" s="25">
        <v>60</v>
      </c>
      <c r="C3" s="25">
        <v>1.5</v>
      </c>
      <c r="D3" s="25">
        <v>1.5</v>
      </c>
      <c r="E3">
        <v>0</v>
      </c>
      <c r="F3">
        <v>0.001</v>
      </c>
      <c r="G3">
        <v>0.02</v>
      </c>
      <c r="H3">
        <v>0.005</v>
      </c>
      <c r="I3">
        <v>20</v>
      </c>
      <c r="J3">
        <v>0.1</v>
      </c>
    </row>
    <row r="4" spans="1:10">
      <c r="A4" t="s">
        <v>12</v>
      </c>
      <c r="B4" s="25">
        <v>60</v>
      </c>
      <c r="C4" s="25">
        <v>3</v>
      </c>
      <c r="D4" s="25">
        <v>3</v>
      </c>
      <c r="E4">
        <v>0</v>
      </c>
      <c r="F4">
        <v>0.001</v>
      </c>
      <c r="G4">
        <v>0.01</v>
      </c>
      <c r="H4">
        <v>0.005</v>
      </c>
      <c r="I4">
        <v>20</v>
      </c>
      <c r="J4">
        <v>0.1</v>
      </c>
    </row>
    <row r="5" spans="1:10">
      <c r="A5" t="s">
        <v>13</v>
      </c>
      <c r="B5" s="25">
        <v>60</v>
      </c>
      <c r="C5" s="25">
        <v>5</v>
      </c>
      <c r="D5" s="25">
        <v>5</v>
      </c>
      <c r="E5">
        <v>0</v>
      </c>
      <c r="F5">
        <v>0.001</v>
      </c>
      <c r="G5">
        <v>0.01</v>
      </c>
      <c r="H5">
        <v>0.005</v>
      </c>
      <c r="I5">
        <v>20</v>
      </c>
      <c r="J5">
        <v>0.1</v>
      </c>
    </row>
    <row r="6" spans="1:10">
      <c r="A6" t="s">
        <v>14</v>
      </c>
      <c r="B6" s="25">
        <v>60</v>
      </c>
      <c r="C6" s="25">
        <v>8</v>
      </c>
      <c r="D6" s="25">
        <v>8</v>
      </c>
      <c r="E6">
        <v>0</v>
      </c>
      <c r="F6">
        <v>0.001</v>
      </c>
      <c r="G6">
        <v>0.01</v>
      </c>
      <c r="H6">
        <v>0.005</v>
      </c>
      <c r="I6">
        <v>20</v>
      </c>
      <c r="J6">
        <v>0.1</v>
      </c>
    </row>
    <row r="7" spans="1:10">
      <c r="A7" t="s">
        <v>36</v>
      </c>
      <c r="B7" s="25">
        <v>60</v>
      </c>
      <c r="C7" s="25">
        <v>10</v>
      </c>
      <c r="D7" s="25">
        <v>10</v>
      </c>
      <c r="E7">
        <v>0</v>
      </c>
      <c r="F7">
        <v>0.001</v>
      </c>
      <c r="G7">
        <v>0.005</v>
      </c>
      <c r="H7">
        <v>0.005</v>
      </c>
      <c r="I7">
        <v>20</v>
      </c>
      <c r="J7">
        <v>0.1</v>
      </c>
    </row>
    <row r="8" spans="1:10">
      <c r="A8" t="s">
        <v>37</v>
      </c>
      <c r="B8" s="25">
        <v>60</v>
      </c>
      <c r="C8" s="25">
        <v>50</v>
      </c>
      <c r="D8" s="25">
        <v>50</v>
      </c>
      <c r="E8">
        <v>0</v>
      </c>
      <c r="F8">
        <v>0.001</v>
      </c>
      <c r="G8">
        <v>0.005</v>
      </c>
      <c r="H8">
        <v>0.005</v>
      </c>
      <c r="I8">
        <v>20</v>
      </c>
      <c r="J8">
        <v>0.1</v>
      </c>
    </row>
    <row r="9" spans="1:10">
      <c r="A9" t="s">
        <v>38</v>
      </c>
      <c r="B9" s="25">
        <v>60</v>
      </c>
      <c r="C9" s="25">
        <v>100</v>
      </c>
      <c r="D9" s="25">
        <v>100</v>
      </c>
      <c r="E9">
        <v>0</v>
      </c>
      <c r="F9">
        <v>0.001</v>
      </c>
      <c r="G9">
        <v>0.005</v>
      </c>
      <c r="H9">
        <v>0.005</v>
      </c>
      <c r="I9">
        <v>20</v>
      </c>
      <c r="J9">
        <v>0.1</v>
      </c>
    </row>
    <row r="10" spans="1:10">
      <c r="A10" t="s">
        <v>39</v>
      </c>
      <c r="B10" s="25">
        <v>60</v>
      </c>
      <c r="C10" s="25">
        <v>400</v>
      </c>
      <c r="D10" s="25">
        <v>400</v>
      </c>
      <c r="E10">
        <v>0</v>
      </c>
      <c r="F10">
        <v>0.001</v>
      </c>
      <c r="G10">
        <v>0.005</v>
      </c>
      <c r="H10">
        <v>0.005</v>
      </c>
      <c r="I10">
        <v>20</v>
      </c>
      <c r="J10">
        <v>0.1</v>
      </c>
    </row>
    <row r="11" spans="1:10">
      <c r="A11" t="s">
        <v>40</v>
      </c>
      <c r="B11" s="25">
        <v>60</v>
      </c>
      <c r="C11" s="25">
        <v>600</v>
      </c>
      <c r="D11" s="25">
        <v>600</v>
      </c>
      <c r="E11">
        <v>0</v>
      </c>
      <c r="F11">
        <v>0.001</v>
      </c>
      <c r="G11">
        <v>0.005</v>
      </c>
      <c r="H11">
        <v>0.005</v>
      </c>
      <c r="I11">
        <v>20</v>
      </c>
      <c r="J11">
        <v>0.1</v>
      </c>
    </row>
    <row r="12" spans="1:10">
      <c r="A12" t="s">
        <v>15</v>
      </c>
      <c r="B12" s="25">
        <v>200</v>
      </c>
      <c r="C12" s="25">
        <v>0.4</v>
      </c>
      <c r="D12" s="25">
        <v>0.4</v>
      </c>
      <c r="E12">
        <v>0</v>
      </c>
      <c r="F12">
        <v>0.001</v>
      </c>
      <c r="G12">
        <v>0.075</v>
      </c>
      <c r="H12">
        <v>0.005</v>
      </c>
      <c r="I12">
        <v>20</v>
      </c>
      <c r="J12">
        <v>0.1</v>
      </c>
    </row>
    <row r="13" spans="1:10">
      <c r="A13" t="s">
        <v>16</v>
      </c>
      <c r="B13" s="25">
        <v>200</v>
      </c>
      <c r="C13" s="25">
        <v>1.5</v>
      </c>
      <c r="D13" s="25">
        <v>1.5</v>
      </c>
      <c r="E13">
        <v>0</v>
      </c>
      <c r="F13">
        <v>0.001</v>
      </c>
      <c r="G13">
        <v>0.02</v>
      </c>
      <c r="H13">
        <v>0.005</v>
      </c>
      <c r="I13">
        <v>20</v>
      </c>
      <c r="J13">
        <v>0.1</v>
      </c>
    </row>
    <row r="14" spans="1:10">
      <c r="A14" t="s">
        <v>17</v>
      </c>
      <c r="B14" s="25">
        <v>200</v>
      </c>
      <c r="C14" s="25">
        <v>3</v>
      </c>
      <c r="D14" s="25">
        <v>3</v>
      </c>
      <c r="E14">
        <v>0</v>
      </c>
      <c r="F14">
        <v>0.001</v>
      </c>
      <c r="G14">
        <v>0.01</v>
      </c>
      <c r="H14">
        <v>0.005</v>
      </c>
      <c r="I14">
        <v>20</v>
      </c>
      <c r="J14">
        <v>0.1</v>
      </c>
    </row>
    <row r="15" spans="1:10">
      <c r="A15" t="s">
        <v>18</v>
      </c>
      <c r="B15" s="25">
        <v>200</v>
      </c>
      <c r="C15" s="25">
        <v>5</v>
      </c>
      <c r="D15" s="25">
        <v>5</v>
      </c>
      <c r="E15">
        <v>0</v>
      </c>
      <c r="F15">
        <v>0.001</v>
      </c>
      <c r="G15">
        <v>0.01</v>
      </c>
      <c r="H15">
        <v>0.005</v>
      </c>
      <c r="I15">
        <v>20</v>
      </c>
      <c r="J15">
        <v>0.1</v>
      </c>
    </row>
    <row r="16" spans="1:10">
      <c r="A16" t="s">
        <v>41</v>
      </c>
      <c r="B16" s="25">
        <v>200</v>
      </c>
      <c r="C16" s="25">
        <v>8</v>
      </c>
      <c r="D16" s="25">
        <v>8</v>
      </c>
      <c r="E16">
        <v>0</v>
      </c>
      <c r="F16">
        <v>0.001</v>
      </c>
      <c r="G16">
        <v>0.01</v>
      </c>
      <c r="H16">
        <v>0.005</v>
      </c>
      <c r="I16">
        <v>20</v>
      </c>
      <c r="J16">
        <v>0.1</v>
      </c>
    </row>
    <row r="17" spans="1:10">
      <c r="A17" t="s">
        <v>42</v>
      </c>
      <c r="B17" s="25">
        <v>200</v>
      </c>
      <c r="C17" s="25">
        <v>10</v>
      </c>
      <c r="D17" s="25">
        <v>10</v>
      </c>
      <c r="E17">
        <v>0</v>
      </c>
      <c r="F17">
        <v>0.001</v>
      </c>
      <c r="G17">
        <v>0.005</v>
      </c>
      <c r="H17">
        <v>0.005</v>
      </c>
      <c r="I17">
        <v>20</v>
      </c>
      <c r="J17">
        <v>0.1</v>
      </c>
    </row>
    <row r="18" spans="1:10">
      <c r="A18" t="s">
        <v>43</v>
      </c>
      <c r="B18" s="25">
        <v>200</v>
      </c>
      <c r="C18" s="25">
        <v>50</v>
      </c>
      <c r="D18" s="25">
        <v>50</v>
      </c>
      <c r="E18">
        <v>0</v>
      </c>
      <c r="F18">
        <v>0.001</v>
      </c>
      <c r="G18">
        <v>0.005</v>
      </c>
      <c r="H18">
        <v>0.005</v>
      </c>
      <c r="I18">
        <v>20</v>
      </c>
      <c r="J18">
        <v>0.1</v>
      </c>
    </row>
    <row r="19" spans="1:10">
      <c r="A19" t="s">
        <v>44</v>
      </c>
      <c r="B19" s="25">
        <v>200</v>
      </c>
      <c r="C19" s="25">
        <v>100</v>
      </c>
      <c r="D19" s="25">
        <v>100</v>
      </c>
      <c r="E19">
        <v>0</v>
      </c>
      <c r="F19">
        <v>0.001</v>
      </c>
      <c r="G19">
        <v>0.005</v>
      </c>
      <c r="H19">
        <v>0.005</v>
      </c>
      <c r="I19">
        <v>20</v>
      </c>
      <c r="J19">
        <v>0.1</v>
      </c>
    </row>
    <row r="20" spans="1:10">
      <c r="A20" t="s">
        <v>45</v>
      </c>
      <c r="B20" s="25">
        <v>200</v>
      </c>
      <c r="C20" s="25">
        <v>400</v>
      </c>
      <c r="D20" s="25">
        <v>400</v>
      </c>
      <c r="E20">
        <v>0</v>
      </c>
      <c r="F20">
        <v>0.001</v>
      </c>
      <c r="G20">
        <v>0.005</v>
      </c>
      <c r="H20">
        <v>0.005</v>
      </c>
      <c r="I20">
        <v>20</v>
      </c>
      <c r="J20">
        <v>0.1</v>
      </c>
    </row>
    <row r="21" spans="1:10">
      <c r="A21" t="s">
        <v>46</v>
      </c>
      <c r="B21" s="25">
        <v>200</v>
      </c>
      <c r="C21" s="25">
        <v>600</v>
      </c>
      <c r="D21" s="25">
        <v>600</v>
      </c>
      <c r="E21">
        <v>0</v>
      </c>
      <c r="F21">
        <v>0.001</v>
      </c>
      <c r="G21">
        <v>0.005</v>
      </c>
      <c r="H21">
        <v>0.005</v>
      </c>
      <c r="I21">
        <v>20</v>
      </c>
      <c r="J21">
        <v>0.1</v>
      </c>
    </row>
    <row r="22" spans="1:10">
      <c r="A22" t="s">
        <v>19</v>
      </c>
      <c r="B22" s="25">
        <v>500</v>
      </c>
      <c r="C22" s="25">
        <v>0.4</v>
      </c>
      <c r="D22" s="25">
        <v>0.4</v>
      </c>
      <c r="E22">
        <v>0</v>
      </c>
      <c r="F22">
        <v>0.001</v>
      </c>
      <c r="G22">
        <v>0.075</v>
      </c>
      <c r="H22">
        <v>0.005</v>
      </c>
      <c r="I22">
        <v>20</v>
      </c>
      <c r="J22">
        <v>0.1</v>
      </c>
    </row>
    <row r="23" spans="1:10">
      <c r="A23" t="s">
        <v>20</v>
      </c>
      <c r="B23" s="25">
        <v>500</v>
      </c>
      <c r="C23" s="25">
        <v>1.5</v>
      </c>
      <c r="D23" s="25">
        <v>1.5</v>
      </c>
      <c r="E23">
        <v>0</v>
      </c>
      <c r="F23">
        <v>0.001</v>
      </c>
      <c r="G23">
        <v>0.02</v>
      </c>
      <c r="H23">
        <v>0.005</v>
      </c>
      <c r="I23">
        <v>20</v>
      </c>
      <c r="J23">
        <v>0.1</v>
      </c>
    </row>
    <row r="24" spans="1:10">
      <c r="A24" t="s">
        <v>21</v>
      </c>
      <c r="B24" s="25">
        <v>500</v>
      </c>
      <c r="C24" s="25">
        <v>3</v>
      </c>
      <c r="D24" s="25">
        <v>3</v>
      </c>
      <c r="E24">
        <v>0</v>
      </c>
      <c r="F24">
        <v>0.001</v>
      </c>
      <c r="G24">
        <v>0.01</v>
      </c>
      <c r="H24">
        <v>0.005</v>
      </c>
      <c r="I24">
        <v>20</v>
      </c>
      <c r="J24">
        <v>0.1</v>
      </c>
    </row>
    <row r="25" spans="1:10">
      <c r="A25" t="s">
        <v>47</v>
      </c>
      <c r="B25" s="25">
        <v>500</v>
      </c>
      <c r="C25" s="25">
        <v>5</v>
      </c>
      <c r="D25" s="25">
        <v>5</v>
      </c>
      <c r="E25">
        <v>0</v>
      </c>
      <c r="F25">
        <v>0.001</v>
      </c>
      <c r="G25">
        <v>0.01</v>
      </c>
      <c r="H25">
        <v>0.005</v>
      </c>
      <c r="I25">
        <v>20</v>
      </c>
      <c r="J25">
        <v>0.1</v>
      </c>
    </row>
    <row r="26" spans="1:10">
      <c r="A26" t="s">
        <v>22</v>
      </c>
      <c r="B26" s="25">
        <v>500</v>
      </c>
      <c r="C26" s="25">
        <v>8</v>
      </c>
      <c r="D26" s="25">
        <v>8</v>
      </c>
      <c r="E26">
        <v>0</v>
      </c>
      <c r="F26">
        <v>0.001</v>
      </c>
      <c r="G26">
        <v>0.01</v>
      </c>
      <c r="H26">
        <v>0.005</v>
      </c>
      <c r="I26">
        <v>20</v>
      </c>
      <c r="J26">
        <v>0.1</v>
      </c>
    </row>
    <row r="27" spans="1:10">
      <c r="A27" t="s">
        <v>23</v>
      </c>
      <c r="B27" s="25">
        <v>500</v>
      </c>
      <c r="C27" s="25">
        <v>10</v>
      </c>
      <c r="D27" s="25">
        <v>10</v>
      </c>
      <c r="E27">
        <v>0</v>
      </c>
      <c r="F27">
        <v>0.001</v>
      </c>
      <c r="G27">
        <v>0.005</v>
      </c>
      <c r="H27">
        <v>0.005</v>
      </c>
      <c r="I27">
        <v>20</v>
      </c>
      <c r="J27">
        <v>0.1</v>
      </c>
    </row>
    <row r="28" spans="1:10">
      <c r="A28" t="s">
        <v>48</v>
      </c>
      <c r="B28" s="25">
        <v>500</v>
      </c>
      <c r="C28" s="25">
        <v>50</v>
      </c>
      <c r="D28" s="25">
        <v>50</v>
      </c>
      <c r="E28">
        <v>0</v>
      </c>
      <c r="F28">
        <v>0.001</v>
      </c>
      <c r="G28">
        <v>0.005</v>
      </c>
      <c r="H28">
        <v>0.005</v>
      </c>
      <c r="I28">
        <v>20</v>
      </c>
      <c r="J28">
        <v>0.1</v>
      </c>
    </row>
    <row r="29" spans="1:10">
      <c r="A29" t="s">
        <v>49</v>
      </c>
      <c r="B29" s="25">
        <v>500</v>
      </c>
      <c r="C29" s="25">
        <v>100</v>
      </c>
      <c r="D29" s="25">
        <v>100</v>
      </c>
      <c r="E29">
        <v>0</v>
      </c>
      <c r="F29">
        <v>0.001</v>
      </c>
      <c r="G29">
        <v>0.005</v>
      </c>
      <c r="H29">
        <v>0.005</v>
      </c>
      <c r="I29">
        <v>20</v>
      </c>
      <c r="J29">
        <v>0.1</v>
      </c>
    </row>
    <row r="30" spans="1:10">
      <c r="A30" t="s">
        <v>50</v>
      </c>
      <c r="B30" s="25">
        <v>500</v>
      </c>
      <c r="C30" s="25">
        <v>400</v>
      </c>
      <c r="D30" s="25">
        <v>400</v>
      </c>
      <c r="E30">
        <v>0</v>
      </c>
      <c r="F30">
        <v>0.001</v>
      </c>
      <c r="G30">
        <v>0.005</v>
      </c>
      <c r="H30">
        <v>0.005</v>
      </c>
      <c r="I30">
        <v>20</v>
      </c>
      <c r="J30">
        <v>0.1</v>
      </c>
    </row>
    <row r="31" spans="1:10">
      <c r="A31" t="s">
        <v>51</v>
      </c>
      <c r="B31" s="25">
        <v>500</v>
      </c>
      <c r="C31" s="25">
        <v>600</v>
      </c>
      <c r="D31" s="25">
        <v>600</v>
      </c>
      <c r="E31">
        <v>0</v>
      </c>
      <c r="F31">
        <v>0.001</v>
      </c>
      <c r="G31">
        <v>0.005</v>
      </c>
      <c r="H31">
        <v>0.005</v>
      </c>
      <c r="I31">
        <v>20</v>
      </c>
      <c r="J31">
        <v>0.1</v>
      </c>
    </row>
    <row r="32" spans="1:10">
      <c r="A32" t="s">
        <v>24</v>
      </c>
      <c r="B32" s="25">
        <v>800</v>
      </c>
      <c r="C32" s="25">
        <v>0.4</v>
      </c>
      <c r="D32" s="25">
        <v>0.4</v>
      </c>
      <c r="E32">
        <v>0</v>
      </c>
      <c r="F32">
        <v>0.001</v>
      </c>
      <c r="G32">
        <v>0.075</v>
      </c>
      <c r="H32">
        <v>0.005</v>
      </c>
      <c r="I32">
        <v>20</v>
      </c>
      <c r="J32">
        <v>0.1</v>
      </c>
    </row>
    <row r="33" spans="1:10">
      <c r="A33" t="s">
        <v>25</v>
      </c>
      <c r="B33" s="25">
        <v>800</v>
      </c>
      <c r="C33" s="25">
        <v>1.5</v>
      </c>
      <c r="D33" s="25">
        <v>1.5</v>
      </c>
      <c r="E33">
        <v>0</v>
      </c>
      <c r="F33">
        <v>0.001</v>
      </c>
      <c r="G33">
        <v>0.02</v>
      </c>
      <c r="H33">
        <v>0.005</v>
      </c>
      <c r="I33">
        <v>20</v>
      </c>
      <c r="J33">
        <v>0.1</v>
      </c>
    </row>
    <row r="34" spans="1:10">
      <c r="A34" t="s">
        <v>26</v>
      </c>
      <c r="B34" s="25">
        <v>800</v>
      </c>
      <c r="C34" s="25">
        <v>3</v>
      </c>
      <c r="D34" s="25">
        <v>3</v>
      </c>
      <c r="E34">
        <v>0</v>
      </c>
      <c r="F34">
        <v>0.001</v>
      </c>
      <c r="G34">
        <v>0.01</v>
      </c>
      <c r="H34">
        <v>0.005</v>
      </c>
      <c r="I34">
        <v>20</v>
      </c>
      <c r="J34">
        <v>0.1</v>
      </c>
    </row>
    <row r="35" spans="1:10">
      <c r="A35" t="s">
        <v>27</v>
      </c>
      <c r="B35" s="25">
        <v>800</v>
      </c>
      <c r="C35" s="25">
        <v>5</v>
      </c>
      <c r="D35" s="25">
        <v>5</v>
      </c>
      <c r="E35">
        <v>0</v>
      </c>
      <c r="F35">
        <v>0.001</v>
      </c>
      <c r="G35">
        <v>0.01</v>
      </c>
      <c r="H35">
        <v>0.005</v>
      </c>
      <c r="I35">
        <v>20</v>
      </c>
      <c r="J35">
        <v>0.1</v>
      </c>
    </row>
    <row r="36" spans="1:10">
      <c r="A36" t="s">
        <v>28</v>
      </c>
      <c r="B36" s="25">
        <v>800</v>
      </c>
      <c r="C36" s="25">
        <v>8</v>
      </c>
      <c r="D36" s="25">
        <v>8</v>
      </c>
      <c r="E36">
        <v>0</v>
      </c>
      <c r="F36">
        <v>0.001</v>
      </c>
      <c r="G36">
        <v>0.01</v>
      </c>
      <c r="H36">
        <v>0.005</v>
      </c>
      <c r="I36">
        <v>20</v>
      </c>
      <c r="J36">
        <v>0.1</v>
      </c>
    </row>
    <row r="37" spans="1:10">
      <c r="A37" t="s">
        <v>29</v>
      </c>
      <c r="B37" s="25">
        <v>800</v>
      </c>
      <c r="C37" s="25">
        <v>10</v>
      </c>
      <c r="D37" s="25">
        <v>10</v>
      </c>
      <c r="E37">
        <v>0</v>
      </c>
      <c r="F37">
        <v>0.001</v>
      </c>
      <c r="G37">
        <v>0.005</v>
      </c>
      <c r="H37">
        <v>0.005</v>
      </c>
      <c r="I37">
        <v>20</v>
      </c>
      <c r="J37">
        <v>0.1</v>
      </c>
    </row>
    <row r="38" spans="1:10">
      <c r="A38" t="s">
        <v>52</v>
      </c>
      <c r="B38" s="25">
        <v>800</v>
      </c>
      <c r="C38" s="25">
        <v>50</v>
      </c>
      <c r="D38" s="25">
        <v>50</v>
      </c>
      <c r="E38">
        <v>0</v>
      </c>
      <c r="F38">
        <v>0.001</v>
      </c>
      <c r="G38">
        <v>0.005</v>
      </c>
      <c r="H38">
        <v>0.005</v>
      </c>
      <c r="I38">
        <v>20</v>
      </c>
      <c r="J38">
        <v>0.1</v>
      </c>
    </row>
    <row r="39" spans="1:10">
      <c r="A39" t="s">
        <v>53</v>
      </c>
      <c r="B39" s="25">
        <v>800</v>
      </c>
      <c r="C39" s="25">
        <v>100</v>
      </c>
      <c r="D39" s="25">
        <v>100</v>
      </c>
      <c r="E39">
        <v>0</v>
      </c>
      <c r="F39">
        <v>0.001</v>
      </c>
      <c r="G39">
        <v>0.005</v>
      </c>
      <c r="H39">
        <v>0.005</v>
      </c>
      <c r="I39">
        <v>20</v>
      </c>
      <c r="J39">
        <v>0.1</v>
      </c>
    </row>
    <row r="40" spans="1:10">
      <c r="A40" t="s">
        <v>54</v>
      </c>
      <c r="B40" s="25">
        <v>800</v>
      </c>
      <c r="C40" s="25">
        <v>400</v>
      </c>
      <c r="D40" s="25">
        <v>400</v>
      </c>
      <c r="E40">
        <v>0</v>
      </c>
      <c r="F40">
        <v>0.001</v>
      </c>
      <c r="G40">
        <v>0.005</v>
      </c>
      <c r="H40">
        <v>0.005</v>
      </c>
      <c r="I40">
        <v>20</v>
      </c>
      <c r="J40">
        <v>0.1</v>
      </c>
    </row>
    <row r="41" spans="1:10">
      <c r="A41" t="s">
        <v>55</v>
      </c>
      <c r="B41" s="25">
        <v>800</v>
      </c>
      <c r="C41" s="25">
        <v>600</v>
      </c>
      <c r="D41" s="25">
        <v>600</v>
      </c>
      <c r="E41">
        <v>0</v>
      </c>
      <c r="F41">
        <v>0.001</v>
      </c>
      <c r="G41">
        <v>0.005</v>
      </c>
      <c r="H41">
        <v>0.005</v>
      </c>
      <c r="I41">
        <v>20</v>
      </c>
      <c r="J41">
        <v>0.1</v>
      </c>
    </row>
    <row r="42" spans="1:10">
      <c r="A42" t="s">
        <v>30</v>
      </c>
      <c r="B42" s="25">
        <v>1000</v>
      </c>
      <c r="C42" s="25">
        <v>0.4</v>
      </c>
      <c r="D42" s="25">
        <v>0.4</v>
      </c>
      <c r="E42">
        <v>0</v>
      </c>
      <c r="F42">
        <v>0.001</v>
      </c>
      <c r="G42">
        <v>0.075</v>
      </c>
      <c r="H42">
        <v>0.005</v>
      </c>
      <c r="I42">
        <v>20</v>
      </c>
      <c r="J42">
        <v>0.1</v>
      </c>
    </row>
    <row r="43" spans="1:10">
      <c r="A43" t="s">
        <v>31</v>
      </c>
      <c r="B43" s="25">
        <v>1000</v>
      </c>
      <c r="C43" s="25">
        <v>1.5</v>
      </c>
      <c r="D43" s="25">
        <v>1.5</v>
      </c>
      <c r="E43">
        <v>0</v>
      </c>
      <c r="F43">
        <v>0.001</v>
      </c>
      <c r="G43">
        <v>0.02</v>
      </c>
      <c r="H43">
        <v>0.005</v>
      </c>
      <c r="I43">
        <v>20</v>
      </c>
      <c r="J43">
        <v>0.1</v>
      </c>
    </row>
    <row r="44" spans="1:10">
      <c r="A44" t="s">
        <v>32</v>
      </c>
      <c r="B44" s="25">
        <v>1000</v>
      </c>
      <c r="C44" s="25">
        <v>3</v>
      </c>
      <c r="D44" s="25">
        <v>3</v>
      </c>
      <c r="E44">
        <v>0</v>
      </c>
      <c r="F44">
        <v>0.001</v>
      </c>
      <c r="G44">
        <v>0.01</v>
      </c>
      <c r="H44">
        <v>0.005</v>
      </c>
      <c r="I44">
        <v>20</v>
      </c>
      <c r="J44">
        <v>0.1</v>
      </c>
    </row>
    <row r="45" spans="1:10">
      <c r="A45" t="s">
        <v>33</v>
      </c>
      <c r="B45" s="25">
        <v>1000</v>
      </c>
      <c r="C45" s="25">
        <v>5</v>
      </c>
      <c r="D45" s="25">
        <v>5</v>
      </c>
      <c r="E45">
        <v>0</v>
      </c>
      <c r="F45">
        <v>0.001</v>
      </c>
      <c r="G45">
        <v>0.01</v>
      </c>
      <c r="H45">
        <v>0.005</v>
      </c>
      <c r="I45">
        <v>20</v>
      </c>
      <c r="J45">
        <v>0.1</v>
      </c>
    </row>
    <row r="46" spans="1:10">
      <c r="A46" t="s">
        <v>34</v>
      </c>
      <c r="B46" s="25">
        <v>1000</v>
      </c>
      <c r="C46" s="25">
        <v>8</v>
      </c>
      <c r="D46" s="25">
        <v>8</v>
      </c>
      <c r="E46">
        <v>0</v>
      </c>
      <c r="F46">
        <v>0.001</v>
      </c>
      <c r="G46">
        <v>0.01</v>
      </c>
      <c r="H46">
        <v>0.005</v>
      </c>
      <c r="I46">
        <v>20</v>
      </c>
      <c r="J46">
        <v>0.1</v>
      </c>
    </row>
    <row r="47" spans="1:10">
      <c r="A47" t="s">
        <v>35</v>
      </c>
      <c r="B47" s="25">
        <v>1000</v>
      </c>
      <c r="C47" s="25">
        <v>10</v>
      </c>
      <c r="D47" s="25">
        <v>10</v>
      </c>
      <c r="E47">
        <v>0</v>
      </c>
      <c r="F47">
        <v>0.001</v>
      </c>
      <c r="G47">
        <v>0.005</v>
      </c>
      <c r="H47">
        <v>0.005</v>
      </c>
      <c r="I47">
        <v>20</v>
      </c>
      <c r="J47">
        <v>0.1</v>
      </c>
    </row>
    <row r="48" spans="1:10">
      <c r="A48" t="s">
        <v>56</v>
      </c>
      <c r="B48" s="25">
        <v>1000</v>
      </c>
      <c r="C48" s="25">
        <v>50</v>
      </c>
      <c r="D48" s="25">
        <v>50</v>
      </c>
      <c r="E48">
        <v>0</v>
      </c>
      <c r="F48">
        <v>0.001</v>
      </c>
      <c r="G48">
        <v>0.005</v>
      </c>
      <c r="H48">
        <v>0.005</v>
      </c>
      <c r="I48">
        <v>20</v>
      </c>
      <c r="J48">
        <v>0.1</v>
      </c>
    </row>
    <row r="49" spans="1:10">
      <c r="A49" t="s">
        <v>57</v>
      </c>
      <c r="B49" s="25">
        <v>1000</v>
      </c>
      <c r="C49" s="25">
        <v>100</v>
      </c>
      <c r="D49" s="25">
        <v>100</v>
      </c>
      <c r="E49">
        <v>0</v>
      </c>
      <c r="F49">
        <v>0.001</v>
      </c>
      <c r="G49">
        <v>0.005</v>
      </c>
      <c r="H49">
        <v>0.005</v>
      </c>
      <c r="I49">
        <v>20</v>
      </c>
      <c r="J49">
        <v>0.1</v>
      </c>
    </row>
    <row r="50" spans="1:10">
      <c r="A50" t="s">
        <v>58</v>
      </c>
      <c r="B50" s="25">
        <v>1000</v>
      </c>
      <c r="C50" s="25">
        <v>400</v>
      </c>
      <c r="D50" s="25">
        <v>400</v>
      </c>
      <c r="E50">
        <v>0</v>
      </c>
      <c r="F50">
        <v>0.001</v>
      </c>
      <c r="G50">
        <v>0.005</v>
      </c>
      <c r="H50">
        <v>0.005</v>
      </c>
      <c r="I50">
        <v>20</v>
      </c>
      <c r="J50">
        <v>0.1</v>
      </c>
    </row>
    <row r="51" spans="1:10">
      <c r="A51" t="s">
        <v>59</v>
      </c>
      <c r="B51" s="25">
        <v>1000</v>
      </c>
      <c r="C51" s="25">
        <v>600</v>
      </c>
      <c r="D51" s="25">
        <v>600</v>
      </c>
      <c r="E51">
        <v>0</v>
      </c>
      <c r="F51">
        <v>0.001</v>
      </c>
      <c r="G51">
        <v>0.005</v>
      </c>
      <c r="H51">
        <v>0.005</v>
      </c>
      <c r="I51">
        <v>20</v>
      </c>
      <c r="J51"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zoomScale="85" zoomScaleNormal="85" workbookViewId="0">
      <selection activeCell="C28" sqref="C28"/>
    </sheetView>
  </sheetViews>
  <sheetFormatPr defaultColWidth="9" defaultRowHeight="14.4"/>
  <cols>
    <col min="1" max="1" width="35.3333333333333" customWidth="1"/>
    <col min="2" max="2" width="17.1111111111111" customWidth="1"/>
    <col min="3" max="4" width="19.1111111111111" customWidth="1"/>
    <col min="5" max="5" width="14.5555555555556" customWidth="1"/>
    <col min="6" max="7" width="18.6666666666667" customWidth="1"/>
    <col min="8" max="8" width="18.8240740740741" customWidth="1"/>
    <col min="10" max="10" width="9.66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t="s">
        <v>8</v>
      </c>
      <c r="J1" t="s">
        <v>9</v>
      </c>
    </row>
    <row r="2" spans="1:10">
      <c r="A2" t="s">
        <v>10</v>
      </c>
      <c r="B2" s="25">
        <v>60</v>
      </c>
      <c r="C2" s="25">
        <v>0.52</v>
      </c>
      <c r="D2" s="25">
        <v>0.52</v>
      </c>
      <c r="E2">
        <v>0</v>
      </c>
      <c r="F2">
        <v>0.001</v>
      </c>
      <c r="G2">
        <v>0.002</v>
      </c>
      <c r="H2">
        <v>0.005</v>
      </c>
      <c r="I2">
        <v>20</v>
      </c>
      <c r="J2">
        <v>0.1</v>
      </c>
    </row>
    <row r="3" spans="1:10">
      <c r="A3" t="s">
        <v>11</v>
      </c>
      <c r="B3" s="25">
        <v>100</v>
      </c>
      <c r="C3" s="25">
        <v>3.9</v>
      </c>
      <c r="D3" s="25">
        <v>3.9</v>
      </c>
      <c r="E3">
        <v>0</v>
      </c>
      <c r="F3">
        <v>0.001</v>
      </c>
      <c r="G3">
        <v>0.002</v>
      </c>
      <c r="H3">
        <v>0.005</v>
      </c>
      <c r="I3">
        <v>20</v>
      </c>
      <c r="J3">
        <v>0.1</v>
      </c>
    </row>
    <row r="4" spans="1:10">
      <c r="A4" t="s">
        <v>12</v>
      </c>
      <c r="B4" s="25">
        <v>100</v>
      </c>
      <c r="C4" s="25">
        <v>5</v>
      </c>
      <c r="D4" s="25">
        <v>5</v>
      </c>
      <c r="E4">
        <v>0</v>
      </c>
      <c r="F4">
        <v>0.001</v>
      </c>
      <c r="G4">
        <v>0.002</v>
      </c>
      <c r="H4">
        <v>0.005</v>
      </c>
      <c r="I4">
        <v>20</v>
      </c>
      <c r="J4">
        <v>0.1</v>
      </c>
    </row>
    <row r="5" spans="1:10">
      <c r="A5" t="s">
        <v>13</v>
      </c>
      <c r="B5" s="25">
        <v>150</v>
      </c>
      <c r="C5" s="25">
        <v>6.5</v>
      </c>
      <c r="D5" s="25">
        <v>6.5</v>
      </c>
      <c r="E5">
        <v>0</v>
      </c>
      <c r="F5">
        <v>0.001</v>
      </c>
      <c r="G5">
        <v>0.002</v>
      </c>
      <c r="H5">
        <v>0.005</v>
      </c>
      <c r="I5">
        <v>20</v>
      </c>
      <c r="J5">
        <v>0.1</v>
      </c>
    </row>
    <row r="6" spans="1:10">
      <c r="A6" t="s">
        <v>14</v>
      </c>
      <c r="B6" s="25">
        <v>200</v>
      </c>
      <c r="C6" s="25">
        <v>10</v>
      </c>
      <c r="D6" s="25">
        <v>10</v>
      </c>
      <c r="E6">
        <v>0</v>
      </c>
      <c r="F6">
        <v>0.001</v>
      </c>
      <c r="G6">
        <v>0.002</v>
      </c>
      <c r="H6">
        <v>0.005</v>
      </c>
      <c r="I6">
        <v>20</v>
      </c>
      <c r="J6">
        <v>0.1</v>
      </c>
    </row>
    <row r="7" spans="1:10">
      <c r="A7" t="s">
        <v>36</v>
      </c>
      <c r="B7" s="25">
        <v>500</v>
      </c>
      <c r="C7" s="25">
        <v>13</v>
      </c>
      <c r="D7" s="25">
        <v>13</v>
      </c>
      <c r="E7">
        <v>0</v>
      </c>
      <c r="F7">
        <v>0.001</v>
      </c>
      <c r="G7">
        <v>0.002</v>
      </c>
      <c r="H7">
        <v>0.005</v>
      </c>
      <c r="I7">
        <v>20</v>
      </c>
      <c r="J7">
        <v>0.1</v>
      </c>
    </row>
    <row r="8" spans="1:10">
      <c r="A8" t="s">
        <v>37</v>
      </c>
      <c r="B8" s="25">
        <v>500</v>
      </c>
      <c r="C8" s="25">
        <v>80</v>
      </c>
      <c r="D8" s="25">
        <v>80</v>
      </c>
      <c r="E8">
        <v>0</v>
      </c>
      <c r="F8">
        <v>0.001</v>
      </c>
      <c r="G8">
        <v>0.002</v>
      </c>
      <c r="H8">
        <v>0.005</v>
      </c>
      <c r="I8">
        <v>20</v>
      </c>
      <c r="J8">
        <v>0.1</v>
      </c>
    </row>
    <row r="9" spans="1:10">
      <c r="A9" t="s">
        <v>38</v>
      </c>
      <c r="B9" s="25">
        <v>800</v>
      </c>
      <c r="C9" s="25">
        <v>130</v>
      </c>
      <c r="D9" s="25">
        <v>130</v>
      </c>
      <c r="E9">
        <v>0</v>
      </c>
      <c r="F9">
        <v>0.001</v>
      </c>
      <c r="G9">
        <v>0.002</v>
      </c>
      <c r="H9">
        <v>0.005</v>
      </c>
      <c r="I9">
        <v>20</v>
      </c>
      <c r="J9">
        <v>0.1</v>
      </c>
    </row>
    <row r="10" spans="1:10">
      <c r="A10" t="s">
        <v>39</v>
      </c>
      <c r="B10" s="25">
        <v>1000</v>
      </c>
      <c r="C10" s="25">
        <v>400</v>
      </c>
      <c r="D10" s="25">
        <v>400</v>
      </c>
      <c r="E10">
        <v>0</v>
      </c>
      <c r="F10">
        <v>0.001</v>
      </c>
      <c r="G10">
        <v>0.002</v>
      </c>
      <c r="H10">
        <v>0.005</v>
      </c>
      <c r="I10">
        <v>20</v>
      </c>
      <c r="J10">
        <v>0.1</v>
      </c>
    </row>
    <row r="11" spans="1:10">
      <c r="A11" t="s">
        <v>40</v>
      </c>
      <c r="B11" s="25">
        <v>1000</v>
      </c>
      <c r="C11" s="25">
        <v>600</v>
      </c>
      <c r="D11" s="25">
        <v>600</v>
      </c>
      <c r="E11">
        <v>0</v>
      </c>
      <c r="F11">
        <v>0.001</v>
      </c>
      <c r="G11">
        <v>0.002</v>
      </c>
      <c r="H11">
        <v>0.005</v>
      </c>
      <c r="I11">
        <v>20</v>
      </c>
      <c r="J11">
        <v>0.1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topLeftCell="A10" workbookViewId="0">
      <selection activeCell="A1" sqref="A1:N54"/>
    </sheetView>
  </sheetViews>
  <sheetFormatPr defaultColWidth="8.88888888888889" defaultRowHeight="14.4" customHeight="1"/>
  <cols>
    <col min="1" max="1" width="17.5555555555556" customWidth="1"/>
    <col min="5" max="5" width="13.1296296296296" customWidth="1"/>
    <col min="6" max="6" width="10.4351851851852" customWidth="1"/>
    <col min="7" max="7" width="10.7222222222222" customWidth="1"/>
    <col min="8" max="8" width="9.66666666666667"/>
    <col min="9" max="9" width="11.7777777777778"/>
    <col min="10" max="11" width="10.6666666666667"/>
    <col min="12" max="12" width="10.8888888888889" customWidth="1"/>
    <col min="13" max="13" width="11.6666666666667" customWidth="1"/>
    <col min="14" max="14" width="13.5555555555556" customWidth="1"/>
    <col min="16" max="16" width="12.8888888888889"/>
  </cols>
  <sheetData>
    <row r="1" customHeight="1" spans="1:14">
      <c r="A1" s="20" t="s">
        <v>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customHeight="1" spans="1:16">
      <c r="A2" s="20" t="s">
        <v>0</v>
      </c>
      <c r="B2" s="20" t="s">
        <v>1</v>
      </c>
      <c r="C2" s="20" t="s">
        <v>2</v>
      </c>
      <c r="D2" s="20" t="s">
        <v>3</v>
      </c>
      <c r="E2" s="21" t="s">
        <v>61</v>
      </c>
      <c r="F2" s="22" t="s">
        <v>62</v>
      </c>
      <c r="G2" s="23" t="s">
        <v>63</v>
      </c>
      <c r="H2" s="24" t="s">
        <v>64</v>
      </c>
      <c r="I2" s="23" t="s">
        <v>65</v>
      </c>
      <c r="J2" s="23" t="s">
        <v>66</v>
      </c>
      <c r="K2" s="23" t="s">
        <v>67</v>
      </c>
      <c r="L2" s="23" t="s">
        <v>68</v>
      </c>
      <c r="M2" s="23" t="s">
        <v>69</v>
      </c>
      <c r="N2" s="23" t="s">
        <v>70</v>
      </c>
      <c r="O2" t="s">
        <v>71</v>
      </c>
      <c r="P2" t="s">
        <v>72</v>
      </c>
    </row>
    <row r="3" customHeight="1" spans="1:16">
      <c r="A3" s="15" t="s">
        <v>10</v>
      </c>
      <c r="B3" s="16">
        <v>60</v>
      </c>
      <c r="C3" s="16">
        <v>0.4</v>
      </c>
      <c r="D3" s="16">
        <v>0.4</v>
      </c>
      <c r="E3" s="15">
        <f>B3*C3*0.001+B3*D3*0.001</f>
        <v>0.048</v>
      </c>
      <c r="F3" s="17">
        <v>5000</v>
      </c>
      <c r="G3" s="15">
        <f>1/F3/E3*3600000</f>
        <v>15000</v>
      </c>
      <c r="H3" s="18">
        <v>0.005</v>
      </c>
      <c r="I3" s="15">
        <v>565.299</v>
      </c>
      <c r="J3" s="15">
        <v>712.299</v>
      </c>
      <c r="K3" s="15">
        <v>633.653</v>
      </c>
      <c r="L3" s="15">
        <f>(I3-G3)/G3*100</f>
        <v>-96.23134</v>
      </c>
      <c r="M3" s="15">
        <f>(J3-G3)/G3*100</f>
        <v>-95.25134</v>
      </c>
      <c r="N3" s="15">
        <f>(K3-G3)/G3*100</f>
        <v>-95.7756466666667</v>
      </c>
      <c r="O3">
        <f>B3/1000*100</f>
        <v>6</v>
      </c>
      <c r="P3">
        <f>C3/600*100</f>
        <v>0.0666666666666667</v>
      </c>
    </row>
    <row r="4" customHeight="1" spans="1:16">
      <c r="A4" s="15" t="s">
        <v>11</v>
      </c>
      <c r="B4" s="16">
        <v>60</v>
      </c>
      <c r="C4" s="16">
        <v>1.5</v>
      </c>
      <c r="D4" s="16">
        <v>1.5</v>
      </c>
      <c r="E4" s="15">
        <f t="shared" ref="E4:E35" si="0">B4*C4*0.001+B4*D4*0.001</f>
        <v>0.18</v>
      </c>
      <c r="F4" s="17">
        <v>5000</v>
      </c>
      <c r="G4" s="15">
        <f t="shared" ref="G4:G35" si="1">1/F4/E4*3600000</f>
        <v>4000</v>
      </c>
      <c r="H4" s="18">
        <v>0.005</v>
      </c>
      <c r="I4" s="15">
        <v>3984.536</v>
      </c>
      <c r="J4" s="15">
        <v>3998.779</v>
      </c>
      <c r="K4" s="15">
        <v>3992.58</v>
      </c>
      <c r="L4" s="15">
        <f t="shared" ref="L4:L35" si="2">(I4-G4)/G4*100</f>
        <v>-0.386599999999999</v>
      </c>
      <c r="M4" s="15">
        <f t="shared" ref="M4:M35" si="3">(J4-G4)/G4*100</f>
        <v>-0.0305250000000001</v>
      </c>
      <c r="N4" s="15">
        <f t="shared" ref="N4:N35" si="4">(K4-G4)/G4*100</f>
        <v>-0.185500000000002</v>
      </c>
      <c r="O4">
        <f t="shared" ref="O4:O35" si="5">B4/1000*100</f>
        <v>6</v>
      </c>
      <c r="P4">
        <f t="shared" ref="P4:P35" si="6">C4/600*100</f>
        <v>0.25</v>
      </c>
    </row>
    <row r="5" customHeight="1" spans="1:16">
      <c r="A5" s="15" t="s">
        <v>12</v>
      </c>
      <c r="B5" s="16">
        <v>60</v>
      </c>
      <c r="C5" s="16">
        <v>3</v>
      </c>
      <c r="D5" s="16">
        <v>3</v>
      </c>
      <c r="E5" s="15">
        <f t="shared" si="0"/>
        <v>0.36</v>
      </c>
      <c r="F5" s="17">
        <v>5000</v>
      </c>
      <c r="G5" s="15">
        <f t="shared" si="1"/>
        <v>2000</v>
      </c>
      <c r="H5" s="18">
        <v>0.005</v>
      </c>
      <c r="I5" s="15">
        <v>1995.254</v>
      </c>
      <c r="J5" s="15">
        <v>1999.765</v>
      </c>
      <c r="K5" s="15">
        <v>1998.049</v>
      </c>
      <c r="L5" s="15">
        <f t="shared" si="2"/>
        <v>-0.237300000000005</v>
      </c>
      <c r="M5" s="15">
        <f t="shared" si="3"/>
        <v>-0.011749999999995</v>
      </c>
      <c r="N5" s="15">
        <f t="shared" si="4"/>
        <v>-0.0975500000000011</v>
      </c>
      <c r="O5">
        <f t="shared" si="5"/>
        <v>6</v>
      </c>
      <c r="P5">
        <f t="shared" si="6"/>
        <v>0.5</v>
      </c>
    </row>
    <row r="6" customHeight="1" spans="1:16">
      <c r="A6" s="15" t="s">
        <v>13</v>
      </c>
      <c r="B6" s="16">
        <v>60</v>
      </c>
      <c r="C6" s="16">
        <v>5</v>
      </c>
      <c r="D6" s="16">
        <v>5</v>
      </c>
      <c r="E6" s="15">
        <f t="shared" si="0"/>
        <v>0.6</v>
      </c>
      <c r="F6" s="17">
        <v>5000</v>
      </c>
      <c r="G6" s="15">
        <f t="shared" si="1"/>
        <v>1200</v>
      </c>
      <c r="H6" s="18">
        <v>0.005</v>
      </c>
      <c r="I6" s="15">
        <v>1197.258</v>
      </c>
      <c r="J6" s="15">
        <v>1200.258</v>
      </c>
      <c r="K6" s="15">
        <v>1198.615</v>
      </c>
      <c r="L6" s="15">
        <f t="shared" si="2"/>
        <v>-0.228500000000016</v>
      </c>
      <c r="M6" s="15">
        <f t="shared" si="3"/>
        <v>0.0214999999999842</v>
      </c>
      <c r="N6" s="15">
        <f t="shared" si="4"/>
        <v>-0.115416666666685</v>
      </c>
      <c r="O6">
        <f t="shared" si="5"/>
        <v>6</v>
      </c>
      <c r="P6">
        <f t="shared" si="6"/>
        <v>0.833333333333333</v>
      </c>
    </row>
    <row r="7" customHeight="1" spans="1:16">
      <c r="A7" s="15" t="s">
        <v>14</v>
      </c>
      <c r="B7" s="16">
        <v>60</v>
      </c>
      <c r="C7" s="16">
        <v>8</v>
      </c>
      <c r="D7" s="16">
        <v>8</v>
      </c>
      <c r="E7" s="15">
        <f t="shared" si="0"/>
        <v>0.96</v>
      </c>
      <c r="F7" s="17">
        <v>5000</v>
      </c>
      <c r="G7" s="15">
        <f t="shared" si="1"/>
        <v>750</v>
      </c>
      <c r="H7" s="18">
        <v>0.005</v>
      </c>
      <c r="I7" s="15">
        <v>748.505</v>
      </c>
      <c r="J7" s="15">
        <v>749.515</v>
      </c>
      <c r="K7" s="15">
        <v>749.152</v>
      </c>
      <c r="L7" s="15">
        <f t="shared" si="2"/>
        <v>-0.199333333333334</v>
      </c>
      <c r="M7" s="15">
        <f t="shared" si="3"/>
        <v>-0.0646666666666685</v>
      </c>
      <c r="N7" s="15">
        <f t="shared" si="4"/>
        <v>-0.113066666666661</v>
      </c>
      <c r="O7">
        <f t="shared" si="5"/>
        <v>6</v>
      </c>
      <c r="P7">
        <f t="shared" si="6"/>
        <v>1.33333333333333</v>
      </c>
    </row>
    <row r="8" customHeight="1" spans="1:16">
      <c r="A8" s="15" t="s">
        <v>36</v>
      </c>
      <c r="B8" s="16">
        <v>60</v>
      </c>
      <c r="C8" s="16">
        <v>10</v>
      </c>
      <c r="D8" s="16">
        <v>10</v>
      </c>
      <c r="E8" s="15">
        <f t="shared" si="0"/>
        <v>1.2</v>
      </c>
      <c r="F8" s="17">
        <v>1000</v>
      </c>
      <c r="G8" s="15">
        <f t="shared" si="1"/>
        <v>3000</v>
      </c>
      <c r="H8" s="18">
        <v>0.005</v>
      </c>
      <c r="I8" s="15">
        <v>2993.272</v>
      </c>
      <c r="J8" s="15">
        <v>3004.272</v>
      </c>
      <c r="K8" s="15">
        <v>2999.878</v>
      </c>
      <c r="L8" s="15">
        <f t="shared" si="2"/>
        <v>-0.224266666666669</v>
      </c>
      <c r="M8" s="15">
        <f t="shared" si="3"/>
        <v>0.142399999999998</v>
      </c>
      <c r="N8" s="15">
        <f t="shared" si="4"/>
        <v>-0.00406666666666145</v>
      </c>
      <c r="O8">
        <f t="shared" si="5"/>
        <v>6</v>
      </c>
      <c r="P8">
        <f t="shared" si="6"/>
        <v>1.66666666666667</v>
      </c>
    </row>
    <row r="9" customHeight="1" spans="1:16">
      <c r="A9" s="15" t="s">
        <v>37</v>
      </c>
      <c r="B9" s="16">
        <v>60</v>
      </c>
      <c r="C9" s="16">
        <v>50</v>
      </c>
      <c r="D9" s="16">
        <v>50</v>
      </c>
      <c r="E9" s="15">
        <f t="shared" si="0"/>
        <v>6</v>
      </c>
      <c r="F9" s="17">
        <v>100</v>
      </c>
      <c r="G9" s="15">
        <f t="shared" si="1"/>
        <v>6000</v>
      </c>
      <c r="H9" s="18">
        <v>0.005</v>
      </c>
      <c r="I9" s="15">
        <v>5990.53</v>
      </c>
      <c r="J9" s="15">
        <v>5997.542</v>
      </c>
      <c r="K9" s="15">
        <v>5995.201</v>
      </c>
      <c r="L9" s="15">
        <f t="shared" si="2"/>
        <v>-0.157833333333338</v>
      </c>
      <c r="M9" s="15">
        <f t="shared" si="3"/>
        <v>-0.0409666666666605</v>
      </c>
      <c r="N9" s="15">
        <f t="shared" si="4"/>
        <v>-0.079983333333333</v>
      </c>
      <c r="O9">
        <f t="shared" si="5"/>
        <v>6</v>
      </c>
      <c r="P9">
        <f t="shared" si="6"/>
        <v>8.33333333333333</v>
      </c>
    </row>
    <row r="10" customHeight="1" spans="1:16">
      <c r="A10" s="15" t="s">
        <v>38</v>
      </c>
      <c r="B10" s="16">
        <v>60</v>
      </c>
      <c r="C10" s="16">
        <v>100</v>
      </c>
      <c r="D10" s="16">
        <v>100</v>
      </c>
      <c r="E10" s="15">
        <f t="shared" si="0"/>
        <v>12</v>
      </c>
      <c r="F10" s="17">
        <v>100</v>
      </c>
      <c r="G10" s="15">
        <f t="shared" si="1"/>
        <v>3000</v>
      </c>
      <c r="H10" s="18">
        <v>0.005</v>
      </c>
      <c r="I10" s="15">
        <v>2994.022</v>
      </c>
      <c r="J10" s="15">
        <v>2995.772</v>
      </c>
      <c r="K10" s="15">
        <v>2995.269</v>
      </c>
      <c r="L10" s="15">
        <f t="shared" si="2"/>
        <v>-0.199266666666669</v>
      </c>
      <c r="M10" s="15">
        <f t="shared" si="3"/>
        <v>-0.140933333333336</v>
      </c>
      <c r="N10" s="15">
        <f t="shared" si="4"/>
        <v>-0.157700000000007</v>
      </c>
      <c r="O10">
        <f t="shared" si="5"/>
        <v>6</v>
      </c>
      <c r="P10">
        <f t="shared" si="6"/>
        <v>16.6666666666667</v>
      </c>
    </row>
    <row r="11" customHeight="1" spans="1:16">
      <c r="A11" s="15" t="s">
        <v>39</v>
      </c>
      <c r="B11" s="16">
        <v>60</v>
      </c>
      <c r="C11" s="16">
        <v>400</v>
      </c>
      <c r="D11" s="16">
        <v>400</v>
      </c>
      <c r="E11" s="15">
        <f t="shared" si="0"/>
        <v>48</v>
      </c>
      <c r="F11" s="17">
        <v>100</v>
      </c>
      <c r="G11" s="15">
        <f t="shared" si="1"/>
        <v>750</v>
      </c>
      <c r="H11" s="18">
        <v>0.005</v>
      </c>
      <c r="I11" s="15">
        <v>748.004</v>
      </c>
      <c r="J11" s="15">
        <v>748.266</v>
      </c>
      <c r="K11" s="15">
        <v>748.229</v>
      </c>
      <c r="L11" s="15">
        <f t="shared" si="2"/>
        <v>-0.266133333333331</v>
      </c>
      <c r="M11" s="15">
        <f t="shared" si="3"/>
        <v>-0.231200000000005</v>
      </c>
      <c r="N11" s="15">
        <f t="shared" si="4"/>
        <v>-0.236133333333328</v>
      </c>
      <c r="O11">
        <f t="shared" si="5"/>
        <v>6</v>
      </c>
      <c r="P11">
        <f t="shared" si="6"/>
        <v>66.6666666666667</v>
      </c>
    </row>
    <row r="12" customHeight="1" spans="1:16">
      <c r="A12" s="15" t="s">
        <v>40</v>
      </c>
      <c r="B12" s="16">
        <v>60</v>
      </c>
      <c r="C12" s="16">
        <v>600</v>
      </c>
      <c r="D12" s="16">
        <v>600</v>
      </c>
      <c r="E12" s="15">
        <f t="shared" si="0"/>
        <v>72</v>
      </c>
      <c r="F12" s="17">
        <v>100</v>
      </c>
      <c r="G12" s="15">
        <f t="shared" si="1"/>
        <v>500</v>
      </c>
      <c r="H12" s="18">
        <v>0.005</v>
      </c>
      <c r="I12" s="15">
        <v>498.74</v>
      </c>
      <c r="J12" s="15">
        <v>499.003</v>
      </c>
      <c r="K12" s="15">
        <v>498.795</v>
      </c>
      <c r="L12" s="15">
        <f t="shared" si="2"/>
        <v>-0.251999999999998</v>
      </c>
      <c r="M12" s="15">
        <f t="shared" si="3"/>
        <v>-0.199400000000003</v>
      </c>
      <c r="N12" s="15">
        <f t="shared" si="4"/>
        <v>-0.240999999999997</v>
      </c>
      <c r="O12">
        <f t="shared" si="5"/>
        <v>6</v>
      </c>
      <c r="P12">
        <f t="shared" si="6"/>
        <v>100</v>
      </c>
    </row>
    <row r="13" customHeight="1" spans="1:16">
      <c r="A13" s="15" t="s">
        <v>15</v>
      </c>
      <c r="B13" s="16">
        <v>200</v>
      </c>
      <c r="C13" s="16">
        <v>0.4</v>
      </c>
      <c r="D13" s="16">
        <v>0.4</v>
      </c>
      <c r="E13" s="15">
        <f t="shared" si="0"/>
        <v>0.16</v>
      </c>
      <c r="F13" s="17">
        <v>5000</v>
      </c>
      <c r="G13" s="15">
        <f t="shared" si="1"/>
        <v>4500</v>
      </c>
      <c r="H13" s="18">
        <v>0.005</v>
      </c>
      <c r="I13" s="15">
        <v>4466.281</v>
      </c>
      <c r="J13" s="15">
        <v>4533.782</v>
      </c>
      <c r="K13" s="15">
        <v>4490.825</v>
      </c>
      <c r="L13" s="15">
        <f t="shared" si="2"/>
        <v>-0.749311111111112</v>
      </c>
      <c r="M13" s="15">
        <f t="shared" si="3"/>
        <v>0.750711111111114</v>
      </c>
      <c r="N13" s="15">
        <f t="shared" si="4"/>
        <v>-0.203888888888893</v>
      </c>
      <c r="O13">
        <f t="shared" si="5"/>
        <v>20</v>
      </c>
      <c r="P13">
        <f t="shared" si="6"/>
        <v>0.0666666666666667</v>
      </c>
    </row>
    <row r="14" customHeight="1" spans="1:16">
      <c r="A14" s="15" t="s">
        <v>16</v>
      </c>
      <c r="B14" s="16">
        <v>200</v>
      </c>
      <c r="C14" s="16">
        <v>1.5</v>
      </c>
      <c r="D14" s="16">
        <v>1.5</v>
      </c>
      <c r="E14" s="15">
        <f t="shared" si="0"/>
        <v>0.6</v>
      </c>
      <c r="F14" s="17">
        <v>5000</v>
      </c>
      <c r="G14" s="15">
        <f t="shared" si="1"/>
        <v>1200</v>
      </c>
      <c r="H14" s="18">
        <v>0.005</v>
      </c>
      <c r="I14" s="15">
        <v>1195.008</v>
      </c>
      <c r="J14" s="15">
        <v>1201.258</v>
      </c>
      <c r="K14" s="15">
        <v>1198.209</v>
      </c>
      <c r="L14" s="15">
        <f t="shared" si="2"/>
        <v>-0.416000000000016</v>
      </c>
      <c r="M14" s="15">
        <f t="shared" si="3"/>
        <v>0.104833333333318</v>
      </c>
      <c r="N14" s="15">
        <f t="shared" si="4"/>
        <v>-0.149250000000014</v>
      </c>
      <c r="O14">
        <f t="shared" si="5"/>
        <v>20</v>
      </c>
      <c r="P14">
        <f t="shared" si="6"/>
        <v>0.25</v>
      </c>
    </row>
    <row r="15" customHeight="1" spans="1:16">
      <c r="A15" s="15" t="s">
        <v>17</v>
      </c>
      <c r="B15" s="16">
        <v>200</v>
      </c>
      <c r="C15" s="16">
        <v>3</v>
      </c>
      <c r="D15" s="16">
        <v>3</v>
      </c>
      <c r="E15" s="15">
        <f t="shared" si="0"/>
        <v>1.2</v>
      </c>
      <c r="F15" s="17">
        <v>1000</v>
      </c>
      <c r="G15" s="15">
        <f t="shared" si="1"/>
        <v>3000</v>
      </c>
      <c r="H15" s="18">
        <v>0.005</v>
      </c>
      <c r="I15" s="15">
        <v>2990.021</v>
      </c>
      <c r="J15" s="15">
        <v>3001.772</v>
      </c>
      <c r="K15" s="15">
        <v>2996.997</v>
      </c>
      <c r="L15" s="15">
        <f t="shared" si="2"/>
        <v>-0.332633333333327</v>
      </c>
      <c r="M15" s="15">
        <f t="shared" si="3"/>
        <v>0.0590666666666645</v>
      </c>
      <c r="N15" s="15">
        <f t="shared" si="4"/>
        <v>-0.100100000000005</v>
      </c>
      <c r="O15">
        <f t="shared" si="5"/>
        <v>20</v>
      </c>
      <c r="P15">
        <f t="shared" si="6"/>
        <v>0.5</v>
      </c>
    </row>
    <row r="16" customHeight="1" spans="1:16">
      <c r="A16" s="15" t="s">
        <v>18</v>
      </c>
      <c r="B16" s="16">
        <v>200</v>
      </c>
      <c r="C16" s="16">
        <v>5</v>
      </c>
      <c r="D16" s="16">
        <v>5</v>
      </c>
      <c r="E16" s="15">
        <f t="shared" si="0"/>
        <v>2</v>
      </c>
      <c r="F16" s="17">
        <v>1000</v>
      </c>
      <c r="G16" s="15">
        <f t="shared" si="1"/>
        <v>1800</v>
      </c>
      <c r="H16" s="18">
        <v>0.005</v>
      </c>
      <c r="I16" s="15">
        <v>1797.263</v>
      </c>
      <c r="J16" s="15">
        <v>1801.773</v>
      </c>
      <c r="K16" s="15">
        <v>1799.056</v>
      </c>
      <c r="L16" s="15">
        <f t="shared" si="2"/>
        <v>-0.15205555555556</v>
      </c>
      <c r="M16" s="15">
        <f t="shared" si="3"/>
        <v>0.098499999999995</v>
      </c>
      <c r="N16" s="15">
        <f t="shared" si="4"/>
        <v>-0.0524444444444422</v>
      </c>
      <c r="O16">
        <f t="shared" si="5"/>
        <v>20</v>
      </c>
      <c r="P16">
        <f t="shared" si="6"/>
        <v>0.833333333333333</v>
      </c>
    </row>
    <row r="17" customHeight="1" spans="1:16">
      <c r="A17" s="15" t="s">
        <v>41</v>
      </c>
      <c r="B17" s="16">
        <v>200</v>
      </c>
      <c r="C17" s="16">
        <v>8</v>
      </c>
      <c r="D17" s="16">
        <v>8</v>
      </c>
      <c r="E17" s="15">
        <f t="shared" si="0"/>
        <v>3.2</v>
      </c>
      <c r="F17" s="17">
        <v>1000</v>
      </c>
      <c r="G17" s="15">
        <f t="shared" si="1"/>
        <v>1125</v>
      </c>
      <c r="H17" s="18">
        <v>0.005</v>
      </c>
      <c r="I17" s="15">
        <v>1122.758</v>
      </c>
      <c r="J17" s="15">
        <v>1124.509</v>
      </c>
      <c r="K17" s="15">
        <v>1123.817</v>
      </c>
      <c r="L17" s="15">
        <f t="shared" si="2"/>
        <v>-0.199288888888885</v>
      </c>
      <c r="M17" s="15">
        <f t="shared" si="3"/>
        <v>-0.0436444444444432</v>
      </c>
      <c r="N17" s="15">
        <f t="shared" si="4"/>
        <v>-0.105155555555555</v>
      </c>
      <c r="O17">
        <f t="shared" si="5"/>
        <v>20</v>
      </c>
      <c r="P17">
        <f t="shared" si="6"/>
        <v>1.33333333333333</v>
      </c>
    </row>
    <row r="18" customHeight="1" spans="1:16">
      <c r="A18" s="15" t="s">
        <v>42</v>
      </c>
      <c r="B18" s="16">
        <v>200</v>
      </c>
      <c r="C18" s="16">
        <v>10</v>
      </c>
      <c r="D18" s="16">
        <v>10</v>
      </c>
      <c r="E18" s="15">
        <f t="shared" si="0"/>
        <v>4</v>
      </c>
      <c r="F18" s="17">
        <v>1000</v>
      </c>
      <c r="G18" s="15">
        <f t="shared" si="1"/>
        <v>900</v>
      </c>
      <c r="H18" s="18">
        <v>0.005</v>
      </c>
      <c r="I18" s="15">
        <v>897.006</v>
      </c>
      <c r="J18" s="15">
        <v>898.256</v>
      </c>
      <c r="K18" s="15">
        <v>897.61</v>
      </c>
      <c r="L18" s="15">
        <f t="shared" si="2"/>
        <v>-0.33266666666667</v>
      </c>
      <c r="M18" s="15">
        <f t="shared" si="3"/>
        <v>-0.193777777777781</v>
      </c>
      <c r="N18" s="15">
        <f t="shared" si="4"/>
        <v>-0.265555555555554</v>
      </c>
      <c r="O18">
        <f t="shared" si="5"/>
        <v>20</v>
      </c>
      <c r="P18">
        <f t="shared" si="6"/>
        <v>1.66666666666667</v>
      </c>
    </row>
    <row r="19" customHeight="1" spans="1:16">
      <c r="A19" s="15" t="s">
        <v>43</v>
      </c>
      <c r="B19" s="16">
        <v>200</v>
      </c>
      <c r="C19" s="16">
        <v>50</v>
      </c>
      <c r="D19" s="16">
        <v>50</v>
      </c>
      <c r="E19" s="15">
        <f t="shared" si="0"/>
        <v>20</v>
      </c>
      <c r="F19" s="17">
        <v>100</v>
      </c>
      <c r="G19" s="15">
        <f t="shared" si="1"/>
        <v>1800</v>
      </c>
      <c r="H19" s="18">
        <v>0.005</v>
      </c>
      <c r="I19" s="15">
        <v>1796.013</v>
      </c>
      <c r="J19" s="15">
        <v>1796.763</v>
      </c>
      <c r="K19" s="15">
        <v>1796.451</v>
      </c>
      <c r="L19" s="15">
        <f t="shared" si="2"/>
        <v>-0.221500000000004</v>
      </c>
      <c r="M19" s="15">
        <f t="shared" si="3"/>
        <v>-0.179833333333338</v>
      </c>
      <c r="N19" s="15">
        <f t="shared" si="4"/>
        <v>-0.197166666666665</v>
      </c>
      <c r="O19">
        <f t="shared" si="5"/>
        <v>20</v>
      </c>
      <c r="P19">
        <f t="shared" si="6"/>
        <v>8.33333333333333</v>
      </c>
    </row>
    <row r="20" customHeight="1" spans="1:16">
      <c r="A20" s="15" t="s">
        <v>44</v>
      </c>
      <c r="B20" s="16">
        <v>200</v>
      </c>
      <c r="C20" s="16">
        <v>100</v>
      </c>
      <c r="D20" s="16">
        <v>100</v>
      </c>
      <c r="E20" s="15">
        <f t="shared" si="0"/>
        <v>40</v>
      </c>
      <c r="F20" s="17">
        <v>100</v>
      </c>
      <c r="G20" s="15">
        <f t="shared" si="1"/>
        <v>900</v>
      </c>
      <c r="H20" s="18">
        <v>0.005</v>
      </c>
      <c r="I20" s="15">
        <v>897.256</v>
      </c>
      <c r="J20" s="15">
        <v>897.507</v>
      </c>
      <c r="K20" s="15">
        <v>897.485</v>
      </c>
      <c r="L20" s="15">
        <f t="shared" si="2"/>
        <v>-0.304888888888892</v>
      </c>
      <c r="M20" s="15">
        <f t="shared" si="3"/>
        <v>-0.277000000000006</v>
      </c>
      <c r="N20" s="15">
        <f t="shared" si="4"/>
        <v>-0.279444444444443</v>
      </c>
      <c r="O20">
        <f t="shared" si="5"/>
        <v>20</v>
      </c>
      <c r="P20">
        <f t="shared" si="6"/>
        <v>16.6666666666667</v>
      </c>
    </row>
    <row r="21" customHeight="1" spans="1:16">
      <c r="A21" s="15" t="s">
        <v>45</v>
      </c>
      <c r="B21" s="16">
        <v>200</v>
      </c>
      <c r="C21" s="16">
        <v>400</v>
      </c>
      <c r="D21" s="16">
        <v>400</v>
      </c>
      <c r="E21" s="15">
        <f t="shared" si="0"/>
        <v>160</v>
      </c>
      <c r="F21" s="17">
        <v>100</v>
      </c>
      <c r="G21" s="15">
        <f t="shared" si="1"/>
        <v>225</v>
      </c>
      <c r="H21" s="18">
        <v>0.005</v>
      </c>
      <c r="I21" s="15">
        <v>224.25</v>
      </c>
      <c r="J21" s="15">
        <v>224.512</v>
      </c>
      <c r="K21" s="15">
        <v>224.323</v>
      </c>
      <c r="L21" s="15">
        <f t="shared" si="2"/>
        <v>-0.333333333333333</v>
      </c>
      <c r="M21" s="15">
        <f t="shared" si="3"/>
        <v>-0.216888888888889</v>
      </c>
      <c r="N21" s="15">
        <f t="shared" si="4"/>
        <v>-0.300888888888886</v>
      </c>
      <c r="O21">
        <f t="shared" si="5"/>
        <v>20</v>
      </c>
      <c r="P21">
        <f t="shared" si="6"/>
        <v>66.6666666666667</v>
      </c>
    </row>
    <row r="22" customHeight="1" spans="1:16">
      <c r="A22" s="15" t="s">
        <v>46</v>
      </c>
      <c r="B22" s="16">
        <v>200</v>
      </c>
      <c r="C22" s="16">
        <v>600</v>
      </c>
      <c r="D22" s="16">
        <v>600</v>
      </c>
      <c r="E22" s="15">
        <f t="shared" si="0"/>
        <v>240</v>
      </c>
      <c r="F22" s="17">
        <v>100</v>
      </c>
      <c r="G22" s="15">
        <f t="shared" si="1"/>
        <v>150</v>
      </c>
      <c r="H22" s="18">
        <v>0.005</v>
      </c>
      <c r="I22" s="15">
        <v>149.489</v>
      </c>
      <c r="J22" s="15">
        <v>149.754</v>
      </c>
      <c r="K22" s="15">
        <v>149.507</v>
      </c>
      <c r="L22" s="15">
        <f t="shared" si="2"/>
        <v>-0.340666666666664</v>
      </c>
      <c r="M22" s="15">
        <f t="shared" si="3"/>
        <v>-0.164000000000006</v>
      </c>
      <c r="N22" s="15">
        <f t="shared" si="4"/>
        <v>-0.328666666666663</v>
      </c>
      <c r="O22">
        <f t="shared" si="5"/>
        <v>20</v>
      </c>
      <c r="P22">
        <f t="shared" si="6"/>
        <v>100</v>
      </c>
    </row>
    <row r="23" customHeight="1" spans="1:16">
      <c r="A23" s="15" t="s">
        <v>19</v>
      </c>
      <c r="B23" s="16">
        <v>500</v>
      </c>
      <c r="C23" s="16">
        <v>0.4</v>
      </c>
      <c r="D23" s="16">
        <v>0.4</v>
      </c>
      <c r="E23" s="15">
        <f t="shared" si="0"/>
        <v>0.4</v>
      </c>
      <c r="F23" s="17">
        <v>5000</v>
      </c>
      <c r="G23" s="15">
        <f t="shared" si="1"/>
        <v>1800</v>
      </c>
      <c r="H23" s="18">
        <v>0.005</v>
      </c>
      <c r="I23" s="15">
        <v>1775.513</v>
      </c>
      <c r="J23" s="15">
        <v>1797.513</v>
      </c>
      <c r="K23" s="15">
        <v>1788.571</v>
      </c>
      <c r="L23" s="15">
        <f t="shared" si="2"/>
        <v>-1.36038888888889</v>
      </c>
      <c r="M23" s="15">
        <f t="shared" si="3"/>
        <v>-0.138166666666671</v>
      </c>
      <c r="N23" s="15">
        <f t="shared" si="4"/>
        <v>-0.634944444444449</v>
      </c>
      <c r="O23">
        <f t="shared" si="5"/>
        <v>50</v>
      </c>
      <c r="P23">
        <f t="shared" si="6"/>
        <v>0.0666666666666667</v>
      </c>
    </row>
    <row r="24" customHeight="1" spans="1:16">
      <c r="A24" s="15" t="s">
        <v>20</v>
      </c>
      <c r="B24" s="16">
        <v>500</v>
      </c>
      <c r="C24" s="16">
        <v>1.5</v>
      </c>
      <c r="D24" s="16">
        <v>1.5</v>
      </c>
      <c r="E24" s="15">
        <f t="shared" si="0"/>
        <v>1.5</v>
      </c>
      <c r="F24" s="17">
        <v>1000</v>
      </c>
      <c r="G24" s="15">
        <f t="shared" si="1"/>
        <v>2400</v>
      </c>
      <c r="H24" s="18">
        <v>0.005</v>
      </c>
      <c r="I24" s="15">
        <v>2390.767</v>
      </c>
      <c r="J24" s="15">
        <v>2409.266</v>
      </c>
      <c r="K24" s="15">
        <v>2399.993</v>
      </c>
      <c r="L24" s="15">
        <f t="shared" si="2"/>
        <v>-0.384708333333341</v>
      </c>
      <c r="M24" s="15">
        <f t="shared" si="3"/>
        <v>0.386083333333336</v>
      </c>
      <c r="N24" s="15">
        <f t="shared" si="4"/>
        <v>-0.000291666666669244</v>
      </c>
      <c r="O24">
        <f t="shared" si="5"/>
        <v>50</v>
      </c>
      <c r="P24">
        <f t="shared" si="6"/>
        <v>0.25</v>
      </c>
    </row>
    <row r="25" customHeight="1" spans="1:16">
      <c r="A25" s="15" t="s">
        <v>21</v>
      </c>
      <c r="B25" s="16">
        <v>500</v>
      </c>
      <c r="C25" s="16">
        <v>3</v>
      </c>
      <c r="D25" s="16">
        <v>3</v>
      </c>
      <c r="E25" s="15">
        <f t="shared" si="0"/>
        <v>3</v>
      </c>
      <c r="F25" s="17">
        <v>1000</v>
      </c>
      <c r="G25" s="15">
        <f t="shared" si="1"/>
        <v>1200</v>
      </c>
      <c r="H25" s="18">
        <v>0.005</v>
      </c>
      <c r="I25" s="15">
        <v>1197.508</v>
      </c>
      <c r="J25" s="15">
        <v>1202.271</v>
      </c>
      <c r="K25" s="15">
        <v>1199.925</v>
      </c>
      <c r="L25" s="15">
        <f t="shared" si="2"/>
        <v>-0.207666666666663</v>
      </c>
      <c r="M25" s="15">
        <f t="shared" si="3"/>
        <v>0.189249999999997</v>
      </c>
      <c r="N25" s="15">
        <f t="shared" si="4"/>
        <v>-0.00625000000000379</v>
      </c>
      <c r="O25">
        <f t="shared" si="5"/>
        <v>50</v>
      </c>
      <c r="P25">
        <f t="shared" si="6"/>
        <v>0.5</v>
      </c>
    </row>
    <row r="26" customHeight="1" spans="1:16">
      <c r="A26" s="15" t="s">
        <v>47</v>
      </c>
      <c r="B26" s="16">
        <v>500</v>
      </c>
      <c r="C26" s="16">
        <v>5</v>
      </c>
      <c r="D26" s="16">
        <v>5</v>
      </c>
      <c r="E26" s="15">
        <f t="shared" si="0"/>
        <v>5</v>
      </c>
      <c r="F26" s="17">
        <v>1000</v>
      </c>
      <c r="G26" s="15">
        <f t="shared" si="1"/>
        <v>720</v>
      </c>
      <c r="H26" s="18">
        <v>0.005</v>
      </c>
      <c r="I26" s="15">
        <v>718.505</v>
      </c>
      <c r="J26" s="15">
        <v>719.767</v>
      </c>
      <c r="K26" s="15">
        <v>719.237</v>
      </c>
      <c r="L26" s="15">
        <f t="shared" si="2"/>
        <v>-0.20763888888889</v>
      </c>
      <c r="M26" s="15">
        <f t="shared" si="3"/>
        <v>-0.0323611111111038</v>
      </c>
      <c r="N26" s="15">
        <f t="shared" si="4"/>
        <v>-0.105972222222227</v>
      </c>
      <c r="O26">
        <f t="shared" si="5"/>
        <v>50</v>
      </c>
      <c r="P26">
        <f t="shared" si="6"/>
        <v>0.833333333333333</v>
      </c>
    </row>
    <row r="27" customHeight="1" spans="1:16">
      <c r="A27" s="15" t="s">
        <v>22</v>
      </c>
      <c r="B27" s="16">
        <v>500</v>
      </c>
      <c r="C27" s="16">
        <v>8</v>
      </c>
      <c r="D27" s="16">
        <v>8</v>
      </c>
      <c r="E27" s="15">
        <f t="shared" si="0"/>
        <v>8</v>
      </c>
      <c r="F27" s="17">
        <v>1000</v>
      </c>
      <c r="G27" s="15">
        <f t="shared" si="1"/>
        <v>450</v>
      </c>
      <c r="H27" s="18">
        <v>0.005</v>
      </c>
      <c r="I27" s="15">
        <v>449.003</v>
      </c>
      <c r="J27" s="15">
        <v>449.753</v>
      </c>
      <c r="K27" s="15">
        <v>449.432</v>
      </c>
      <c r="L27" s="15">
        <f t="shared" si="2"/>
        <v>-0.221555555555559</v>
      </c>
      <c r="M27" s="15">
        <f t="shared" si="3"/>
        <v>-0.054888888888892</v>
      </c>
      <c r="N27" s="15">
        <f t="shared" si="4"/>
        <v>-0.126222222222219</v>
      </c>
      <c r="O27">
        <f t="shared" si="5"/>
        <v>50</v>
      </c>
      <c r="P27">
        <f t="shared" si="6"/>
        <v>1.33333333333333</v>
      </c>
    </row>
    <row r="28" customHeight="1" spans="1:16">
      <c r="A28" s="15" t="s">
        <v>23</v>
      </c>
      <c r="B28" s="16">
        <v>500</v>
      </c>
      <c r="C28" s="16">
        <v>10</v>
      </c>
      <c r="D28" s="16">
        <v>10</v>
      </c>
      <c r="E28" s="15">
        <f t="shared" si="0"/>
        <v>10</v>
      </c>
      <c r="F28" s="17">
        <v>1000</v>
      </c>
      <c r="G28" s="15">
        <f t="shared" si="1"/>
        <v>360</v>
      </c>
      <c r="H28" s="18">
        <v>0.005</v>
      </c>
      <c r="I28" s="15">
        <v>359.002</v>
      </c>
      <c r="J28" s="15">
        <v>360.003</v>
      </c>
      <c r="K28" s="15">
        <v>359.48</v>
      </c>
      <c r="L28" s="15">
        <f t="shared" si="2"/>
        <v>-0.27722222222222</v>
      </c>
      <c r="M28" s="15">
        <f t="shared" si="3"/>
        <v>0.000833333333329417</v>
      </c>
      <c r="N28" s="15">
        <f t="shared" si="4"/>
        <v>-0.144444444444439</v>
      </c>
      <c r="O28">
        <f t="shared" si="5"/>
        <v>50</v>
      </c>
      <c r="P28">
        <f t="shared" si="6"/>
        <v>1.66666666666667</v>
      </c>
    </row>
    <row r="29" customHeight="1" spans="1:16">
      <c r="A29" s="15" t="s">
        <v>48</v>
      </c>
      <c r="B29" s="16">
        <v>500</v>
      </c>
      <c r="C29" s="16">
        <v>50</v>
      </c>
      <c r="D29" s="16">
        <v>50</v>
      </c>
      <c r="E29" s="15">
        <f t="shared" si="0"/>
        <v>50</v>
      </c>
      <c r="F29" s="17">
        <v>100</v>
      </c>
      <c r="G29" s="15">
        <f t="shared" si="1"/>
        <v>720</v>
      </c>
      <c r="H29" s="18">
        <v>0.005</v>
      </c>
      <c r="I29" s="15">
        <v>718.005</v>
      </c>
      <c r="J29" s="15">
        <v>718.744</v>
      </c>
      <c r="K29" s="15">
        <v>718.329</v>
      </c>
      <c r="L29" s="15">
        <f t="shared" si="2"/>
        <v>-0.277083333333334</v>
      </c>
      <c r="M29" s="15">
        <f t="shared" si="3"/>
        <v>-0.174444444444441</v>
      </c>
      <c r="N29" s="15">
        <f t="shared" si="4"/>
        <v>-0.23208333333334</v>
      </c>
      <c r="O29">
        <f t="shared" si="5"/>
        <v>50</v>
      </c>
      <c r="P29">
        <f t="shared" si="6"/>
        <v>8.33333333333333</v>
      </c>
    </row>
    <row r="30" customHeight="1" spans="1:16">
      <c r="A30" s="15" t="s">
        <v>49</v>
      </c>
      <c r="B30" s="16">
        <v>500</v>
      </c>
      <c r="C30" s="16">
        <v>100</v>
      </c>
      <c r="D30" s="16">
        <v>100</v>
      </c>
      <c r="E30" s="15">
        <f t="shared" si="0"/>
        <v>100</v>
      </c>
      <c r="F30" s="17">
        <v>100</v>
      </c>
      <c r="G30" s="15">
        <f t="shared" si="1"/>
        <v>360</v>
      </c>
      <c r="H30" s="18">
        <v>0.005</v>
      </c>
      <c r="I30" s="15">
        <v>358.752</v>
      </c>
      <c r="J30" s="15">
        <v>359.003</v>
      </c>
      <c r="K30" s="15">
        <v>358.958</v>
      </c>
      <c r="L30" s="15">
        <f t="shared" si="2"/>
        <v>-0.346666666666664</v>
      </c>
      <c r="M30" s="15">
        <f t="shared" si="3"/>
        <v>-0.276944444444448</v>
      </c>
      <c r="N30" s="15">
        <f t="shared" si="4"/>
        <v>-0.289444444444437</v>
      </c>
      <c r="O30">
        <f t="shared" si="5"/>
        <v>50</v>
      </c>
      <c r="P30">
        <f t="shared" si="6"/>
        <v>16.6666666666667</v>
      </c>
    </row>
    <row r="31" customHeight="1" spans="1:16">
      <c r="A31" s="15" t="s">
        <v>50</v>
      </c>
      <c r="B31" s="16">
        <v>500</v>
      </c>
      <c r="C31" s="16">
        <v>400</v>
      </c>
      <c r="D31" s="16">
        <v>400</v>
      </c>
      <c r="E31" s="15">
        <f t="shared" si="0"/>
        <v>400</v>
      </c>
      <c r="F31" s="17">
        <v>100</v>
      </c>
      <c r="G31" s="15">
        <f t="shared" si="1"/>
        <v>90</v>
      </c>
      <c r="H31" s="18">
        <v>0.005</v>
      </c>
      <c r="I31" s="15">
        <v>89.625</v>
      </c>
      <c r="J31" s="15">
        <v>89.757</v>
      </c>
      <c r="K31" s="15">
        <v>89.728</v>
      </c>
      <c r="L31" s="15">
        <f t="shared" si="2"/>
        <v>-0.416666666666667</v>
      </c>
      <c r="M31" s="15">
        <f t="shared" si="3"/>
        <v>-0.269999999999994</v>
      </c>
      <c r="N31" s="15">
        <f t="shared" si="4"/>
        <v>-0.302222222222228</v>
      </c>
      <c r="O31">
        <f t="shared" si="5"/>
        <v>50</v>
      </c>
      <c r="P31">
        <f t="shared" si="6"/>
        <v>66.6666666666667</v>
      </c>
    </row>
    <row r="32" customHeight="1" spans="1:16">
      <c r="A32" s="15" t="s">
        <v>51</v>
      </c>
      <c r="B32" s="16">
        <v>500</v>
      </c>
      <c r="C32" s="16">
        <v>600</v>
      </c>
      <c r="D32" s="16">
        <v>600</v>
      </c>
      <c r="E32" s="15">
        <f t="shared" si="0"/>
        <v>600</v>
      </c>
      <c r="F32" s="17">
        <v>100</v>
      </c>
      <c r="G32" s="15">
        <f t="shared" si="1"/>
        <v>60</v>
      </c>
      <c r="H32" s="18">
        <v>0.005</v>
      </c>
      <c r="I32" s="15">
        <v>59.749</v>
      </c>
      <c r="J32" s="15">
        <v>59.875</v>
      </c>
      <c r="K32" s="15">
        <v>59.825</v>
      </c>
      <c r="L32" s="15">
        <f t="shared" si="2"/>
        <v>-0.418333333333329</v>
      </c>
      <c r="M32" s="15">
        <f t="shared" si="3"/>
        <v>-0.208333333333333</v>
      </c>
      <c r="N32" s="15">
        <f t="shared" si="4"/>
        <v>-0.291666666666662</v>
      </c>
      <c r="O32">
        <f t="shared" si="5"/>
        <v>50</v>
      </c>
      <c r="P32">
        <f t="shared" si="6"/>
        <v>100</v>
      </c>
    </row>
    <row r="33" customHeight="1" spans="1:16">
      <c r="A33" s="15" t="s">
        <v>24</v>
      </c>
      <c r="B33" s="16">
        <v>800</v>
      </c>
      <c r="C33" s="16">
        <v>0.4</v>
      </c>
      <c r="D33" s="16">
        <v>0.4</v>
      </c>
      <c r="E33" s="15">
        <f t="shared" si="0"/>
        <v>0.64</v>
      </c>
      <c r="F33" s="17">
        <v>1000</v>
      </c>
      <c r="G33" s="15">
        <f t="shared" si="1"/>
        <v>5625</v>
      </c>
      <c r="H33" s="18">
        <v>0.005</v>
      </c>
      <c r="I33" s="15">
        <v>5570.554</v>
      </c>
      <c r="J33" s="15">
        <v>5784.792</v>
      </c>
      <c r="K33" s="15">
        <v>5656.498</v>
      </c>
      <c r="L33" s="15">
        <f t="shared" si="2"/>
        <v>-0.967928888888887</v>
      </c>
      <c r="M33" s="15">
        <f t="shared" si="3"/>
        <v>2.84074666666667</v>
      </c>
      <c r="N33" s="15">
        <f t="shared" si="4"/>
        <v>0.559964444444437</v>
      </c>
      <c r="O33">
        <f t="shared" si="5"/>
        <v>80</v>
      </c>
      <c r="P33">
        <f t="shared" si="6"/>
        <v>0.0666666666666667</v>
      </c>
    </row>
    <row r="34" customHeight="1" spans="1:16">
      <c r="A34" s="15" t="s">
        <v>25</v>
      </c>
      <c r="B34" s="16">
        <v>800</v>
      </c>
      <c r="C34" s="16">
        <v>1.5</v>
      </c>
      <c r="D34" s="16">
        <v>1.5</v>
      </c>
      <c r="E34" s="15">
        <f t="shared" si="0"/>
        <v>2.4</v>
      </c>
      <c r="F34" s="17">
        <v>1000</v>
      </c>
      <c r="G34" s="15">
        <f t="shared" si="1"/>
        <v>1500</v>
      </c>
      <c r="H34" s="18">
        <v>0.005</v>
      </c>
      <c r="I34" s="15">
        <v>1491.511</v>
      </c>
      <c r="J34" s="15">
        <v>1503.511</v>
      </c>
      <c r="K34" s="15">
        <v>1496.262</v>
      </c>
      <c r="L34" s="15">
        <f t="shared" si="2"/>
        <v>-0.565933333333336</v>
      </c>
      <c r="M34" s="15">
        <f t="shared" si="3"/>
        <v>0.234066666666665</v>
      </c>
      <c r="N34" s="15">
        <f t="shared" si="4"/>
        <v>-0.249200000000004</v>
      </c>
      <c r="O34">
        <f t="shared" si="5"/>
        <v>80</v>
      </c>
      <c r="P34">
        <f t="shared" si="6"/>
        <v>0.25</v>
      </c>
    </row>
    <row r="35" customHeight="1" spans="1:16">
      <c r="A35" s="15" t="s">
        <v>26</v>
      </c>
      <c r="B35" s="16">
        <v>800</v>
      </c>
      <c r="C35" s="16">
        <v>3</v>
      </c>
      <c r="D35" s="16">
        <v>3</v>
      </c>
      <c r="E35" s="15">
        <f t="shared" si="0"/>
        <v>4.8</v>
      </c>
      <c r="F35" s="17">
        <v>1000</v>
      </c>
      <c r="G35" s="15">
        <f t="shared" si="1"/>
        <v>750</v>
      </c>
      <c r="H35" s="18">
        <v>0.005</v>
      </c>
      <c r="I35" s="15">
        <v>747.754</v>
      </c>
      <c r="J35" s="15">
        <v>750.505</v>
      </c>
      <c r="K35" s="15">
        <v>749.085</v>
      </c>
      <c r="L35" s="15">
        <f t="shared" si="2"/>
        <v>-0.299466666666664</v>
      </c>
      <c r="M35" s="15">
        <f t="shared" si="3"/>
        <v>0.0673333333333327</v>
      </c>
      <c r="N35" s="15">
        <f t="shared" si="4"/>
        <v>-0.121999999999995</v>
      </c>
      <c r="O35">
        <f t="shared" si="5"/>
        <v>80</v>
      </c>
      <c r="P35">
        <f t="shared" si="6"/>
        <v>0.5</v>
      </c>
    </row>
    <row r="36" customHeight="1" spans="1:16">
      <c r="A36" s="15" t="s">
        <v>27</v>
      </c>
      <c r="B36" s="16">
        <v>800</v>
      </c>
      <c r="C36" s="16">
        <v>5</v>
      </c>
      <c r="D36" s="16">
        <v>5</v>
      </c>
      <c r="E36" s="15">
        <f t="shared" ref="E36:E54" si="7">B36*C36*0.001+B36*D36*0.001</f>
        <v>8</v>
      </c>
      <c r="F36" s="17">
        <v>1000</v>
      </c>
      <c r="G36" s="15">
        <f t="shared" ref="G36:G54" si="8">1/F36/E36*3600000</f>
        <v>450</v>
      </c>
      <c r="H36" s="18">
        <v>0.005</v>
      </c>
      <c r="I36" s="15">
        <v>448.003</v>
      </c>
      <c r="J36" s="15">
        <v>449.762</v>
      </c>
      <c r="K36" s="15">
        <v>449.097</v>
      </c>
      <c r="L36" s="15">
        <f t="shared" ref="L36:L54" si="9">(I36-G36)/G36*100</f>
        <v>-0.443777777777781</v>
      </c>
      <c r="M36" s="15">
        <f t="shared" ref="M36:M54" si="10">(J36-G36)/G36*100</f>
        <v>-0.0528888888888888</v>
      </c>
      <c r="N36" s="15">
        <f t="shared" ref="N36:N54" si="11">(K36-G36)/G36*100</f>
        <v>-0.200666666666671</v>
      </c>
      <c r="O36">
        <f t="shared" ref="O36:O54" si="12">B36/1000*100</f>
        <v>80</v>
      </c>
      <c r="P36">
        <f t="shared" ref="P36:P54" si="13">C36/600*100</f>
        <v>0.833333333333333</v>
      </c>
    </row>
    <row r="37" customHeight="1" spans="1:16">
      <c r="A37" s="15" t="s">
        <v>28</v>
      </c>
      <c r="B37" s="16">
        <v>800</v>
      </c>
      <c r="C37" s="16">
        <v>8</v>
      </c>
      <c r="D37" s="16">
        <v>8</v>
      </c>
      <c r="E37" s="15">
        <f t="shared" si="7"/>
        <v>12.8</v>
      </c>
      <c r="F37" s="17">
        <v>1000</v>
      </c>
      <c r="G37" s="15">
        <f t="shared" si="8"/>
        <v>281.25</v>
      </c>
      <c r="H37" s="18">
        <v>0.005</v>
      </c>
      <c r="I37" s="15">
        <v>280.002</v>
      </c>
      <c r="J37" s="15">
        <v>281.251</v>
      </c>
      <c r="K37" s="15">
        <v>280.846</v>
      </c>
      <c r="L37" s="15">
        <f t="shared" si="9"/>
        <v>-0.44373333333333</v>
      </c>
      <c r="M37" s="15">
        <f t="shared" si="10"/>
        <v>0.000355555555547148</v>
      </c>
      <c r="N37" s="15">
        <f t="shared" si="11"/>
        <v>-0.143644444444443</v>
      </c>
      <c r="O37">
        <f t="shared" si="12"/>
        <v>80</v>
      </c>
      <c r="P37">
        <f t="shared" si="13"/>
        <v>1.33333333333333</v>
      </c>
    </row>
    <row r="38" customHeight="1" spans="1:16">
      <c r="A38" s="15" t="s">
        <v>29</v>
      </c>
      <c r="B38" s="16">
        <v>800</v>
      </c>
      <c r="C38" s="16">
        <v>10</v>
      </c>
      <c r="D38" s="16">
        <v>10</v>
      </c>
      <c r="E38" s="15">
        <f t="shared" si="7"/>
        <v>16</v>
      </c>
      <c r="F38" s="17">
        <v>100</v>
      </c>
      <c r="G38" s="15">
        <f t="shared" si="8"/>
        <v>2250</v>
      </c>
      <c r="H38" s="18">
        <v>0.005</v>
      </c>
      <c r="I38" s="15">
        <v>2252.767</v>
      </c>
      <c r="J38" s="15">
        <v>2261.017</v>
      </c>
      <c r="K38" s="15">
        <v>2257.81</v>
      </c>
      <c r="L38" s="15">
        <f t="shared" si="9"/>
        <v>0.12297777777777</v>
      </c>
      <c r="M38" s="15">
        <f t="shared" si="10"/>
        <v>0.489644444444437</v>
      </c>
      <c r="N38" s="15">
        <f t="shared" si="11"/>
        <v>0.347111111111109</v>
      </c>
      <c r="O38">
        <f t="shared" si="12"/>
        <v>80</v>
      </c>
      <c r="P38">
        <f t="shared" si="13"/>
        <v>1.66666666666667</v>
      </c>
    </row>
    <row r="39" customHeight="1" spans="1:16">
      <c r="A39" s="15" t="s">
        <v>52</v>
      </c>
      <c r="B39" s="16">
        <v>800</v>
      </c>
      <c r="C39" s="16">
        <v>50</v>
      </c>
      <c r="D39" s="16">
        <v>50</v>
      </c>
      <c r="E39" s="15">
        <f t="shared" si="7"/>
        <v>80</v>
      </c>
      <c r="F39" s="17">
        <v>100</v>
      </c>
      <c r="G39" s="15">
        <f t="shared" si="8"/>
        <v>450</v>
      </c>
      <c r="H39" s="18">
        <v>0.005</v>
      </c>
      <c r="I39" s="15">
        <v>449.003</v>
      </c>
      <c r="J39" s="15">
        <v>449.254</v>
      </c>
      <c r="K39" s="15">
        <v>449.226</v>
      </c>
      <c r="L39" s="15">
        <f t="shared" si="9"/>
        <v>-0.221555555555559</v>
      </c>
      <c r="M39" s="15">
        <f t="shared" si="10"/>
        <v>-0.165777777777774</v>
      </c>
      <c r="N39" s="15">
        <f t="shared" si="11"/>
        <v>-0.172</v>
      </c>
      <c r="O39">
        <f t="shared" si="12"/>
        <v>80</v>
      </c>
      <c r="P39">
        <f t="shared" si="13"/>
        <v>8.33333333333333</v>
      </c>
    </row>
    <row r="40" customHeight="1" spans="1:16">
      <c r="A40" s="15" t="s">
        <v>53</v>
      </c>
      <c r="B40" s="16">
        <v>800</v>
      </c>
      <c r="C40" s="16">
        <v>100</v>
      </c>
      <c r="D40" s="16">
        <v>100</v>
      </c>
      <c r="E40" s="15">
        <f t="shared" si="7"/>
        <v>160</v>
      </c>
      <c r="F40" s="17">
        <v>100</v>
      </c>
      <c r="G40" s="15">
        <f t="shared" si="8"/>
        <v>225</v>
      </c>
      <c r="H40" s="18">
        <v>0.005</v>
      </c>
      <c r="I40" s="15">
        <v>224.238</v>
      </c>
      <c r="J40" s="15">
        <v>224.516</v>
      </c>
      <c r="K40" s="15">
        <v>224.471</v>
      </c>
      <c r="L40" s="15">
        <f t="shared" si="9"/>
        <v>-0.338666666666667</v>
      </c>
      <c r="M40" s="15">
        <f t="shared" si="10"/>
        <v>-0.215111111111115</v>
      </c>
      <c r="N40" s="15">
        <f t="shared" si="11"/>
        <v>-0.235111111111109</v>
      </c>
      <c r="O40">
        <f t="shared" si="12"/>
        <v>80</v>
      </c>
      <c r="P40">
        <f t="shared" si="13"/>
        <v>16.6666666666667</v>
      </c>
    </row>
    <row r="41" customHeight="1" spans="1:16">
      <c r="A41" s="15" t="s">
        <v>54</v>
      </c>
      <c r="B41" s="16">
        <v>800</v>
      </c>
      <c r="C41" s="16">
        <v>400</v>
      </c>
      <c r="D41" s="16">
        <v>400</v>
      </c>
      <c r="E41" s="15">
        <f t="shared" si="7"/>
        <v>640</v>
      </c>
      <c r="F41" s="17">
        <v>100</v>
      </c>
      <c r="G41" s="15">
        <f t="shared" si="8"/>
        <v>56.25</v>
      </c>
      <c r="H41" s="18">
        <v>0.005</v>
      </c>
      <c r="I41" s="15">
        <v>55.999</v>
      </c>
      <c r="J41" s="15">
        <v>56.125</v>
      </c>
      <c r="K41" s="15">
        <v>56.083</v>
      </c>
      <c r="L41" s="15">
        <f t="shared" si="9"/>
        <v>-0.446222222222218</v>
      </c>
      <c r="M41" s="15">
        <f t="shared" si="10"/>
        <v>-0.222222222222222</v>
      </c>
      <c r="N41" s="15">
        <f t="shared" si="11"/>
        <v>-0.296888888888892</v>
      </c>
      <c r="O41">
        <f t="shared" si="12"/>
        <v>80</v>
      </c>
      <c r="P41">
        <f t="shared" si="13"/>
        <v>66.6666666666667</v>
      </c>
    </row>
    <row r="42" customHeight="1" spans="1:16">
      <c r="A42" s="15" t="s">
        <v>55</v>
      </c>
      <c r="B42" s="16">
        <v>800</v>
      </c>
      <c r="C42" s="16">
        <v>600</v>
      </c>
      <c r="D42" s="16">
        <v>600</v>
      </c>
      <c r="E42" s="15">
        <f t="shared" si="7"/>
        <v>960</v>
      </c>
      <c r="F42" s="17">
        <v>10</v>
      </c>
      <c r="G42" s="15">
        <f t="shared" si="8"/>
        <v>375</v>
      </c>
      <c r="H42" s="18">
        <v>0.005</v>
      </c>
      <c r="I42" s="15">
        <v>373.752</v>
      </c>
      <c r="J42" s="15">
        <v>374.264</v>
      </c>
      <c r="K42" s="15">
        <v>374.025</v>
      </c>
      <c r="L42" s="15">
        <f t="shared" si="9"/>
        <v>-0.332799999999997</v>
      </c>
      <c r="M42" s="15">
        <f t="shared" si="10"/>
        <v>-0.196266666666664</v>
      </c>
      <c r="N42" s="15">
        <f t="shared" si="11"/>
        <v>-0.260000000000006</v>
      </c>
      <c r="O42">
        <f t="shared" si="12"/>
        <v>80</v>
      </c>
      <c r="P42">
        <f t="shared" si="13"/>
        <v>100</v>
      </c>
    </row>
    <row r="43" customHeight="1" spans="1:17">
      <c r="A43" s="15" t="s">
        <v>30</v>
      </c>
      <c r="B43" s="16">
        <v>1000</v>
      </c>
      <c r="C43" s="16">
        <v>0.4</v>
      </c>
      <c r="D43" s="16">
        <v>0.4</v>
      </c>
      <c r="E43" s="15">
        <f t="shared" si="7"/>
        <v>0.8</v>
      </c>
      <c r="F43" s="17">
        <v>100</v>
      </c>
      <c r="G43" s="15">
        <f t="shared" si="8"/>
        <v>45000</v>
      </c>
      <c r="H43" s="18">
        <v>0.005</v>
      </c>
      <c r="I43" s="15">
        <v>1450.15</v>
      </c>
      <c r="J43" s="15">
        <v>1828.386</v>
      </c>
      <c r="K43" s="15">
        <v>1596.563</v>
      </c>
      <c r="L43" s="15">
        <f t="shared" si="9"/>
        <v>-96.7774444444444</v>
      </c>
      <c r="M43" s="15">
        <f t="shared" si="10"/>
        <v>-95.93692</v>
      </c>
      <c r="N43" s="15">
        <f t="shared" si="11"/>
        <v>-96.4520822222222</v>
      </c>
      <c r="O43">
        <f t="shared" si="12"/>
        <v>100</v>
      </c>
      <c r="P43">
        <f t="shared" si="13"/>
        <v>0.0666666666666667</v>
      </c>
      <c r="Q43">
        <v>0.0666666666666667</v>
      </c>
    </row>
    <row r="44" customHeight="1" spans="1:17">
      <c r="A44" s="15" t="s">
        <v>31</v>
      </c>
      <c r="B44" s="16">
        <v>1000</v>
      </c>
      <c r="C44" s="16">
        <v>1.5</v>
      </c>
      <c r="D44" s="16">
        <v>1.5</v>
      </c>
      <c r="E44" s="15">
        <f t="shared" si="7"/>
        <v>3</v>
      </c>
      <c r="F44" s="17">
        <v>100</v>
      </c>
      <c r="G44" s="15">
        <f t="shared" si="8"/>
        <v>12000</v>
      </c>
      <c r="H44" s="18">
        <v>0.005</v>
      </c>
      <c r="I44" s="15">
        <v>11920.337</v>
      </c>
      <c r="J44" s="15">
        <v>11964.088</v>
      </c>
      <c r="K44" s="15">
        <v>11940.294</v>
      </c>
      <c r="L44" s="15">
        <f t="shared" si="9"/>
        <v>-0.663858333333337</v>
      </c>
      <c r="M44" s="15">
        <f t="shared" si="10"/>
        <v>-0.299266666666669</v>
      </c>
      <c r="N44" s="15">
        <f t="shared" si="11"/>
        <v>-0.497550000000001</v>
      </c>
      <c r="O44">
        <f t="shared" si="12"/>
        <v>100</v>
      </c>
      <c r="P44">
        <f t="shared" si="13"/>
        <v>0.25</v>
      </c>
      <c r="Q44">
        <v>0.25</v>
      </c>
    </row>
    <row r="45" customHeight="1" spans="1:17">
      <c r="A45" s="15" t="s">
        <v>32</v>
      </c>
      <c r="B45" s="16">
        <v>1000</v>
      </c>
      <c r="C45" s="16">
        <v>3</v>
      </c>
      <c r="D45" s="16">
        <v>3</v>
      </c>
      <c r="E45" s="15">
        <f t="shared" si="7"/>
        <v>6</v>
      </c>
      <c r="F45" s="17">
        <v>100</v>
      </c>
      <c r="G45" s="15">
        <f t="shared" si="8"/>
        <v>6000</v>
      </c>
      <c r="H45" s="18">
        <v>0.005</v>
      </c>
      <c r="I45" s="15">
        <v>5979.294</v>
      </c>
      <c r="J45" s="15">
        <v>5989.293</v>
      </c>
      <c r="K45" s="15">
        <v>5984.108</v>
      </c>
      <c r="L45" s="15">
        <f t="shared" si="9"/>
        <v>-0.345100000000002</v>
      </c>
      <c r="M45" s="15">
        <f t="shared" si="10"/>
        <v>-0.178450000000006</v>
      </c>
      <c r="N45" s="15">
        <f t="shared" si="11"/>
        <v>-0.264866666666664</v>
      </c>
      <c r="O45">
        <f t="shared" si="12"/>
        <v>100</v>
      </c>
      <c r="P45">
        <f t="shared" si="13"/>
        <v>0.5</v>
      </c>
      <c r="Q45">
        <v>0.5</v>
      </c>
    </row>
    <row r="46" customHeight="1" spans="1:17">
      <c r="A46" s="15" t="s">
        <v>33</v>
      </c>
      <c r="B46" s="16">
        <v>1000</v>
      </c>
      <c r="C46" s="16">
        <v>5</v>
      </c>
      <c r="D46" s="16">
        <v>5</v>
      </c>
      <c r="E46" s="15">
        <f t="shared" si="7"/>
        <v>10</v>
      </c>
      <c r="F46" s="17">
        <v>100</v>
      </c>
      <c r="G46" s="15">
        <f t="shared" si="8"/>
        <v>3600</v>
      </c>
      <c r="H46" s="18">
        <v>0.005</v>
      </c>
      <c r="I46" s="15">
        <v>3589.025</v>
      </c>
      <c r="J46" s="15">
        <v>3593.025</v>
      </c>
      <c r="K46" s="15">
        <v>3591.207</v>
      </c>
      <c r="L46" s="15">
        <f t="shared" si="9"/>
        <v>-0.304861111111109</v>
      </c>
      <c r="M46" s="15">
        <f t="shared" si="10"/>
        <v>-0.193749999999997</v>
      </c>
      <c r="N46" s="15">
        <f t="shared" si="11"/>
        <v>-0.244250000000003</v>
      </c>
      <c r="O46">
        <f t="shared" si="12"/>
        <v>100</v>
      </c>
      <c r="P46">
        <f t="shared" si="13"/>
        <v>0.833333333333333</v>
      </c>
      <c r="Q46">
        <v>0.833333333333333</v>
      </c>
    </row>
    <row r="47" customHeight="1" spans="1:17">
      <c r="A47" s="15" t="s">
        <v>34</v>
      </c>
      <c r="B47" s="16">
        <v>1000</v>
      </c>
      <c r="C47" s="16">
        <v>8</v>
      </c>
      <c r="D47" s="16">
        <v>8</v>
      </c>
      <c r="E47" s="15">
        <f t="shared" si="7"/>
        <v>16</v>
      </c>
      <c r="F47" s="17">
        <v>100</v>
      </c>
      <c r="G47" s="15">
        <f t="shared" si="8"/>
        <v>2250</v>
      </c>
      <c r="H47" s="18">
        <v>0.005</v>
      </c>
      <c r="I47" s="15">
        <v>2244.016</v>
      </c>
      <c r="J47" s="15">
        <v>2246.505</v>
      </c>
      <c r="K47" s="15">
        <v>2245.058</v>
      </c>
      <c r="L47" s="15">
        <f t="shared" si="9"/>
        <v>-0.265955555555552</v>
      </c>
      <c r="M47" s="15">
        <f t="shared" si="10"/>
        <v>-0.155333333333328</v>
      </c>
      <c r="N47" s="15">
        <f t="shared" si="11"/>
        <v>-0.219644444444445</v>
      </c>
      <c r="O47">
        <f t="shared" si="12"/>
        <v>100</v>
      </c>
      <c r="P47">
        <f t="shared" si="13"/>
        <v>1.33333333333333</v>
      </c>
      <c r="Q47">
        <v>1.33333333333333</v>
      </c>
    </row>
    <row r="48" customHeight="1" spans="1:17">
      <c r="A48" s="15" t="s">
        <v>35</v>
      </c>
      <c r="B48" s="16">
        <v>1000</v>
      </c>
      <c r="C48" s="16">
        <v>10</v>
      </c>
      <c r="D48" s="16">
        <v>10</v>
      </c>
      <c r="E48" s="15">
        <f t="shared" si="7"/>
        <v>20</v>
      </c>
      <c r="F48" s="17">
        <v>100</v>
      </c>
      <c r="G48" s="15">
        <f t="shared" si="8"/>
        <v>1800</v>
      </c>
      <c r="H48" s="18">
        <v>0.005</v>
      </c>
      <c r="I48" s="15">
        <v>1795.502</v>
      </c>
      <c r="J48" s="15">
        <v>1797.263</v>
      </c>
      <c r="K48" s="15">
        <v>1796.533</v>
      </c>
      <c r="L48" s="15">
        <f t="shared" si="9"/>
        <v>-0.249888888888891</v>
      </c>
      <c r="M48" s="15">
        <f t="shared" si="10"/>
        <v>-0.15205555555556</v>
      </c>
      <c r="N48" s="15">
        <f t="shared" si="11"/>
        <v>-0.192611111111117</v>
      </c>
      <c r="O48">
        <f t="shared" si="12"/>
        <v>100</v>
      </c>
      <c r="P48">
        <f t="shared" si="13"/>
        <v>1.66666666666667</v>
      </c>
      <c r="Q48">
        <v>1.66666666666667</v>
      </c>
    </row>
    <row r="49" customHeight="1" spans="1:17">
      <c r="A49" s="15" t="s">
        <v>56</v>
      </c>
      <c r="B49" s="16">
        <v>1000</v>
      </c>
      <c r="C49" s="16">
        <v>50</v>
      </c>
      <c r="D49" s="16">
        <v>50</v>
      </c>
      <c r="E49" s="15">
        <f t="shared" si="7"/>
        <v>100</v>
      </c>
      <c r="F49" s="17">
        <v>100</v>
      </c>
      <c r="G49" s="15">
        <f t="shared" si="8"/>
        <v>360</v>
      </c>
      <c r="H49" s="18">
        <v>0.005</v>
      </c>
      <c r="I49" s="15">
        <v>359.241</v>
      </c>
      <c r="J49" s="15">
        <v>359.753</v>
      </c>
      <c r="K49" s="15">
        <v>359.451</v>
      </c>
      <c r="L49" s="15">
        <f t="shared" si="9"/>
        <v>-0.210833333333337</v>
      </c>
      <c r="M49" s="15">
        <f t="shared" si="10"/>
        <v>-0.068611111111115</v>
      </c>
      <c r="N49" s="15">
        <f t="shared" si="11"/>
        <v>-0.152499999999994</v>
      </c>
      <c r="O49">
        <f t="shared" si="12"/>
        <v>100</v>
      </c>
      <c r="P49">
        <f t="shared" si="13"/>
        <v>8.33333333333333</v>
      </c>
      <c r="Q49">
        <v>8.33333333333333</v>
      </c>
    </row>
    <row r="50" customHeight="1" spans="1:17">
      <c r="A50" s="15" t="s">
        <v>57</v>
      </c>
      <c r="B50" s="16">
        <v>1000</v>
      </c>
      <c r="C50" s="16">
        <v>100</v>
      </c>
      <c r="D50" s="16">
        <v>100</v>
      </c>
      <c r="E50" s="15">
        <f t="shared" si="7"/>
        <v>200</v>
      </c>
      <c r="F50" s="17">
        <v>100</v>
      </c>
      <c r="G50" s="15">
        <f t="shared" si="8"/>
        <v>180</v>
      </c>
      <c r="H50" s="18">
        <v>0.005</v>
      </c>
      <c r="I50" s="15">
        <v>179.501</v>
      </c>
      <c r="J50" s="15">
        <v>179.752</v>
      </c>
      <c r="K50" s="15">
        <v>179.723</v>
      </c>
      <c r="L50" s="15">
        <f t="shared" si="9"/>
        <v>-0.27722222222222</v>
      </c>
      <c r="M50" s="15">
        <f t="shared" si="10"/>
        <v>-0.137777777777772</v>
      </c>
      <c r="N50" s="15">
        <f t="shared" si="11"/>
        <v>-0.153888888888882</v>
      </c>
      <c r="O50">
        <f t="shared" si="12"/>
        <v>100</v>
      </c>
      <c r="P50">
        <f t="shared" si="13"/>
        <v>16.6666666666667</v>
      </c>
      <c r="Q50">
        <v>16.6666666666667</v>
      </c>
    </row>
    <row r="51" customHeight="1" spans="1:17">
      <c r="A51" s="15" t="s">
        <v>58</v>
      </c>
      <c r="B51" s="16">
        <v>1000</v>
      </c>
      <c r="C51" s="16">
        <v>400</v>
      </c>
      <c r="D51" s="16">
        <v>400</v>
      </c>
      <c r="E51" s="15">
        <f t="shared" si="7"/>
        <v>800</v>
      </c>
      <c r="F51" s="17">
        <v>10</v>
      </c>
      <c r="G51" s="15">
        <f t="shared" si="8"/>
        <v>450</v>
      </c>
      <c r="H51" s="18">
        <v>0.005</v>
      </c>
      <c r="I51" s="15">
        <v>448.752</v>
      </c>
      <c r="J51" s="15">
        <v>449.004</v>
      </c>
      <c r="K51" s="15">
        <v>448.974</v>
      </c>
      <c r="L51" s="15">
        <f t="shared" si="9"/>
        <v>-0.277333333333331</v>
      </c>
      <c r="M51" s="15">
        <f t="shared" si="10"/>
        <v>-0.221333333333329</v>
      </c>
      <c r="N51" s="15">
        <f t="shared" si="11"/>
        <v>-0.228000000000002</v>
      </c>
      <c r="O51">
        <f t="shared" si="12"/>
        <v>100</v>
      </c>
      <c r="P51">
        <f t="shared" si="13"/>
        <v>66.6666666666667</v>
      </c>
      <c r="Q51">
        <v>66.6666666666667</v>
      </c>
    </row>
    <row r="52" customHeight="1" spans="1:17">
      <c r="A52" s="15" t="s">
        <v>59</v>
      </c>
      <c r="B52" s="16">
        <v>1000</v>
      </c>
      <c r="C52" s="16">
        <v>600</v>
      </c>
      <c r="D52" s="16">
        <v>600</v>
      </c>
      <c r="E52" s="15">
        <f t="shared" si="7"/>
        <v>1200</v>
      </c>
      <c r="F52" s="17">
        <v>10</v>
      </c>
      <c r="G52" s="15">
        <f t="shared" si="8"/>
        <v>300</v>
      </c>
      <c r="H52" s="18">
        <v>0.005</v>
      </c>
      <c r="I52" s="15">
        <v>299</v>
      </c>
      <c r="J52" s="15">
        <v>299.253</v>
      </c>
      <c r="K52" s="15">
        <v>299.214</v>
      </c>
      <c r="L52" s="15">
        <f t="shared" si="9"/>
        <v>-0.333333333333352</v>
      </c>
      <c r="M52" s="15">
        <f t="shared" si="10"/>
        <v>-0.249000000000024</v>
      </c>
      <c r="N52" s="15">
        <f t="shared" si="11"/>
        <v>-0.262000000000019</v>
      </c>
      <c r="O52">
        <f t="shared" si="12"/>
        <v>100</v>
      </c>
      <c r="P52">
        <f t="shared" si="13"/>
        <v>100</v>
      </c>
      <c r="Q52">
        <v>100</v>
      </c>
    </row>
    <row r="53" customHeight="1" spans="1:17">
      <c r="A53" s="15" t="s">
        <v>73</v>
      </c>
      <c r="B53" s="16">
        <v>1000</v>
      </c>
      <c r="C53" s="16">
        <v>0.4</v>
      </c>
      <c r="D53" s="16">
        <v>0.4</v>
      </c>
      <c r="E53" s="15">
        <f t="shared" si="7"/>
        <v>0.8</v>
      </c>
      <c r="F53" s="17">
        <v>5000</v>
      </c>
      <c r="G53" s="15">
        <f t="shared" si="8"/>
        <v>900</v>
      </c>
      <c r="H53" s="18">
        <v>0.005</v>
      </c>
      <c r="I53" s="15">
        <v>833.246</v>
      </c>
      <c r="J53" s="15">
        <v>897.256</v>
      </c>
      <c r="K53" s="15">
        <v>868.997</v>
      </c>
      <c r="L53" s="15">
        <f t="shared" si="9"/>
        <v>-7.41711111111111</v>
      </c>
      <c r="M53" s="15">
        <f t="shared" si="10"/>
        <v>-0.304888888888892</v>
      </c>
      <c r="N53" s="15">
        <f t="shared" si="11"/>
        <v>-3.44477777777778</v>
      </c>
      <c r="O53">
        <f t="shared" si="12"/>
        <v>100</v>
      </c>
      <c r="P53">
        <f t="shared" si="13"/>
        <v>0.0666666666666667</v>
      </c>
      <c r="Q53">
        <v>0.0666666666666667</v>
      </c>
    </row>
    <row r="54" customHeight="1" spans="1:17">
      <c r="A54" s="15" t="s">
        <v>74</v>
      </c>
      <c r="B54" s="16">
        <v>1000</v>
      </c>
      <c r="C54" s="16">
        <v>1.5</v>
      </c>
      <c r="D54" s="16">
        <v>1.5</v>
      </c>
      <c r="E54" s="15">
        <f t="shared" si="7"/>
        <v>3</v>
      </c>
      <c r="F54" s="17">
        <v>5000</v>
      </c>
      <c r="G54" s="15">
        <f t="shared" si="8"/>
        <v>240</v>
      </c>
      <c r="H54" s="18">
        <v>0.005</v>
      </c>
      <c r="I54" s="15">
        <v>238</v>
      </c>
      <c r="J54" s="15">
        <v>243.49</v>
      </c>
      <c r="K54" s="15">
        <v>240.485</v>
      </c>
      <c r="L54" s="15">
        <f t="shared" si="9"/>
        <v>-0.833333333333333</v>
      </c>
      <c r="M54" s="15">
        <f t="shared" si="10"/>
        <v>1.45416666666667</v>
      </c>
      <c r="N54" s="15">
        <f t="shared" si="11"/>
        <v>0.202083333333339</v>
      </c>
      <c r="O54">
        <f t="shared" si="12"/>
        <v>100</v>
      </c>
      <c r="P54">
        <f t="shared" si="13"/>
        <v>0.25</v>
      </c>
      <c r="Q54">
        <v>0.25</v>
      </c>
    </row>
  </sheetData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topLeftCell="A15" workbookViewId="0">
      <selection activeCell="S7" sqref="S7"/>
    </sheetView>
  </sheetViews>
  <sheetFormatPr defaultColWidth="8.88888888888889" defaultRowHeight="14.4"/>
  <cols>
    <col min="15" max="15" width="12.8888888888889"/>
  </cols>
  <sheetData>
    <row r="1" spans="1:14">
      <c r="A1" s="5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8.8" spans="1:14">
      <c r="A2" s="6" t="s">
        <v>0</v>
      </c>
      <c r="B2" s="6" t="s">
        <v>1</v>
      </c>
      <c r="C2" s="6" t="s">
        <v>2</v>
      </c>
      <c r="D2" s="6" t="s">
        <v>3</v>
      </c>
      <c r="E2" s="7" t="s">
        <v>61</v>
      </c>
      <c r="F2" s="8" t="s">
        <v>62</v>
      </c>
      <c r="G2" s="9" t="s">
        <v>63</v>
      </c>
      <c r="H2" s="10" t="s">
        <v>64</v>
      </c>
      <c r="I2" s="9" t="s">
        <v>65</v>
      </c>
      <c r="J2" s="9" t="s">
        <v>66</v>
      </c>
      <c r="K2" s="9" t="s">
        <v>67</v>
      </c>
      <c r="L2" s="9" t="s">
        <v>68</v>
      </c>
      <c r="M2" s="9" t="s">
        <v>69</v>
      </c>
      <c r="N2" s="9" t="s">
        <v>70</v>
      </c>
    </row>
    <row r="3" spans="1:14">
      <c r="A3" s="11" t="s">
        <v>10</v>
      </c>
      <c r="B3" s="12">
        <v>60</v>
      </c>
      <c r="C3" s="12">
        <v>0.4</v>
      </c>
      <c r="D3" s="12">
        <v>0.4</v>
      </c>
      <c r="E3" s="11">
        <f t="shared" ref="E3:E54" si="0">B3*C3*0.001+B3*D3*0.001</f>
        <v>0.048</v>
      </c>
      <c r="F3" s="13">
        <v>5000</v>
      </c>
      <c r="G3" s="11">
        <f t="shared" ref="G3:G54" si="1">1/F3/E3*3600000</f>
        <v>15000</v>
      </c>
      <c r="H3" s="14">
        <v>0.005</v>
      </c>
      <c r="I3" s="11">
        <v>565.299</v>
      </c>
      <c r="J3" s="11">
        <v>712.299</v>
      </c>
      <c r="K3" s="11">
        <v>633.653</v>
      </c>
      <c r="L3" s="19">
        <f t="shared" ref="L3:L54" si="2">(I3-G3)/G3*100</f>
        <v>-96.23134</v>
      </c>
      <c r="M3" s="19">
        <f t="shared" ref="M3:M54" si="3">(J3-G3)/G3*100</f>
        <v>-95.25134</v>
      </c>
      <c r="N3" s="19">
        <f t="shared" ref="N3:N54" si="4">(K3-G3)/G3*100</f>
        <v>-95.7756466666667</v>
      </c>
    </row>
    <row r="4" spans="1:14">
      <c r="A4" s="15" t="s">
        <v>11</v>
      </c>
      <c r="B4" s="16">
        <v>60</v>
      </c>
      <c r="C4" s="16">
        <v>1.5</v>
      </c>
      <c r="D4" s="16">
        <v>1.5</v>
      </c>
      <c r="E4" s="15">
        <f t="shared" si="0"/>
        <v>0.18</v>
      </c>
      <c r="F4" s="17">
        <v>5000</v>
      </c>
      <c r="G4" s="15">
        <f t="shared" si="1"/>
        <v>4000</v>
      </c>
      <c r="H4" s="18">
        <v>0.005</v>
      </c>
      <c r="I4" s="15">
        <v>3984.536</v>
      </c>
      <c r="J4" s="15">
        <v>3998.779</v>
      </c>
      <c r="K4" s="15">
        <v>3992.58</v>
      </c>
      <c r="L4" s="15">
        <f t="shared" si="2"/>
        <v>-0.386599999999999</v>
      </c>
      <c r="M4" s="15">
        <f t="shared" si="3"/>
        <v>-0.0305250000000001</v>
      </c>
      <c r="N4" s="15">
        <f t="shared" si="4"/>
        <v>-0.185500000000002</v>
      </c>
    </row>
    <row r="5" spans="1:14">
      <c r="A5" s="15" t="s">
        <v>12</v>
      </c>
      <c r="B5" s="16">
        <v>60</v>
      </c>
      <c r="C5" s="16">
        <v>3</v>
      </c>
      <c r="D5" s="16">
        <v>3</v>
      </c>
      <c r="E5" s="15">
        <f t="shared" si="0"/>
        <v>0.36</v>
      </c>
      <c r="F5" s="17">
        <v>5000</v>
      </c>
      <c r="G5" s="15">
        <f t="shared" si="1"/>
        <v>2000</v>
      </c>
      <c r="H5" s="18">
        <v>0.005</v>
      </c>
      <c r="I5" s="15">
        <v>1995.254</v>
      </c>
      <c r="J5" s="15">
        <v>1999.765</v>
      </c>
      <c r="K5" s="15">
        <v>1998.049</v>
      </c>
      <c r="L5" s="15">
        <f t="shared" si="2"/>
        <v>-0.237300000000005</v>
      </c>
      <c r="M5" s="15">
        <f t="shared" si="3"/>
        <v>-0.011749999999995</v>
      </c>
      <c r="N5" s="15">
        <f t="shared" si="4"/>
        <v>-0.0975500000000011</v>
      </c>
    </row>
    <row r="6" spans="1:14">
      <c r="A6" s="15" t="s">
        <v>13</v>
      </c>
      <c r="B6" s="16">
        <v>60</v>
      </c>
      <c r="C6" s="16">
        <v>5</v>
      </c>
      <c r="D6" s="16">
        <v>5</v>
      </c>
      <c r="E6" s="15">
        <f t="shared" si="0"/>
        <v>0.6</v>
      </c>
      <c r="F6" s="17">
        <v>5000</v>
      </c>
      <c r="G6" s="15">
        <f t="shared" si="1"/>
        <v>1200</v>
      </c>
      <c r="H6" s="18">
        <v>0.005</v>
      </c>
      <c r="I6" s="15">
        <v>1197.258</v>
      </c>
      <c r="J6" s="15">
        <v>1200.258</v>
      </c>
      <c r="K6" s="15">
        <v>1198.615</v>
      </c>
      <c r="L6" s="15">
        <f t="shared" si="2"/>
        <v>-0.228500000000016</v>
      </c>
      <c r="M6" s="15">
        <f t="shared" si="3"/>
        <v>0.0214999999999842</v>
      </c>
      <c r="N6" s="15">
        <f t="shared" si="4"/>
        <v>-0.115416666666685</v>
      </c>
    </row>
    <row r="7" spans="1:14">
      <c r="A7" s="15" t="s">
        <v>14</v>
      </c>
      <c r="B7" s="16">
        <v>60</v>
      </c>
      <c r="C7" s="16">
        <v>8</v>
      </c>
      <c r="D7" s="16">
        <v>8</v>
      </c>
      <c r="E7" s="15">
        <f t="shared" si="0"/>
        <v>0.96</v>
      </c>
      <c r="F7" s="17">
        <v>5000</v>
      </c>
      <c r="G7" s="15">
        <f t="shared" si="1"/>
        <v>750</v>
      </c>
      <c r="H7" s="18">
        <v>0.005</v>
      </c>
      <c r="I7" s="15">
        <v>748.505</v>
      </c>
      <c r="J7" s="15">
        <v>749.515</v>
      </c>
      <c r="K7" s="15">
        <v>749.152</v>
      </c>
      <c r="L7" s="15">
        <f t="shared" si="2"/>
        <v>-0.199333333333334</v>
      </c>
      <c r="M7" s="15">
        <f t="shared" si="3"/>
        <v>-0.0646666666666685</v>
      </c>
      <c r="N7" s="15">
        <f t="shared" si="4"/>
        <v>-0.113066666666661</v>
      </c>
    </row>
    <row r="8" spans="1:14">
      <c r="A8" s="15" t="s">
        <v>36</v>
      </c>
      <c r="B8" s="16">
        <v>60</v>
      </c>
      <c r="C8" s="16">
        <v>10</v>
      </c>
      <c r="D8" s="16">
        <v>10</v>
      </c>
      <c r="E8" s="15">
        <f t="shared" si="0"/>
        <v>1.2</v>
      </c>
      <c r="F8" s="17">
        <v>1000</v>
      </c>
      <c r="G8" s="15">
        <f t="shared" si="1"/>
        <v>3000</v>
      </c>
      <c r="H8" s="18">
        <v>0.005</v>
      </c>
      <c r="I8" s="15">
        <v>2993.272</v>
      </c>
      <c r="J8" s="15">
        <v>3004.272</v>
      </c>
      <c r="K8" s="15">
        <v>2999.878</v>
      </c>
      <c r="L8" s="15">
        <f t="shared" si="2"/>
        <v>-0.224266666666669</v>
      </c>
      <c r="M8" s="15">
        <f t="shared" si="3"/>
        <v>0.142399999999998</v>
      </c>
      <c r="N8" s="15">
        <f t="shared" si="4"/>
        <v>-0.00406666666666145</v>
      </c>
    </row>
    <row r="9" spans="1:14">
      <c r="A9" s="15" t="s">
        <v>37</v>
      </c>
      <c r="B9" s="16">
        <v>60</v>
      </c>
      <c r="C9" s="16">
        <v>50</v>
      </c>
      <c r="D9" s="16">
        <v>50</v>
      </c>
      <c r="E9" s="15">
        <f t="shared" si="0"/>
        <v>6</v>
      </c>
      <c r="F9" s="17">
        <v>100</v>
      </c>
      <c r="G9" s="15">
        <f t="shared" si="1"/>
        <v>6000</v>
      </c>
      <c r="H9" s="18">
        <v>0.005</v>
      </c>
      <c r="I9" s="15">
        <v>5990.53</v>
      </c>
      <c r="J9" s="15">
        <v>5997.542</v>
      </c>
      <c r="K9" s="15">
        <v>5995.201</v>
      </c>
      <c r="L9" s="15">
        <f t="shared" si="2"/>
        <v>-0.157833333333338</v>
      </c>
      <c r="M9" s="15">
        <f t="shared" si="3"/>
        <v>-0.0409666666666605</v>
      </c>
      <c r="N9" s="15">
        <f t="shared" si="4"/>
        <v>-0.079983333333333</v>
      </c>
    </row>
    <row r="10" spans="1:14">
      <c r="A10" s="15" t="s">
        <v>38</v>
      </c>
      <c r="B10" s="16">
        <v>60</v>
      </c>
      <c r="C10" s="16">
        <v>100</v>
      </c>
      <c r="D10" s="16">
        <v>100</v>
      </c>
      <c r="E10" s="15">
        <f t="shared" si="0"/>
        <v>12</v>
      </c>
      <c r="F10" s="17">
        <v>100</v>
      </c>
      <c r="G10" s="15">
        <f t="shared" si="1"/>
        <v>3000</v>
      </c>
      <c r="H10" s="18">
        <v>0.005</v>
      </c>
      <c r="I10" s="15">
        <v>2994.022</v>
      </c>
      <c r="J10" s="15">
        <v>2995.772</v>
      </c>
      <c r="K10" s="15">
        <v>2995.269</v>
      </c>
      <c r="L10" s="15">
        <f t="shared" si="2"/>
        <v>-0.199266666666669</v>
      </c>
      <c r="M10" s="15">
        <f t="shared" si="3"/>
        <v>-0.140933333333336</v>
      </c>
      <c r="N10" s="15">
        <f t="shared" si="4"/>
        <v>-0.157700000000007</v>
      </c>
    </row>
    <row r="11" spans="1:14">
      <c r="A11" s="15" t="s">
        <v>39</v>
      </c>
      <c r="B11" s="16">
        <v>60</v>
      </c>
      <c r="C11" s="16">
        <v>400</v>
      </c>
      <c r="D11" s="16">
        <v>400</v>
      </c>
      <c r="E11" s="15">
        <f t="shared" si="0"/>
        <v>48</v>
      </c>
      <c r="F11" s="17">
        <v>100</v>
      </c>
      <c r="G11" s="15">
        <f t="shared" si="1"/>
        <v>750</v>
      </c>
      <c r="H11" s="18">
        <v>0.005</v>
      </c>
      <c r="I11" s="15">
        <v>748.004</v>
      </c>
      <c r="J11" s="15">
        <v>748.266</v>
      </c>
      <c r="K11" s="15">
        <v>748.229</v>
      </c>
      <c r="L11" s="15">
        <f t="shared" si="2"/>
        <v>-0.266133333333331</v>
      </c>
      <c r="M11" s="15">
        <f t="shared" si="3"/>
        <v>-0.231200000000005</v>
      </c>
      <c r="N11" s="15">
        <f t="shared" si="4"/>
        <v>-0.236133333333328</v>
      </c>
    </row>
    <row r="12" spans="1:14">
      <c r="A12" s="15" t="s">
        <v>40</v>
      </c>
      <c r="B12" s="16">
        <v>60</v>
      </c>
      <c r="C12" s="16">
        <v>600</v>
      </c>
      <c r="D12" s="16">
        <v>600</v>
      </c>
      <c r="E12" s="15">
        <f t="shared" si="0"/>
        <v>72</v>
      </c>
      <c r="F12" s="17">
        <v>100</v>
      </c>
      <c r="G12" s="15">
        <f t="shared" si="1"/>
        <v>500</v>
      </c>
      <c r="H12" s="18">
        <v>0.005</v>
      </c>
      <c r="I12" s="15">
        <v>498.74</v>
      </c>
      <c r="J12" s="15">
        <v>499.003</v>
      </c>
      <c r="K12" s="15">
        <v>498.795</v>
      </c>
      <c r="L12" s="15">
        <f t="shared" si="2"/>
        <v>-0.251999999999998</v>
      </c>
      <c r="M12" s="15">
        <f t="shared" si="3"/>
        <v>-0.199400000000003</v>
      </c>
      <c r="N12" s="15">
        <f t="shared" si="4"/>
        <v>-0.240999999999997</v>
      </c>
    </row>
    <row r="13" spans="1:14">
      <c r="A13" s="11" t="s">
        <v>15</v>
      </c>
      <c r="B13" s="12">
        <v>200</v>
      </c>
      <c r="C13" s="12">
        <v>0.4</v>
      </c>
      <c r="D13" s="12">
        <v>0.4</v>
      </c>
      <c r="E13" s="11">
        <f t="shared" si="0"/>
        <v>0.16</v>
      </c>
      <c r="F13" s="13">
        <v>5000</v>
      </c>
      <c r="G13" s="11">
        <f t="shared" si="1"/>
        <v>4500</v>
      </c>
      <c r="H13" s="14">
        <v>0.005</v>
      </c>
      <c r="I13" s="11">
        <v>4466.281</v>
      </c>
      <c r="J13" s="11">
        <v>4533.782</v>
      </c>
      <c r="K13" s="11">
        <v>4490.825</v>
      </c>
      <c r="L13" s="19">
        <f t="shared" si="2"/>
        <v>-0.749311111111112</v>
      </c>
      <c r="M13" s="19">
        <f t="shared" si="3"/>
        <v>0.750711111111114</v>
      </c>
      <c r="N13" s="15">
        <f t="shared" si="4"/>
        <v>-0.203888888888893</v>
      </c>
    </row>
    <row r="14" spans="1:14">
      <c r="A14" s="15" t="s">
        <v>16</v>
      </c>
      <c r="B14" s="16">
        <v>200</v>
      </c>
      <c r="C14" s="16">
        <v>1.5</v>
      </c>
      <c r="D14" s="16">
        <v>1.5</v>
      </c>
      <c r="E14" s="15">
        <f t="shared" si="0"/>
        <v>0.6</v>
      </c>
      <c r="F14" s="17">
        <v>5000</v>
      </c>
      <c r="G14" s="15">
        <f t="shared" si="1"/>
        <v>1200</v>
      </c>
      <c r="H14" s="18">
        <v>0.005</v>
      </c>
      <c r="I14" s="15">
        <v>1195.008</v>
      </c>
      <c r="J14" s="15">
        <v>1201.258</v>
      </c>
      <c r="K14" s="15">
        <v>1198.209</v>
      </c>
      <c r="L14" s="15">
        <f t="shared" si="2"/>
        <v>-0.416000000000016</v>
      </c>
      <c r="M14" s="15">
        <f t="shared" si="3"/>
        <v>0.104833333333318</v>
      </c>
      <c r="N14" s="15">
        <f t="shared" si="4"/>
        <v>-0.149250000000014</v>
      </c>
    </row>
    <row r="15" spans="1:14">
      <c r="A15" s="15" t="s">
        <v>17</v>
      </c>
      <c r="B15" s="16">
        <v>200</v>
      </c>
      <c r="C15" s="16">
        <v>3</v>
      </c>
      <c r="D15" s="16">
        <v>3</v>
      </c>
      <c r="E15" s="15">
        <f t="shared" si="0"/>
        <v>1.2</v>
      </c>
      <c r="F15" s="17">
        <v>1000</v>
      </c>
      <c r="G15" s="15">
        <f t="shared" si="1"/>
        <v>3000</v>
      </c>
      <c r="H15" s="18">
        <v>0.005</v>
      </c>
      <c r="I15" s="15">
        <v>2990.021</v>
      </c>
      <c r="J15" s="15">
        <v>3001.772</v>
      </c>
      <c r="K15" s="15">
        <v>2996.997</v>
      </c>
      <c r="L15" s="15">
        <f t="shared" si="2"/>
        <v>-0.332633333333327</v>
      </c>
      <c r="M15" s="15">
        <f t="shared" si="3"/>
        <v>0.0590666666666645</v>
      </c>
      <c r="N15" s="15">
        <f t="shared" si="4"/>
        <v>-0.100100000000005</v>
      </c>
    </row>
    <row r="16" spans="1:14">
      <c r="A16" s="15" t="s">
        <v>18</v>
      </c>
      <c r="B16" s="16">
        <v>200</v>
      </c>
      <c r="C16" s="16">
        <v>5</v>
      </c>
      <c r="D16" s="16">
        <v>5</v>
      </c>
      <c r="E16" s="15">
        <f t="shared" si="0"/>
        <v>2</v>
      </c>
      <c r="F16" s="17">
        <v>1000</v>
      </c>
      <c r="G16" s="15">
        <f t="shared" si="1"/>
        <v>1800</v>
      </c>
      <c r="H16" s="18">
        <v>0.005</v>
      </c>
      <c r="I16" s="15">
        <v>1797.263</v>
      </c>
      <c r="J16" s="15">
        <v>1801.773</v>
      </c>
      <c r="K16" s="15">
        <v>1799.056</v>
      </c>
      <c r="L16" s="15">
        <f t="shared" si="2"/>
        <v>-0.15205555555556</v>
      </c>
      <c r="M16" s="15">
        <f t="shared" si="3"/>
        <v>0.098499999999995</v>
      </c>
      <c r="N16" s="15">
        <f t="shared" si="4"/>
        <v>-0.0524444444444422</v>
      </c>
    </row>
    <row r="17" spans="1:14">
      <c r="A17" s="15" t="s">
        <v>41</v>
      </c>
      <c r="B17" s="16">
        <v>200</v>
      </c>
      <c r="C17" s="16">
        <v>8</v>
      </c>
      <c r="D17" s="16">
        <v>8</v>
      </c>
      <c r="E17" s="15">
        <f t="shared" si="0"/>
        <v>3.2</v>
      </c>
      <c r="F17" s="17">
        <v>1000</v>
      </c>
      <c r="G17" s="15">
        <f t="shared" si="1"/>
        <v>1125</v>
      </c>
      <c r="H17" s="18">
        <v>0.005</v>
      </c>
      <c r="I17" s="15">
        <v>1122.758</v>
      </c>
      <c r="J17" s="15">
        <v>1124.509</v>
      </c>
      <c r="K17" s="15">
        <v>1123.817</v>
      </c>
      <c r="L17" s="15">
        <f t="shared" si="2"/>
        <v>-0.199288888888885</v>
      </c>
      <c r="M17" s="15">
        <f t="shared" si="3"/>
        <v>-0.0436444444444432</v>
      </c>
      <c r="N17" s="15">
        <f t="shared" si="4"/>
        <v>-0.105155555555555</v>
      </c>
    </row>
    <row r="18" spans="1:14">
      <c r="A18" s="15" t="s">
        <v>42</v>
      </c>
      <c r="B18" s="16">
        <v>200</v>
      </c>
      <c r="C18" s="16">
        <v>10</v>
      </c>
      <c r="D18" s="16">
        <v>10</v>
      </c>
      <c r="E18" s="15">
        <f t="shared" si="0"/>
        <v>4</v>
      </c>
      <c r="F18" s="17">
        <v>1000</v>
      </c>
      <c r="G18" s="15">
        <f t="shared" si="1"/>
        <v>900</v>
      </c>
      <c r="H18" s="18">
        <v>0.005</v>
      </c>
      <c r="I18" s="15">
        <v>897.006</v>
      </c>
      <c r="J18" s="15">
        <v>898.256</v>
      </c>
      <c r="K18" s="15">
        <v>897.61</v>
      </c>
      <c r="L18" s="15">
        <f t="shared" si="2"/>
        <v>-0.33266666666667</v>
      </c>
      <c r="M18" s="15">
        <f t="shared" si="3"/>
        <v>-0.193777777777781</v>
      </c>
      <c r="N18" s="15">
        <f t="shared" si="4"/>
        <v>-0.265555555555554</v>
      </c>
    </row>
    <row r="19" spans="1:14">
      <c r="A19" s="15" t="s">
        <v>43</v>
      </c>
      <c r="B19" s="16">
        <v>200</v>
      </c>
      <c r="C19" s="16">
        <v>50</v>
      </c>
      <c r="D19" s="16">
        <v>50</v>
      </c>
      <c r="E19" s="15">
        <f t="shared" si="0"/>
        <v>20</v>
      </c>
      <c r="F19" s="17">
        <v>100</v>
      </c>
      <c r="G19" s="15">
        <f t="shared" si="1"/>
        <v>1800</v>
      </c>
      <c r="H19" s="18">
        <v>0.005</v>
      </c>
      <c r="I19" s="15">
        <v>1796.013</v>
      </c>
      <c r="J19" s="15">
        <v>1796.763</v>
      </c>
      <c r="K19" s="15">
        <v>1796.451</v>
      </c>
      <c r="L19" s="15">
        <f t="shared" si="2"/>
        <v>-0.221500000000004</v>
      </c>
      <c r="M19" s="15">
        <f t="shared" si="3"/>
        <v>-0.179833333333338</v>
      </c>
      <c r="N19" s="15">
        <f t="shared" si="4"/>
        <v>-0.197166666666665</v>
      </c>
    </row>
    <row r="20" spans="1:14">
      <c r="A20" s="15" t="s">
        <v>44</v>
      </c>
      <c r="B20" s="16">
        <v>200</v>
      </c>
      <c r="C20" s="16">
        <v>100</v>
      </c>
      <c r="D20" s="16">
        <v>100</v>
      </c>
      <c r="E20" s="15">
        <f t="shared" si="0"/>
        <v>40</v>
      </c>
      <c r="F20" s="17">
        <v>100</v>
      </c>
      <c r="G20" s="15">
        <f t="shared" si="1"/>
        <v>900</v>
      </c>
      <c r="H20" s="18">
        <v>0.005</v>
      </c>
      <c r="I20" s="15">
        <v>897.256</v>
      </c>
      <c r="J20" s="15">
        <v>897.507</v>
      </c>
      <c r="K20" s="15">
        <v>897.485</v>
      </c>
      <c r="L20" s="15">
        <f t="shared" si="2"/>
        <v>-0.304888888888892</v>
      </c>
      <c r="M20" s="15">
        <f t="shared" si="3"/>
        <v>-0.277000000000006</v>
      </c>
      <c r="N20" s="15">
        <f t="shared" si="4"/>
        <v>-0.279444444444443</v>
      </c>
    </row>
    <row r="21" spans="1:14">
      <c r="A21" s="15" t="s">
        <v>45</v>
      </c>
      <c r="B21" s="16">
        <v>200</v>
      </c>
      <c r="C21" s="16">
        <v>400</v>
      </c>
      <c r="D21" s="16">
        <v>400</v>
      </c>
      <c r="E21" s="15">
        <f t="shared" si="0"/>
        <v>160</v>
      </c>
      <c r="F21" s="17">
        <v>100</v>
      </c>
      <c r="G21" s="15">
        <f t="shared" si="1"/>
        <v>225</v>
      </c>
      <c r="H21" s="18">
        <v>0.005</v>
      </c>
      <c r="I21" s="15">
        <v>224.25</v>
      </c>
      <c r="J21" s="15">
        <v>224.512</v>
      </c>
      <c r="K21" s="15">
        <v>224.323</v>
      </c>
      <c r="L21" s="15">
        <f t="shared" si="2"/>
        <v>-0.333333333333333</v>
      </c>
      <c r="M21" s="15">
        <f t="shared" si="3"/>
        <v>-0.216888888888889</v>
      </c>
      <c r="N21" s="15">
        <f t="shared" si="4"/>
        <v>-0.300888888888886</v>
      </c>
    </row>
    <row r="22" spans="1:14">
      <c r="A22" s="15" t="s">
        <v>46</v>
      </c>
      <c r="B22" s="16">
        <v>200</v>
      </c>
      <c r="C22" s="16">
        <v>600</v>
      </c>
      <c r="D22" s="16">
        <v>600</v>
      </c>
      <c r="E22" s="15">
        <f t="shared" si="0"/>
        <v>240</v>
      </c>
      <c r="F22" s="17">
        <v>100</v>
      </c>
      <c r="G22" s="15">
        <f t="shared" si="1"/>
        <v>150</v>
      </c>
      <c r="H22" s="18">
        <v>0.005</v>
      </c>
      <c r="I22" s="15">
        <v>149.489</v>
      </c>
      <c r="J22" s="15">
        <v>149.754</v>
      </c>
      <c r="K22" s="15">
        <v>149.507</v>
      </c>
      <c r="L22" s="15">
        <f t="shared" si="2"/>
        <v>-0.340666666666664</v>
      </c>
      <c r="M22" s="15">
        <f t="shared" si="3"/>
        <v>-0.164000000000006</v>
      </c>
      <c r="N22" s="15">
        <f t="shared" si="4"/>
        <v>-0.328666666666663</v>
      </c>
    </row>
    <row r="23" spans="1:14">
      <c r="A23" s="11" t="s">
        <v>19</v>
      </c>
      <c r="B23" s="12">
        <v>500</v>
      </c>
      <c r="C23" s="12">
        <v>0.4</v>
      </c>
      <c r="D23" s="12">
        <v>0.4</v>
      </c>
      <c r="E23" s="11">
        <f t="shared" si="0"/>
        <v>0.4</v>
      </c>
      <c r="F23" s="13">
        <v>5000</v>
      </c>
      <c r="G23" s="11">
        <f t="shared" si="1"/>
        <v>1800</v>
      </c>
      <c r="H23" s="14">
        <v>0.005</v>
      </c>
      <c r="I23" s="11">
        <v>1775.513</v>
      </c>
      <c r="J23" s="11">
        <v>1797.513</v>
      </c>
      <c r="K23" s="11">
        <v>1788.571</v>
      </c>
      <c r="L23" s="19">
        <f t="shared" si="2"/>
        <v>-1.36038888888889</v>
      </c>
      <c r="M23" s="15">
        <f t="shared" si="3"/>
        <v>-0.138166666666671</v>
      </c>
      <c r="N23" s="19">
        <f t="shared" si="4"/>
        <v>-0.634944444444449</v>
      </c>
    </row>
    <row r="24" spans="1:14">
      <c r="A24" s="15" t="s">
        <v>20</v>
      </c>
      <c r="B24" s="16">
        <v>500</v>
      </c>
      <c r="C24" s="16">
        <v>1.5</v>
      </c>
      <c r="D24" s="16">
        <v>1.5</v>
      </c>
      <c r="E24" s="15">
        <f t="shared" si="0"/>
        <v>1.5</v>
      </c>
      <c r="F24" s="17">
        <v>1000</v>
      </c>
      <c r="G24" s="15">
        <f t="shared" si="1"/>
        <v>2400</v>
      </c>
      <c r="H24" s="18">
        <v>0.005</v>
      </c>
      <c r="I24" s="15">
        <v>2390.767</v>
      </c>
      <c r="J24" s="15">
        <v>2409.266</v>
      </c>
      <c r="K24" s="15">
        <v>2399.993</v>
      </c>
      <c r="L24" s="15">
        <f t="shared" si="2"/>
        <v>-0.384708333333341</v>
      </c>
      <c r="M24" s="15">
        <f t="shared" si="3"/>
        <v>0.386083333333336</v>
      </c>
      <c r="N24" s="15">
        <f t="shared" si="4"/>
        <v>-0.000291666666669244</v>
      </c>
    </row>
    <row r="25" spans="1:14">
      <c r="A25" s="15" t="s">
        <v>21</v>
      </c>
      <c r="B25" s="16">
        <v>500</v>
      </c>
      <c r="C25" s="16">
        <v>3</v>
      </c>
      <c r="D25" s="16">
        <v>3</v>
      </c>
      <c r="E25" s="15">
        <f t="shared" si="0"/>
        <v>3</v>
      </c>
      <c r="F25" s="17">
        <v>1000</v>
      </c>
      <c r="G25" s="15">
        <f t="shared" si="1"/>
        <v>1200</v>
      </c>
      <c r="H25" s="18">
        <v>0.005</v>
      </c>
      <c r="I25" s="15">
        <v>1197.508</v>
      </c>
      <c r="J25" s="15">
        <v>1202.271</v>
      </c>
      <c r="K25" s="15">
        <v>1199.925</v>
      </c>
      <c r="L25" s="15">
        <f t="shared" si="2"/>
        <v>-0.207666666666663</v>
      </c>
      <c r="M25" s="15">
        <f t="shared" si="3"/>
        <v>0.189249999999997</v>
      </c>
      <c r="N25" s="15">
        <f t="shared" si="4"/>
        <v>-0.00625000000000379</v>
      </c>
    </row>
    <row r="26" spans="1:14">
      <c r="A26" s="15" t="s">
        <v>47</v>
      </c>
      <c r="B26" s="16">
        <v>500</v>
      </c>
      <c r="C26" s="16">
        <v>5</v>
      </c>
      <c r="D26" s="16">
        <v>5</v>
      </c>
      <c r="E26" s="15">
        <f t="shared" si="0"/>
        <v>5</v>
      </c>
      <c r="F26" s="17">
        <v>1000</v>
      </c>
      <c r="G26" s="15">
        <f t="shared" si="1"/>
        <v>720</v>
      </c>
      <c r="H26" s="18">
        <v>0.005</v>
      </c>
      <c r="I26" s="15">
        <v>718.505</v>
      </c>
      <c r="J26" s="15">
        <v>719.767</v>
      </c>
      <c r="K26" s="15">
        <v>719.237</v>
      </c>
      <c r="L26" s="15">
        <f t="shared" si="2"/>
        <v>-0.20763888888889</v>
      </c>
      <c r="M26" s="15">
        <f t="shared" si="3"/>
        <v>-0.0323611111111038</v>
      </c>
      <c r="N26" s="15">
        <f t="shared" si="4"/>
        <v>-0.105972222222227</v>
      </c>
    </row>
    <row r="27" spans="1:14">
      <c r="A27" s="15" t="s">
        <v>22</v>
      </c>
      <c r="B27" s="16">
        <v>500</v>
      </c>
      <c r="C27" s="16">
        <v>8</v>
      </c>
      <c r="D27" s="16">
        <v>8</v>
      </c>
      <c r="E27" s="15">
        <f t="shared" si="0"/>
        <v>8</v>
      </c>
      <c r="F27" s="17">
        <v>1000</v>
      </c>
      <c r="G27" s="15">
        <f t="shared" si="1"/>
        <v>450</v>
      </c>
      <c r="H27" s="18">
        <v>0.005</v>
      </c>
      <c r="I27" s="15">
        <v>449.003</v>
      </c>
      <c r="J27" s="15">
        <v>449.753</v>
      </c>
      <c r="K27" s="15">
        <v>449.432</v>
      </c>
      <c r="L27" s="15">
        <f t="shared" si="2"/>
        <v>-0.221555555555559</v>
      </c>
      <c r="M27" s="15">
        <f t="shared" si="3"/>
        <v>-0.054888888888892</v>
      </c>
      <c r="N27" s="15">
        <f t="shared" si="4"/>
        <v>-0.126222222222219</v>
      </c>
    </row>
    <row r="28" spans="1:14">
      <c r="A28" s="15" t="s">
        <v>23</v>
      </c>
      <c r="B28" s="16">
        <v>500</v>
      </c>
      <c r="C28" s="16">
        <v>10</v>
      </c>
      <c r="D28" s="16">
        <v>10</v>
      </c>
      <c r="E28" s="15">
        <f t="shared" si="0"/>
        <v>10</v>
      </c>
      <c r="F28" s="17">
        <v>1000</v>
      </c>
      <c r="G28" s="15">
        <f t="shared" si="1"/>
        <v>360</v>
      </c>
      <c r="H28" s="18">
        <v>0.005</v>
      </c>
      <c r="I28" s="15">
        <v>359.002</v>
      </c>
      <c r="J28" s="15">
        <v>360.003</v>
      </c>
      <c r="K28" s="15">
        <v>359.48</v>
      </c>
      <c r="L28" s="15">
        <f t="shared" si="2"/>
        <v>-0.27722222222222</v>
      </c>
      <c r="M28" s="15">
        <f t="shared" si="3"/>
        <v>0.000833333333329417</v>
      </c>
      <c r="N28" s="15">
        <f t="shared" si="4"/>
        <v>-0.144444444444439</v>
      </c>
    </row>
    <row r="29" spans="1:14">
      <c r="A29" s="15" t="s">
        <v>48</v>
      </c>
      <c r="B29" s="16">
        <v>500</v>
      </c>
      <c r="C29" s="16">
        <v>50</v>
      </c>
      <c r="D29" s="16">
        <v>50</v>
      </c>
      <c r="E29" s="15">
        <f t="shared" si="0"/>
        <v>50</v>
      </c>
      <c r="F29" s="17">
        <v>100</v>
      </c>
      <c r="G29" s="15">
        <f t="shared" si="1"/>
        <v>720</v>
      </c>
      <c r="H29" s="18">
        <v>0.005</v>
      </c>
      <c r="I29" s="15">
        <v>718.005</v>
      </c>
      <c r="J29" s="15">
        <v>718.744</v>
      </c>
      <c r="K29" s="15">
        <v>718.329</v>
      </c>
      <c r="L29" s="15">
        <f t="shared" si="2"/>
        <v>-0.277083333333334</v>
      </c>
      <c r="M29" s="15">
        <f t="shared" si="3"/>
        <v>-0.174444444444441</v>
      </c>
      <c r="N29" s="15">
        <f t="shared" si="4"/>
        <v>-0.23208333333334</v>
      </c>
    </row>
    <row r="30" spans="1:14">
      <c r="A30" s="15" t="s">
        <v>49</v>
      </c>
      <c r="B30" s="16">
        <v>500</v>
      </c>
      <c r="C30" s="16">
        <v>100</v>
      </c>
      <c r="D30" s="16">
        <v>100</v>
      </c>
      <c r="E30" s="15">
        <f t="shared" si="0"/>
        <v>100</v>
      </c>
      <c r="F30" s="17">
        <v>100</v>
      </c>
      <c r="G30" s="15">
        <f t="shared" si="1"/>
        <v>360</v>
      </c>
      <c r="H30" s="18">
        <v>0.005</v>
      </c>
      <c r="I30" s="15">
        <v>358.752</v>
      </c>
      <c r="J30" s="15">
        <v>359.003</v>
      </c>
      <c r="K30" s="15">
        <v>358.958</v>
      </c>
      <c r="L30" s="15">
        <f t="shared" si="2"/>
        <v>-0.346666666666664</v>
      </c>
      <c r="M30" s="15">
        <f t="shared" si="3"/>
        <v>-0.276944444444448</v>
      </c>
      <c r="N30" s="15">
        <f t="shared" si="4"/>
        <v>-0.289444444444437</v>
      </c>
    </row>
    <row r="31" spans="1:14">
      <c r="A31" s="15" t="s">
        <v>50</v>
      </c>
      <c r="B31" s="16">
        <v>500</v>
      </c>
      <c r="C31" s="16">
        <v>400</v>
      </c>
      <c r="D31" s="16">
        <v>400</v>
      </c>
      <c r="E31" s="15">
        <f t="shared" si="0"/>
        <v>400</v>
      </c>
      <c r="F31" s="17">
        <v>100</v>
      </c>
      <c r="G31" s="15">
        <f t="shared" si="1"/>
        <v>90</v>
      </c>
      <c r="H31" s="18">
        <v>0.005</v>
      </c>
      <c r="I31" s="15">
        <v>89.625</v>
      </c>
      <c r="J31" s="15">
        <v>89.757</v>
      </c>
      <c r="K31" s="15">
        <v>89.728</v>
      </c>
      <c r="L31" s="15">
        <f t="shared" si="2"/>
        <v>-0.416666666666667</v>
      </c>
      <c r="M31" s="15">
        <f t="shared" si="3"/>
        <v>-0.269999999999994</v>
      </c>
      <c r="N31" s="15">
        <f t="shared" si="4"/>
        <v>-0.302222222222228</v>
      </c>
    </row>
    <row r="32" spans="1:14">
      <c r="A32" s="15" t="s">
        <v>51</v>
      </c>
      <c r="B32" s="16">
        <v>500</v>
      </c>
      <c r="C32" s="16">
        <v>600</v>
      </c>
      <c r="D32" s="16">
        <v>600</v>
      </c>
      <c r="E32" s="15">
        <f t="shared" si="0"/>
        <v>600</v>
      </c>
      <c r="F32" s="17">
        <v>100</v>
      </c>
      <c r="G32" s="15">
        <f t="shared" si="1"/>
        <v>60</v>
      </c>
      <c r="H32" s="18">
        <v>0.005</v>
      </c>
      <c r="I32" s="15">
        <v>59.749</v>
      </c>
      <c r="J32" s="15">
        <v>59.875</v>
      </c>
      <c r="K32" s="15">
        <v>59.825</v>
      </c>
      <c r="L32" s="15">
        <f t="shared" si="2"/>
        <v>-0.418333333333329</v>
      </c>
      <c r="M32" s="15">
        <f t="shared" si="3"/>
        <v>-0.208333333333333</v>
      </c>
      <c r="N32" s="15">
        <f t="shared" si="4"/>
        <v>-0.291666666666662</v>
      </c>
    </row>
    <row r="33" spans="1:14">
      <c r="A33" s="11" t="s">
        <v>24</v>
      </c>
      <c r="B33" s="12">
        <v>800</v>
      </c>
      <c r="C33" s="12">
        <v>0.4</v>
      </c>
      <c r="D33" s="12">
        <v>0.4</v>
      </c>
      <c r="E33" s="11">
        <f t="shared" si="0"/>
        <v>0.64</v>
      </c>
      <c r="F33" s="13">
        <v>1000</v>
      </c>
      <c r="G33" s="11">
        <f t="shared" si="1"/>
        <v>5625</v>
      </c>
      <c r="H33" s="14">
        <v>0.005</v>
      </c>
      <c r="I33" s="11">
        <v>5570.554</v>
      </c>
      <c r="J33" s="11">
        <v>5784.792</v>
      </c>
      <c r="K33" s="11">
        <v>5656.498</v>
      </c>
      <c r="L33" s="19">
        <f t="shared" si="2"/>
        <v>-0.967928888888887</v>
      </c>
      <c r="M33" s="19">
        <f t="shared" si="3"/>
        <v>2.84074666666667</v>
      </c>
      <c r="N33" s="19">
        <f t="shared" si="4"/>
        <v>0.559964444444437</v>
      </c>
    </row>
    <row r="34" spans="1:14">
      <c r="A34" s="11" t="s">
        <v>25</v>
      </c>
      <c r="B34" s="12">
        <v>800</v>
      </c>
      <c r="C34" s="12">
        <v>1.5</v>
      </c>
      <c r="D34" s="12">
        <v>1.5</v>
      </c>
      <c r="E34" s="11">
        <f t="shared" si="0"/>
        <v>2.4</v>
      </c>
      <c r="F34" s="13">
        <v>1000</v>
      </c>
      <c r="G34" s="11">
        <f t="shared" si="1"/>
        <v>1500</v>
      </c>
      <c r="H34" s="14">
        <v>0.005</v>
      </c>
      <c r="I34" s="11">
        <v>1491.511</v>
      </c>
      <c r="J34" s="11">
        <v>1503.511</v>
      </c>
      <c r="K34" s="11">
        <v>1496.262</v>
      </c>
      <c r="L34" s="19">
        <f t="shared" si="2"/>
        <v>-0.565933333333336</v>
      </c>
      <c r="M34" s="15">
        <f t="shared" si="3"/>
        <v>0.234066666666665</v>
      </c>
      <c r="N34" s="15">
        <f t="shared" si="4"/>
        <v>-0.249200000000004</v>
      </c>
    </row>
    <row r="35" spans="1:14">
      <c r="A35" s="15" t="s">
        <v>26</v>
      </c>
      <c r="B35" s="16">
        <v>800</v>
      </c>
      <c r="C35" s="16">
        <v>3</v>
      </c>
      <c r="D35" s="16">
        <v>3</v>
      </c>
      <c r="E35" s="15">
        <f t="shared" si="0"/>
        <v>4.8</v>
      </c>
      <c r="F35" s="17">
        <v>1000</v>
      </c>
      <c r="G35" s="15">
        <f t="shared" si="1"/>
        <v>750</v>
      </c>
      <c r="H35" s="18">
        <v>0.005</v>
      </c>
      <c r="I35" s="15">
        <v>747.754</v>
      </c>
      <c r="J35" s="15">
        <v>750.505</v>
      </c>
      <c r="K35" s="15">
        <v>749.085</v>
      </c>
      <c r="L35" s="15">
        <f t="shared" si="2"/>
        <v>-0.299466666666664</v>
      </c>
      <c r="M35" s="15">
        <f t="shared" si="3"/>
        <v>0.0673333333333327</v>
      </c>
      <c r="N35" s="15">
        <f t="shared" si="4"/>
        <v>-0.121999999999995</v>
      </c>
    </row>
    <row r="36" spans="1:14">
      <c r="A36" s="15" t="s">
        <v>27</v>
      </c>
      <c r="B36" s="16">
        <v>800</v>
      </c>
      <c r="C36" s="16">
        <v>5</v>
      </c>
      <c r="D36" s="16">
        <v>5</v>
      </c>
      <c r="E36" s="15">
        <f t="shared" si="0"/>
        <v>8</v>
      </c>
      <c r="F36" s="17">
        <v>1000</v>
      </c>
      <c r="G36" s="15">
        <f t="shared" si="1"/>
        <v>450</v>
      </c>
      <c r="H36" s="18">
        <v>0.005</v>
      </c>
      <c r="I36" s="15">
        <v>448.003</v>
      </c>
      <c r="J36" s="15">
        <v>449.762</v>
      </c>
      <c r="K36" s="15">
        <v>449.097</v>
      </c>
      <c r="L36" s="15">
        <f t="shared" si="2"/>
        <v>-0.443777777777781</v>
      </c>
      <c r="M36" s="15">
        <f t="shared" si="3"/>
        <v>-0.0528888888888888</v>
      </c>
      <c r="N36" s="15">
        <f t="shared" si="4"/>
        <v>-0.200666666666671</v>
      </c>
    </row>
    <row r="37" spans="1:14">
      <c r="A37" s="15" t="s">
        <v>28</v>
      </c>
      <c r="B37" s="16">
        <v>800</v>
      </c>
      <c r="C37" s="16">
        <v>8</v>
      </c>
      <c r="D37" s="16">
        <v>8</v>
      </c>
      <c r="E37" s="15">
        <f t="shared" si="0"/>
        <v>12.8</v>
      </c>
      <c r="F37" s="17">
        <v>1000</v>
      </c>
      <c r="G37" s="15">
        <f t="shared" si="1"/>
        <v>281.25</v>
      </c>
      <c r="H37" s="18">
        <v>0.005</v>
      </c>
      <c r="I37" s="15">
        <v>280.002</v>
      </c>
      <c r="J37" s="15">
        <v>281.251</v>
      </c>
      <c r="K37" s="15">
        <v>280.846</v>
      </c>
      <c r="L37" s="15">
        <f t="shared" si="2"/>
        <v>-0.44373333333333</v>
      </c>
      <c r="M37" s="15">
        <f t="shared" si="3"/>
        <v>0.000355555555547148</v>
      </c>
      <c r="N37" s="15">
        <f t="shared" si="4"/>
        <v>-0.143644444444443</v>
      </c>
    </row>
    <row r="38" spans="1:14">
      <c r="A38" s="15" t="s">
        <v>29</v>
      </c>
      <c r="B38" s="16">
        <v>800</v>
      </c>
      <c r="C38" s="16">
        <v>10</v>
      </c>
      <c r="D38" s="16">
        <v>10</v>
      </c>
      <c r="E38" s="15">
        <f t="shared" si="0"/>
        <v>16</v>
      </c>
      <c r="F38" s="17">
        <v>100</v>
      </c>
      <c r="G38" s="15">
        <f t="shared" si="1"/>
        <v>2250</v>
      </c>
      <c r="H38" s="18">
        <v>0.005</v>
      </c>
      <c r="I38" s="15">
        <v>2252.767</v>
      </c>
      <c r="J38" s="15">
        <v>2261.017</v>
      </c>
      <c r="K38" s="15">
        <v>2257.81</v>
      </c>
      <c r="L38" s="15">
        <f t="shared" si="2"/>
        <v>0.12297777777777</v>
      </c>
      <c r="M38" s="15">
        <f t="shared" si="3"/>
        <v>0.489644444444437</v>
      </c>
      <c r="N38" s="15">
        <f t="shared" si="4"/>
        <v>0.347111111111109</v>
      </c>
    </row>
    <row r="39" spans="1:14">
      <c r="A39" s="15" t="s">
        <v>52</v>
      </c>
      <c r="B39" s="16">
        <v>800</v>
      </c>
      <c r="C39" s="16">
        <v>50</v>
      </c>
      <c r="D39" s="16">
        <v>50</v>
      </c>
      <c r="E39" s="15">
        <f t="shared" si="0"/>
        <v>80</v>
      </c>
      <c r="F39" s="17">
        <v>100</v>
      </c>
      <c r="G39" s="15">
        <f t="shared" si="1"/>
        <v>450</v>
      </c>
      <c r="H39" s="18">
        <v>0.005</v>
      </c>
      <c r="I39" s="15">
        <v>449.003</v>
      </c>
      <c r="J39" s="15">
        <v>449.254</v>
      </c>
      <c r="K39" s="15">
        <v>449.226</v>
      </c>
      <c r="L39" s="15">
        <f t="shared" si="2"/>
        <v>-0.221555555555559</v>
      </c>
      <c r="M39" s="15">
        <f t="shared" si="3"/>
        <v>-0.165777777777774</v>
      </c>
      <c r="N39" s="15">
        <f t="shared" si="4"/>
        <v>-0.172</v>
      </c>
    </row>
    <row r="40" spans="1:14">
      <c r="A40" s="15" t="s">
        <v>53</v>
      </c>
      <c r="B40" s="16">
        <v>800</v>
      </c>
      <c r="C40" s="16">
        <v>100</v>
      </c>
      <c r="D40" s="16">
        <v>100</v>
      </c>
      <c r="E40" s="15">
        <f t="shared" si="0"/>
        <v>160</v>
      </c>
      <c r="F40" s="17">
        <v>100</v>
      </c>
      <c r="G40" s="15">
        <f t="shared" si="1"/>
        <v>225</v>
      </c>
      <c r="H40" s="18">
        <v>0.005</v>
      </c>
      <c r="I40" s="15">
        <v>224.238</v>
      </c>
      <c r="J40" s="15">
        <v>224.516</v>
      </c>
      <c r="K40" s="15">
        <v>224.471</v>
      </c>
      <c r="L40" s="15">
        <f t="shared" si="2"/>
        <v>-0.338666666666667</v>
      </c>
      <c r="M40" s="15">
        <f t="shared" si="3"/>
        <v>-0.215111111111115</v>
      </c>
      <c r="N40" s="15">
        <f t="shared" si="4"/>
        <v>-0.235111111111109</v>
      </c>
    </row>
    <row r="41" spans="1:14">
      <c r="A41" s="15" t="s">
        <v>54</v>
      </c>
      <c r="B41" s="16">
        <v>800</v>
      </c>
      <c r="C41" s="16">
        <v>400</v>
      </c>
      <c r="D41" s="16">
        <v>400</v>
      </c>
      <c r="E41" s="15">
        <f t="shared" si="0"/>
        <v>640</v>
      </c>
      <c r="F41" s="17">
        <v>100</v>
      </c>
      <c r="G41" s="15">
        <f t="shared" si="1"/>
        <v>56.25</v>
      </c>
      <c r="H41" s="18">
        <v>0.005</v>
      </c>
      <c r="I41" s="15">
        <v>55.999</v>
      </c>
      <c r="J41" s="15">
        <v>56.125</v>
      </c>
      <c r="K41" s="15">
        <v>56.083</v>
      </c>
      <c r="L41" s="15">
        <f t="shared" si="2"/>
        <v>-0.446222222222218</v>
      </c>
      <c r="M41" s="15">
        <f t="shared" si="3"/>
        <v>-0.222222222222222</v>
      </c>
      <c r="N41" s="15">
        <f t="shared" si="4"/>
        <v>-0.296888888888892</v>
      </c>
    </row>
    <row r="42" spans="1:14">
      <c r="A42" s="15" t="s">
        <v>55</v>
      </c>
      <c r="B42" s="16">
        <v>800</v>
      </c>
      <c r="C42" s="16">
        <v>600</v>
      </c>
      <c r="D42" s="16">
        <v>600</v>
      </c>
      <c r="E42" s="15">
        <f t="shared" si="0"/>
        <v>960</v>
      </c>
      <c r="F42" s="17">
        <v>10</v>
      </c>
      <c r="G42" s="15">
        <f t="shared" si="1"/>
        <v>375</v>
      </c>
      <c r="H42" s="18">
        <v>0.005</v>
      </c>
      <c r="I42" s="15">
        <v>373.752</v>
      </c>
      <c r="J42" s="15">
        <v>374.264</v>
      </c>
      <c r="K42" s="15">
        <v>374.025</v>
      </c>
      <c r="L42" s="15">
        <f t="shared" si="2"/>
        <v>-0.332799999999997</v>
      </c>
      <c r="M42" s="15">
        <f t="shared" si="3"/>
        <v>-0.196266666666664</v>
      </c>
      <c r="N42" s="15">
        <f t="shared" si="4"/>
        <v>-0.260000000000006</v>
      </c>
    </row>
    <row r="43" spans="1:14">
      <c r="A43" s="11" t="s">
        <v>30</v>
      </c>
      <c r="B43" s="12">
        <v>1000</v>
      </c>
      <c r="C43" s="12">
        <v>0.4</v>
      </c>
      <c r="D43" s="12">
        <v>0.4</v>
      </c>
      <c r="E43" s="11">
        <f t="shared" si="0"/>
        <v>0.8</v>
      </c>
      <c r="F43" s="13">
        <v>100</v>
      </c>
      <c r="G43" s="11">
        <f t="shared" si="1"/>
        <v>45000</v>
      </c>
      <c r="H43" s="14">
        <v>0.005</v>
      </c>
      <c r="I43" s="11">
        <v>1450.15</v>
      </c>
      <c r="J43" s="11">
        <v>1828.386</v>
      </c>
      <c r="K43" s="11">
        <v>1596.563</v>
      </c>
      <c r="L43" s="19">
        <f t="shared" si="2"/>
        <v>-96.7774444444444</v>
      </c>
      <c r="M43" s="19">
        <f t="shared" si="3"/>
        <v>-95.93692</v>
      </c>
      <c r="N43" s="19">
        <f t="shared" si="4"/>
        <v>-96.4520822222222</v>
      </c>
    </row>
    <row r="44" spans="1:14">
      <c r="A44" s="11" t="s">
        <v>31</v>
      </c>
      <c r="B44" s="12">
        <v>1000</v>
      </c>
      <c r="C44" s="12">
        <v>1.5</v>
      </c>
      <c r="D44" s="12">
        <v>1.5</v>
      </c>
      <c r="E44" s="11">
        <f t="shared" si="0"/>
        <v>3</v>
      </c>
      <c r="F44" s="13">
        <v>100</v>
      </c>
      <c r="G44" s="11">
        <f t="shared" si="1"/>
        <v>12000</v>
      </c>
      <c r="H44" s="14">
        <v>0.005</v>
      </c>
      <c r="I44" s="11">
        <v>11920.337</v>
      </c>
      <c r="J44" s="11">
        <v>11964.088</v>
      </c>
      <c r="K44" s="11">
        <v>11940.294</v>
      </c>
      <c r="L44" s="19">
        <f t="shared" si="2"/>
        <v>-0.663858333333337</v>
      </c>
      <c r="M44" s="15">
        <f t="shared" si="3"/>
        <v>-0.299266666666669</v>
      </c>
      <c r="N44" s="15">
        <f t="shared" si="4"/>
        <v>-0.497550000000001</v>
      </c>
    </row>
    <row r="45" spans="1:14">
      <c r="A45" s="15" t="s">
        <v>32</v>
      </c>
      <c r="B45" s="16">
        <v>1000</v>
      </c>
      <c r="C45" s="16">
        <v>3</v>
      </c>
      <c r="D45" s="16">
        <v>3</v>
      </c>
      <c r="E45" s="15">
        <f t="shared" si="0"/>
        <v>6</v>
      </c>
      <c r="F45" s="17">
        <v>100</v>
      </c>
      <c r="G45" s="15">
        <f t="shared" si="1"/>
        <v>6000</v>
      </c>
      <c r="H45" s="18">
        <v>0.005</v>
      </c>
      <c r="I45" s="15">
        <v>5979.294</v>
      </c>
      <c r="J45" s="15">
        <v>5989.293</v>
      </c>
      <c r="K45" s="15">
        <v>5984.108</v>
      </c>
      <c r="L45" s="15">
        <f t="shared" si="2"/>
        <v>-0.345100000000002</v>
      </c>
      <c r="M45" s="15">
        <f t="shared" si="3"/>
        <v>-0.178450000000006</v>
      </c>
      <c r="N45" s="15">
        <f t="shared" si="4"/>
        <v>-0.264866666666664</v>
      </c>
    </row>
    <row r="46" spans="1:14">
      <c r="A46" s="15" t="s">
        <v>33</v>
      </c>
      <c r="B46" s="16">
        <v>1000</v>
      </c>
      <c r="C46" s="16">
        <v>5</v>
      </c>
      <c r="D46" s="16">
        <v>5</v>
      </c>
      <c r="E46" s="15">
        <f t="shared" si="0"/>
        <v>10</v>
      </c>
      <c r="F46" s="17">
        <v>100</v>
      </c>
      <c r="G46" s="15">
        <f t="shared" si="1"/>
        <v>3600</v>
      </c>
      <c r="H46" s="18">
        <v>0.005</v>
      </c>
      <c r="I46" s="15">
        <v>3589.025</v>
      </c>
      <c r="J46" s="15">
        <v>3593.025</v>
      </c>
      <c r="K46" s="15">
        <v>3591.207</v>
      </c>
      <c r="L46" s="15">
        <f t="shared" si="2"/>
        <v>-0.304861111111109</v>
      </c>
      <c r="M46" s="15">
        <f t="shared" si="3"/>
        <v>-0.193749999999997</v>
      </c>
      <c r="N46" s="15">
        <f t="shared" si="4"/>
        <v>-0.244250000000003</v>
      </c>
    </row>
    <row r="47" spans="1:14">
      <c r="A47" s="15" t="s">
        <v>34</v>
      </c>
      <c r="B47" s="16">
        <v>1000</v>
      </c>
      <c r="C47" s="16">
        <v>8</v>
      </c>
      <c r="D47" s="16">
        <v>8</v>
      </c>
      <c r="E47" s="15">
        <f t="shared" si="0"/>
        <v>16</v>
      </c>
      <c r="F47" s="17">
        <v>100</v>
      </c>
      <c r="G47" s="15">
        <f t="shared" si="1"/>
        <v>2250</v>
      </c>
      <c r="H47" s="18">
        <v>0.005</v>
      </c>
      <c r="I47" s="15">
        <v>2244.016</v>
      </c>
      <c r="J47" s="15">
        <v>2246.505</v>
      </c>
      <c r="K47" s="15">
        <v>2245.058</v>
      </c>
      <c r="L47" s="15">
        <f t="shared" si="2"/>
        <v>-0.265955555555552</v>
      </c>
      <c r="M47" s="15">
        <f t="shared" si="3"/>
        <v>-0.155333333333328</v>
      </c>
      <c r="N47" s="15">
        <f t="shared" si="4"/>
        <v>-0.219644444444445</v>
      </c>
    </row>
    <row r="48" spans="1:14">
      <c r="A48" s="15" t="s">
        <v>35</v>
      </c>
      <c r="B48" s="16">
        <v>1000</v>
      </c>
      <c r="C48" s="16">
        <v>10</v>
      </c>
      <c r="D48" s="16">
        <v>10</v>
      </c>
      <c r="E48" s="15">
        <f t="shared" si="0"/>
        <v>20</v>
      </c>
      <c r="F48" s="17">
        <v>100</v>
      </c>
      <c r="G48" s="15">
        <f t="shared" si="1"/>
        <v>1800</v>
      </c>
      <c r="H48" s="18">
        <v>0.005</v>
      </c>
      <c r="I48" s="15">
        <v>1795.502</v>
      </c>
      <c r="J48" s="15">
        <v>1797.263</v>
      </c>
      <c r="K48" s="15">
        <v>1796.533</v>
      </c>
      <c r="L48" s="15">
        <f t="shared" si="2"/>
        <v>-0.249888888888891</v>
      </c>
      <c r="M48" s="15">
        <f t="shared" si="3"/>
        <v>-0.15205555555556</v>
      </c>
      <c r="N48" s="15">
        <f t="shared" si="4"/>
        <v>-0.192611111111117</v>
      </c>
    </row>
    <row r="49" spans="1:14">
      <c r="A49" s="15" t="s">
        <v>56</v>
      </c>
      <c r="B49" s="16">
        <v>1000</v>
      </c>
      <c r="C49" s="16">
        <v>50</v>
      </c>
      <c r="D49" s="16">
        <v>50</v>
      </c>
      <c r="E49" s="15">
        <f t="shared" si="0"/>
        <v>100</v>
      </c>
      <c r="F49" s="17">
        <v>100</v>
      </c>
      <c r="G49" s="15">
        <f t="shared" si="1"/>
        <v>360</v>
      </c>
      <c r="H49" s="18">
        <v>0.005</v>
      </c>
      <c r="I49" s="15">
        <v>359.241</v>
      </c>
      <c r="J49" s="15">
        <v>359.753</v>
      </c>
      <c r="K49" s="15">
        <v>359.451</v>
      </c>
      <c r="L49" s="15">
        <f t="shared" si="2"/>
        <v>-0.210833333333337</v>
      </c>
      <c r="M49" s="15">
        <f t="shared" si="3"/>
        <v>-0.068611111111115</v>
      </c>
      <c r="N49" s="15">
        <f t="shared" si="4"/>
        <v>-0.152499999999994</v>
      </c>
    </row>
    <row r="50" spans="1:14">
      <c r="A50" s="15" t="s">
        <v>57</v>
      </c>
      <c r="B50" s="16">
        <v>1000</v>
      </c>
      <c r="C50" s="16">
        <v>100</v>
      </c>
      <c r="D50" s="16">
        <v>100</v>
      </c>
      <c r="E50" s="15">
        <f t="shared" si="0"/>
        <v>200</v>
      </c>
      <c r="F50" s="17">
        <v>100</v>
      </c>
      <c r="G50" s="15">
        <f t="shared" si="1"/>
        <v>180</v>
      </c>
      <c r="H50" s="18">
        <v>0.005</v>
      </c>
      <c r="I50" s="15">
        <v>179.501</v>
      </c>
      <c r="J50" s="15">
        <v>179.752</v>
      </c>
      <c r="K50" s="15">
        <v>179.723</v>
      </c>
      <c r="L50" s="15">
        <f t="shared" si="2"/>
        <v>-0.27722222222222</v>
      </c>
      <c r="M50" s="15">
        <f t="shared" si="3"/>
        <v>-0.137777777777772</v>
      </c>
      <c r="N50" s="15">
        <f t="shared" si="4"/>
        <v>-0.153888888888882</v>
      </c>
    </row>
    <row r="51" spans="1:14">
      <c r="A51" s="15" t="s">
        <v>58</v>
      </c>
      <c r="B51" s="16">
        <v>1000</v>
      </c>
      <c r="C51" s="16">
        <v>400</v>
      </c>
      <c r="D51" s="16">
        <v>400</v>
      </c>
      <c r="E51" s="15">
        <f t="shared" si="0"/>
        <v>800</v>
      </c>
      <c r="F51" s="17">
        <v>10</v>
      </c>
      <c r="G51" s="15">
        <f t="shared" si="1"/>
        <v>450</v>
      </c>
      <c r="H51" s="18">
        <v>0.005</v>
      </c>
      <c r="I51" s="15">
        <v>448.752</v>
      </c>
      <c r="J51" s="15">
        <v>449.004</v>
      </c>
      <c r="K51" s="15">
        <v>448.974</v>
      </c>
      <c r="L51" s="15">
        <f t="shared" si="2"/>
        <v>-0.277333333333331</v>
      </c>
      <c r="M51" s="15">
        <f t="shared" si="3"/>
        <v>-0.221333333333329</v>
      </c>
      <c r="N51" s="15">
        <f t="shared" si="4"/>
        <v>-0.228000000000002</v>
      </c>
    </row>
    <row r="52" spans="1:14">
      <c r="A52" s="15" t="s">
        <v>59</v>
      </c>
      <c r="B52" s="16">
        <v>1000</v>
      </c>
      <c r="C52" s="16">
        <v>600</v>
      </c>
      <c r="D52" s="16">
        <v>600</v>
      </c>
      <c r="E52" s="15">
        <f t="shared" si="0"/>
        <v>1200</v>
      </c>
      <c r="F52" s="17">
        <v>10</v>
      </c>
      <c r="G52" s="15">
        <f t="shared" si="1"/>
        <v>300</v>
      </c>
      <c r="H52" s="18">
        <v>0.005</v>
      </c>
      <c r="I52" s="15">
        <v>299</v>
      </c>
      <c r="J52" s="15">
        <v>299.253</v>
      </c>
      <c r="K52" s="15">
        <v>299.214</v>
      </c>
      <c r="L52" s="15">
        <f t="shared" si="2"/>
        <v>-0.333333333333352</v>
      </c>
      <c r="M52" s="15">
        <f t="shared" si="3"/>
        <v>-0.249000000000024</v>
      </c>
      <c r="N52" s="15">
        <f t="shared" si="4"/>
        <v>-0.262000000000019</v>
      </c>
    </row>
    <row r="53" spans="1:14">
      <c r="A53" s="11" t="s">
        <v>73</v>
      </c>
      <c r="B53" s="12">
        <v>1000</v>
      </c>
      <c r="C53" s="12">
        <v>0.4</v>
      </c>
      <c r="D53" s="12">
        <v>0.4</v>
      </c>
      <c r="E53" s="11">
        <f t="shared" si="0"/>
        <v>0.8</v>
      </c>
      <c r="F53" s="13">
        <v>5000</v>
      </c>
      <c r="G53" s="11">
        <f t="shared" si="1"/>
        <v>900</v>
      </c>
      <c r="H53" s="14">
        <v>0.005</v>
      </c>
      <c r="I53" s="11">
        <v>833.246</v>
      </c>
      <c r="J53" s="11">
        <v>897.256</v>
      </c>
      <c r="K53" s="11">
        <v>868.997</v>
      </c>
      <c r="L53" s="19">
        <f t="shared" si="2"/>
        <v>-7.41711111111111</v>
      </c>
      <c r="M53" s="15">
        <f t="shared" si="3"/>
        <v>-0.304888888888892</v>
      </c>
      <c r="N53" s="19">
        <f t="shared" si="4"/>
        <v>-3.44477777777778</v>
      </c>
    </row>
    <row r="54" spans="1:14">
      <c r="A54" s="11" t="s">
        <v>74</v>
      </c>
      <c r="B54" s="12">
        <v>1000</v>
      </c>
      <c r="C54" s="12">
        <v>1.5</v>
      </c>
      <c r="D54" s="12">
        <v>1.5</v>
      </c>
      <c r="E54" s="11">
        <f t="shared" si="0"/>
        <v>3</v>
      </c>
      <c r="F54" s="13">
        <v>5000</v>
      </c>
      <c r="G54" s="11">
        <f t="shared" si="1"/>
        <v>240</v>
      </c>
      <c r="H54" s="14">
        <v>0.005</v>
      </c>
      <c r="I54" s="11">
        <v>238</v>
      </c>
      <c r="J54" s="11">
        <v>243.49</v>
      </c>
      <c r="K54" s="11">
        <v>240.485</v>
      </c>
      <c r="L54" s="19">
        <f t="shared" si="2"/>
        <v>-0.833333333333333</v>
      </c>
      <c r="M54" s="19">
        <f t="shared" si="3"/>
        <v>1.45416666666667</v>
      </c>
      <c r="N54" s="15">
        <f t="shared" si="4"/>
        <v>0.202083333333339</v>
      </c>
    </row>
  </sheetData>
  <mergeCells count="1">
    <mergeCell ref="A1:N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zoomScale="85" zoomScaleNormal="85" workbookViewId="0">
      <selection activeCell="B2" sqref="B2"/>
    </sheetView>
  </sheetViews>
  <sheetFormatPr defaultColWidth="8.88888888888889" defaultRowHeight="14.4"/>
  <cols>
    <col min="1" max="1" width="17.6666666666667" customWidth="1"/>
    <col min="2" max="2" width="11.4444444444444" customWidth="1"/>
    <col min="21" max="21" width="31.4444444444444" customWidth="1"/>
  </cols>
  <sheetData>
    <row r="1" spans="1:26">
      <c r="A1" s="1" t="s">
        <v>0</v>
      </c>
      <c r="B1" s="4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4</v>
      </c>
      <c r="O1" s="1" t="s">
        <v>87</v>
      </c>
      <c r="P1" s="1" t="s">
        <v>88</v>
      </c>
      <c r="Q1" t="s">
        <v>89</v>
      </c>
      <c r="R1" s="1" t="s">
        <v>5</v>
      </c>
      <c r="S1" s="1" t="s">
        <v>6</v>
      </c>
      <c r="T1" s="1" t="s">
        <v>90</v>
      </c>
      <c r="U1" s="1" t="s">
        <v>91</v>
      </c>
      <c r="V1" s="3" t="s">
        <v>92</v>
      </c>
      <c r="W1" s="3" t="s">
        <v>93</v>
      </c>
      <c r="X1" t="s">
        <v>8</v>
      </c>
      <c r="Y1" t="s">
        <v>9</v>
      </c>
      <c r="Z1" t="s">
        <v>94</v>
      </c>
    </row>
    <row r="2" spans="1:26">
      <c r="A2" t="s">
        <v>95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96</v>
      </c>
      <c r="Q2">
        <v>60</v>
      </c>
      <c r="R2">
        <v>0.001</v>
      </c>
      <c r="S2">
        <v>0.001</v>
      </c>
      <c r="T2">
        <v>0.1</v>
      </c>
      <c r="U2" t="s">
        <v>97</v>
      </c>
      <c r="V2">
        <v>0</v>
      </c>
      <c r="W2">
        <v>0</v>
      </c>
      <c r="X2">
        <v>5</v>
      </c>
      <c r="Y2">
        <v>0.1</v>
      </c>
      <c r="Z2" t="s">
        <v>97</v>
      </c>
    </row>
    <row r="3" spans="1:26">
      <c r="A3" t="s">
        <v>98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96</v>
      </c>
      <c r="Q3">
        <v>60</v>
      </c>
      <c r="R3">
        <v>0.001</v>
      </c>
      <c r="S3">
        <v>0.001</v>
      </c>
      <c r="T3">
        <v>0.1</v>
      </c>
      <c r="U3" t="s">
        <v>99</v>
      </c>
      <c r="V3">
        <v>0</v>
      </c>
      <c r="W3">
        <v>0</v>
      </c>
      <c r="X3">
        <v>5</v>
      </c>
      <c r="Y3">
        <v>0.1</v>
      </c>
      <c r="Z3" t="s">
        <v>99</v>
      </c>
    </row>
    <row r="4" spans="1:26">
      <c r="A4" t="s">
        <v>100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96</v>
      </c>
      <c r="Q4">
        <v>60</v>
      </c>
      <c r="R4">
        <v>0.001</v>
      </c>
      <c r="S4">
        <v>0.001</v>
      </c>
      <c r="T4">
        <v>0.1</v>
      </c>
      <c r="U4" t="s">
        <v>101</v>
      </c>
      <c r="V4">
        <v>0</v>
      </c>
      <c r="W4">
        <v>0</v>
      </c>
      <c r="X4">
        <v>5</v>
      </c>
      <c r="Y4">
        <v>0.1</v>
      </c>
      <c r="Z4" t="s">
        <v>101</v>
      </c>
    </row>
    <row r="5" spans="1:26">
      <c r="A5" t="s">
        <v>102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96</v>
      </c>
      <c r="Q5">
        <v>60</v>
      </c>
      <c r="R5">
        <v>0.001</v>
      </c>
      <c r="S5">
        <v>0.001</v>
      </c>
      <c r="T5">
        <v>0.1</v>
      </c>
      <c r="U5" t="s">
        <v>97</v>
      </c>
      <c r="V5">
        <v>0</v>
      </c>
      <c r="W5">
        <v>0</v>
      </c>
      <c r="X5">
        <v>5</v>
      </c>
      <c r="Y5">
        <v>0.1</v>
      </c>
      <c r="Z5" t="s">
        <v>97</v>
      </c>
    </row>
    <row r="6" spans="1:26">
      <c r="A6" t="s">
        <v>103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96</v>
      </c>
      <c r="Q6">
        <v>60</v>
      </c>
      <c r="R6">
        <v>0.001</v>
      </c>
      <c r="S6">
        <v>0.001</v>
      </c>
      <c r="T6">
        <v>0.1</v>
      </c>
      <c r="U6" t="s">
        <v>99</v>
      </c>
      <c r="V6">
        <v>0</v>
      </c>
      <c r="W6">
        <v>0</v>
      </c>
      <c r="X6">
        <v>5</v>
      </c>
      <c r="Y6">
        <v>0.1</v>
      </c>
      <c r="Z6" t="s">
        <v>99</v>
      </c>
    </row>
    <row r="7" spans="1:26">
      <c r="A7" t="s">
        <v>104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96</v>
      </c>
      <c r="Q7">
        <v>60</v>
      </c>
      <c r="R7">
        <v>0.001</v>
      </c>
      <c r="S7">
        <v>0.001</v>
      </c>
      <c r="T7">
        <v>0.1</v>
      </c>
      <c r="U7" t="s">
        <v>101</v>
      </c>
      <c r="V7">
        <v>0</v>
      </c>
      <c r="W7">
        <v>0</v>
      </c>
      <c r="X7">
        <v>5</v>
      </c>
      <c r="Y7">
        <v>0.1</v>
      </c>
      <c r="Z7" t="s">
        <v>101</v>
      </c>
    </row>
    <row r="8" spans="1:26">
      <c r="A8" t="s">
        <v>105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96</v>
      </c>
      <c r="Q8">
        <v>57</v>
      </c>
      <c r="R8">
        <v>0.001</v>
      </c>
      <c r="S8">
        <v>0.001</v>
      </c>
      <c r="T8">
        <v>0.1</v>
      </c>
      <c r="U8" t="s">
        <v>97</v>
      </c>
      <c r="V8">
        <v>0</v>
      </c>
      <c r="W8">
        <v>0</v>
      </c>
      <c r="X8">
        <v>5</v>
      </c>
      <c r="Y8">
        <v>0.1</v>
      </c>
      <c r="Z8" t="s">
        <v>97</v>
      </c>
    </row>
    <row r="9" spans="1:26">
      <c r="A9" t="s">
        <v>106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96</v>
      </c>
      <c r="Q9">
        <v>63</v>
      </c>
      <c r="R9">
        <v>0.001</v>
      </c>
      <c r="S9">
        <v>0.001</v>
      </c>
      <c r="T9">
        <v>0.1</v>
      </c>
      <c r="U9" t="s">
        <v>97</v>
      </c>
      <c r="V9">
        <v>0</v>
      </c>
      <c r="W9">
        <v>0</v>
      </c>
      <c r="X9">
        <v>5</v>
      </c>
      <c r="Y9">
        <v>0.1</v>
      </c>
      <c r="Z9" t="s">
        <v>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F12" sqref="F12"/>
    </sheetView>
  </sheetViews>
  <sheetFormatPr defaultColWidth="8.88888888888889" defaultRowHeight="14.4"/>
  <cols>
    <col min="1" max="1" width="19.5555555555556" customWidth="1"/>
  </cols>
  <sheetData>
    <row r="1" spans="1:26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4</v>
      </c>
      <c r="O1" s="1" t="s">
        <v>87</v>
      </c>
      <c r="P1" s="1" t="s">
        <v>88</v>
      </c>
      <c r="Q1" t="s">
        <v>89</v>
      </c>
      <c r="R1" s="1" t="s">
        <v>5</v>
      </c>
      <c r="S1" s="1" t="s">
        <v>6</v>
      </c>
      <c r="T1" s="1" t="s">
        <v>90</v>
      </c>
      <c r="U1" s="1" t="s">
        <v>91</v>
      </c>
      <c r="V1" s="3" t="s">
        <v>92</v>
      </c>
      <c r="W1" s="3" t="s">
        <v>93</v>
      </c>
      <c r="X1" t="s">
        <v>8</v>
      </c>
      <c r="Y1" t="s">
        <v>9</v>
      </c>
      <c r="Z1" t="s">
        <v>94</v>
      </c>
    </row>
    <row r="2" spans="1:26">
      <c r="A2" t="s">
        <v>95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96</v>
      </c>
      <c r="Q2">
        <v>60</v>
      </c>
      <c r="R2">
        <v>0.001</v>
      </c>
      <c r="S2">
        <v>0.001</v>
      </c>
      <c r="T2">
        <v>0.1</v>
      </c>
      <c r="U2" t="s">
        <v>97</v>
      </c>
      <c r="V2">
        <v>0</v>
      </c>
      <c r="W2">
        <v>0</v>
      </c>
      <c r="X2">
        <v>5</v>
      </c>
      <c r="Y2">
        <v>0.1</v>
      </c>
      <c r="Z2" t="s">
        <v>97</v>
      </c>
    </row>
    <row r="3" spans="1:26">
      <c r="A3" t="s">
        <v>98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96</v>
      </c>
      <c r="Q3">
        <v>60</v>
      </c>
      <c r="R3">
        <v>0.001</v>
      </c>
      <c r="S3">
        <v>0.001</v>
      </c>
      <c r="T3">
        <v>0.1</v>
      </c>
      <c r="U3" t="s">
        <v>99</v>
      </c>
      <c r="V3">
        <v>0</v>
      </c>
      <c r="W3">
        <v>0</v>
      </c>
      <c r="X3">
        <v>5</v>
      </c>
      <c r="Y3">
        <v>0.1</v>
      </c>
      <c r="Z3" t="s">
        <v>99</v>
      </c>
    </row>
    <row r="4" spans="1:26">
      <c r="A4" t="s">
        <v>100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96</v>
      </c>
      <c r="Q4">
        <v>60</v>
      </c>
      <c r="R4">
        <v>0.001</v>
      </c>
      <c r="S4">
        <v>0.001</v>
      </c>
      <c r="T4">
        <v>0.1</v>
      </c>
      <c r="U4" t="s">
        <v>101</v>
      </c>
      <c r="V4">
        <v>0</v>
      </c>
      <c r="W4">
        <v>0</v>
      </c>
      <c r="X4">
        <v>5</v>
      </c>
      <c r="Y4">
        <v>0.1</v>
      </c>
      <c r="Z4" t="s">
        <v>101</v>
      </c>
    </row>
    <row r="5" spans="1:26">
      <c r="A5" t="s">
        <v>102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96</v>
      </c>
      <c r="Q5">
        <v>60</v>
      </c>
      <c r="R5">
        <v>0.001</v>
      </c>
      <c r="S5">
        <v>0.001</v>
      </c>
      <c r="T5">
        <v>0.1</v>
      </c>
      <c r="U5" t="s">
        <v>97</v>
      </c>
      <c r="V5">
        <v>0</v>
      </c>
      <c r="W5">
        <v>0</v>
      </c>
      <c r="X5">
        <v>5</v>
      </c>
      <c r="Y5">
        <v>0.1</v>
      </c>
      <c r="Z5" t="s">
        <v>97</v>
      </c>
    </row>
    <row r="6" spans="1:26">
      <c r="A6" t="s">
        <v>103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96</v>
      </c>
      <c r="Q6">
        <v>60</v>
      </c>
      <c r="R6">
        <v>0.001</v>
      </c>
      <c r="S6">
        <v>0.001</v>
      </c>
      <c r="T6">
        <v>0.1</v>
      </c>
      <c r="U6" t="s">
        <v>99</v>
      </c>
      <c r="V6">
        <v>0</v>
      </c>
      <c r="W6">
        <v>0</v>
      </c>
      <c r="X6">
        <v>5</v>
      </c>
      <c r="Y6">
        <v>0.1</v>
      </c>
      <c r="Z6" t="s">
        <v>99</v>
      </c>
    </row>
    <row r="7" spans="1:26">
      <c r="A7" t="s">
        <v>104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96</v>
      </c>
      <c r="Q7">
        <v>60</v>
      </c>
      <c r="R7">
        <v>0.001</v>
      </c>
      <c r="S7">
        <v>0.001</v>
      </c>
      <c r="T7">
        <v>0.1</v>
      </c>
      <c r="U7" t="s">
        <v>101</v>
      </c>
      <c r="V7">
        <v>0</v>
      </c>
      <c r="W7">
        <v>0</v>
      </c>
      <c r="X7">
        <v>5</v>
      </c>
      <c r="Y7">
        <v>0.1</v>
      </c>
      <c r="Z7" t="s">
        <v>101</v>
      </c>
    </row>
    <row r="8" spans="1:26">
      <c r="A8" t="s">
        <v>105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96</v>
      </c>
      <c r="Q8">
        <v>57</v>
      </c>
      <c r="R8">
        <v>0.001</v>
      </c>
      <c r="S8">
        <v>0.001</v>
      </c>
      <c r="T8">
        <v>0.1</v>
      </c>
      <c r="U8" t="s">
        <v>97</v>
      </c>
      <c r="V8">
        <v>0</v>
      </c>
      <c r="W8">
        <v>0</v>
      </c>
      <c r="X8">
        <v>5</v>
      </c>
      <c r="Y8">
        <v>0.1</v>
      </c>
      <c r="Z8" t="s">
        <v>97</v>
      </c>
    </row>
    <row r="9" spans="1:26">
      <c r="A9" t="s">
        <v>106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96</v>
      </c>
      <c r="Q9">
        <v>63</v>
      </c>
      <c r="R9">
        <v>0.001</v>
      </c>
      <c r="S9">
        <v>0.001</v>
      </c>
      <c r="T9">
        <v>0.1</v>
      </c>
      <c r="U9" t="s">
        <v>97</v>
      </c>
      <c r="V9">
        <v>0</v>
      </c>
      <c r="W9">
        <v>0</v>
      </c>
      <c r="X9">
        <v>5</v>
      </c>
      <c r="Y9">
        <v>0.1</v>
      </c>
      <c r="Z9" t="s">
        <v>97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J23" sqref="J23"/>
    </sheetView>
  </sheetViews>
  <sheetFormatPr defaultColWidth="8.88888888888889" defaultRowHeight="14.4"/>
  <cols>
    <col min="1" max="1" width="17.6666666666667" customWidth="1"/>
    <col min="5" max="5" width="12.8888888888889"/>
  </cols>
  <sheetData>
    <row r="1" spans="1:26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4</v>
      </c>
      <c r="O1" s="1" t="s">
        <v>87</v>
      </c>
      <c r="P1" s="1" t="s">
        <v>88</v>
      </c>
      <c r="Q1" t="s">
        <v>89</v>
      </c>
      <c r="R1" s="1" t="s">
        <v>5</v>
      </c>
      <c r="S1" s="1" t="s">
        <v>6</v>
      </c>
      <c r="T1" s="1" t="s">
        <v>90</v>
      </c>
      <c r="U1" s="1" t="s">
        <v>91</v>
      </c>
      <c r="V1" s="3" t="s">
        <v>92</v>
      </c>
      <c r="W1" s="3" t="s">
        <v>93</v>
      </c>
      <c r="X1" t="s">
        <v>8</v>
      </c>
      <c r="Y1" t="s">
        <v>9</v>
      </c>
      <c r="Z1" t="s">
        <v>94</v>
      </c>
    </row>
    <row r="2" spans="1:25">
      <c r="A2" t="s">
        <v>107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96</v>
      </c>
      <c r="Q2">
        <v>60</v>
      </c>
      <c r="R2">
        <v>0.001</v>
      </c>
      <c r="S2">
        <v>0.002</v>
      </c>
      <c r="T2">
        <v>0.1</v>
      </c>
      <c r="U2">
        <v>0.004</v>
      </c>
      <c r="V2">
        <v>0</v>
      </c>
      <c r="W2">
        <v>0</v>
      </c>
      <c r="X2">
        <v>3000</v>
      </c>
      <c r="Y2">
        <v>0.1</v>
      </c>
    </row>
    <row r="3" spans="1:25">
      <c r="A3" t="s">
        <v>108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96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3000</v>
      </c>
      <c r="Y3">
        <v>0.1</v>
      </c>
    </row>
    <row r="4" spans="1:25">
      <c r="A4" t="s">
        <v>109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96</v>
      </c>
      <c r="Q4">
        <v>60</v>
      </c>
      <c r="R4">
        <v>0.001</v>
      </c>
      <c r="S4">
        <v>0.002</v>
      </c>
      <c r="T4">
        <v>0.1</v>
      </c>
      <c r="U4">
        <v>0.004</v>
      </c>
      <c r="V4">
        <v>0</v>
      </c>
      <c r="W4">
        <v>0</v>
      </c>
      <c r="X4">
        <v>3000</v>
      </c>
      <c r="Y4">
        <v>0.1</v>
      </c>
    </row>
    <row r="5" spans="1:25">
      <c r="A5" t="s">
        <v>110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96</v>
      </c>
      <c r="Q5">
        <v>60</v>
      </c>
      <c r="R5">
        <v>0.001</v>
      </c>
      <c r="S5">
        <v>0.002</v>
      </c>
      <c r="T5">
        <v>0.1</v>
      </c>
      <c r="U5">
        <v>0.004</v>
      </c>
      <c r="V5">
        <v>0</v>
      </c>
      <c r="W5">
        <v>0</v>
      </c>
      <c r="X5">
        <v>3000</v>
      </c>
      <c r="Y5">
        <v>0.1</v>
      </c>
    </row>
    <row r="6" spans="1:25">
      <c r="A6" t="s">
        <v>111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96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3000</v>
      </c>
      <c r="Y6">
        <v>0.1</v>
      </c>
    </row>
    <row r="7" spans="1:25">
      <c r="A7" t="s">
        <v>112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96</v>
      </c>
      <c r="Q7">
        <v>60</v>
      </c>
      <c r="R7">
        <v>0.001</v>
      </c>
      <c r="S7">
        <v>0.002</v>
      </c>
      <c r="T7">
        <v>0.1</v>
      </c>
      <c r="U7">
        <v>0.004</v>
      </c>
      <c r="V7">
        <v>0</v>
      </c>
      <c r="W7">
        <v>0</v>
      </c>
      <c r="X7">
        <v>3000</v>
      </c>
      <c r="Y7">
        <v>0.1</v>
      </c>
    </row>
    <row r="8" spans="1:25">
      <c r="A8" t="s">
        <v>113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96</v>
      </c>
      <c r="Q8">
        <v>60</v>
      </c>
      <c r="R8">
        <v>0.001</v>
      </c>
      <c r="S8">
        <v>0.002</v>
      </c>
      <c r="T8">
        <v>0.1</v>
      </c>
      <c r="U8">
        <v>0.004</v>
      </c>
      <c r="V8">
        <v>0</v>
      </c>
      <c r="W8">
        <v>0</v>
      </c>
      <c r="X8">
        <v>3000</v>
      </c>
      <c r="Y8">
        <v>0.1</v>
      </c>
    </row>
    <row r="9" spans="1:25">
      <c r="A9" t="s">
        <v>114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96</v>
      </c>
      <c r="Q9">
        <v>60</v>
      </c>
      <c r="R9">
        <v>0.001</v>
      </c>
      <c r="S9">
        <v>0.001</v>
      </c>
      <c r="T9">
        <v>0.1</v>
      </c>
      <c r="U9">
        <v>0.004</v>
      </c>
      <c r="V9">
        <v>0</v>
      </c>
      <c r="W9">
        <v>0</v>
      </c>
      <c r="X9">
        <v>3000</v>
      </c>
      <c r="Y9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test_case_dc260</vt:lpstr>
      <vt:lpstr>test_case_dc260-all</vt:lpstr>
      <vt:lpstr>test_case_dc260-bak</vt:lpstr>
      <vt:lpstr>能量脉冲</vt:lpstr>
      <vt:lpstr>能量脉冲结果</vt:lpstr>
      <vt:lpstr>test_case_mV-1e2w1p</vt:lpstr>
      <vt:lpstr>test_case_mA-1e2w1p</vt:lpstr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YangWang</cp:lastModifiedBy>
  <dcterms:created xsi:type="dcterms:W3CDTF">2024-11-11T01:20:00Z</dcterms:created>
  <dcterms:modified xsi:type="dcterms:W3CDTF">2025-09-02T03:23:51Z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