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filterPrivacy="1" defaultThemeVersion="124226"/>
  <xr:revisionPtr revIDLastSave="426" documentId="13_ncr:1_{B6898F3D-DAE3-4390-A8B3-C1028ED661BE}" xr6:coauthVersionLast="47" xr6:coauthVersionMax="47" xr10:uidLastSave="{3E32B536-5324-431F-8C13-4B574DE5C36D}"/>
  <bookViews>
    <workbookView xWindow="-120" yWindow="-120" windowWidth="29040" windowHeight="15840" tabRatio="851" xr2:uid="{00000000-000D-0000-FFFF-FFFF00000000}"/>
  </bookViews>
  <sheets>
    <sheet name="Version" sheetId="33" r:id="rId1"/>
    <sheet name="Summary" sheetId="34" r:id="rId2"/>
    <sheet name="Basic Configuration" sheetId="8" r:id="rId3"/>
    <sheet name="Calibration" sheetId="24" r:id="rId4"/>
    <sheet name="MaxMin" sheetId="11" r:id="rId5"/>
    <sheet name="Readings" sheetId="10" r:id="rId6"/>
    <sheet name="System Info" sheetId="4" r:id="rId7"/>
    <sheet name="Datalog" sheetId="9" r:id="rId8"/>
  </sheets>
  <definedNames>
    <definedName name="OLE_LINK1" localSheetId="2">'Basic Configuration'!#REF!</definedName>
    <definedName name="OLE_LINK5" localSheetId="6">'System Info'!$A$28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0" l="1"/>
  <c r="A24" i="10"/>
  <c r="G23" i="10"/>
  <c r="C23" i="10"/>
  <c r="A23" i="10"/>
  <c r="A43" i="10"/>
  <c r="G43" i="10"/>
  <c r="C43" i="10" s="1"/>
  <c r="E44" i="10"/>
  <c r="A44" i="10" s="1"/>
  <c r="G44" i="10"/>
  <c r="C44" i="10" s="1"/>
  <c r="E45" i="10"/>
  <c r="A45" i="10" s="1"/>
  <c r="G45" i="10"/>
  <c r="C45" i="10" s="1"/>
  <c r="E46" i="10"/>
  <c r="A46" i="10" s="1"/>
  <c r="G46" i="10"/>
  <c r="C46" i="10" s="1"/>
  <c r="E47" i="10"/>
  <c r="A47" i="10" s="1"/>
  <c r="G47" i="10"/>
  <c r="C47" i="10" s="1"/>
  <c r="E48" i="10"/>
  <c r="A48" i="10" s="1"/>
  <c r="G48" i="10"/>
  <c r="C48" i="10" s="1"/>
  <c r="E49" i="10"/>
  <c r="A49" i="10" s="1"/>
  <c r="G49" i="10"/>
  <c r="C49" i="10" s="1"/>
  <c r="E50" i="10"/>
  <c r="A50" i="10" s="1"/>
  <c r="G50" i="10"/>
  <c r="C50" i="10" s="1"/>
  <c r="E51" i="10"/>
  <c r="A51" i="10" s="1"/>
  <c r="G51" i="10"/>
  <c r="C51" i="10" s="1"/>
  <c r="E52" i="10"/>
  <c r="A52" i="10" s="1"/>
  <c r="G52" i="10"/>
  <c r="C52" i="10" s="1"/>
  <c r="E53" i="10"/>
  <c r="A53" i="10" s="1"/>
  <c r="G53" i="10"/>
  <c r="C53" i="10" s="1"/>
  <c r="E54" i="10"/>
  <c r="A54" i="10" s="1"/>
  <c r="G54" i="10"/>
  <c r="C54" i="10" s="1"/>
  <c r="E55" i="10"/>
  <c r="A55" i="10" s="1"/>
  <c r="G55" i="10"/>
  <c r="C55" i="10" s="1"/>
  <c r="E56" i="10"/>
  <c r="A56" i="10" s="1"/>
  <c r="G56" i="10"/>
  <c r="C56" i="10" s="1"/>
  <c r="E57" i="10"/>
  <c r="A57" i="10" s="1"/>
  <c r="G57" i="10"/>
  <c r="C57" i="10" s="1"/>
  <c r="E58" i="10"/>
  <c r="A58" i="10" s="1"/>
  <c r="G58" i="10"/>
  <c r="C58" i="10" s="1"/>
  <c r="G10" i="4"/>
  <c r="E11" i="4" s="1"/>
  <c r="C10" i="4"/>
  <c r="A10" i="4"/>
  <c r="C62" i="11"/>
  <c r="C63" i="11"/>
  <c r="C64" i="11"/>
  <c r="C65" i="11"/>
  <c r="A62" i="11"/>
  <c r="A63" i="11"/>
  <c r="A64" i="11"/>
  <c r="A65" i="11"/>
  <c r="G62" i="11"/>
  <c r="G63" i="11"/>
  <c r="G64" i="11"/>
  <c r="G65" i="11"/>
  <c r="E62" i="11"/>
  <c r="E63" i="11"/>
  <c r="E64" i="11"/>
  <c r="E65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42" i="11"/>
  <c r="C36" i="11"/>
  <c r="C37" i="11"/>
  <c r="C38" i="11"/>
  <c r="C39" i="11"/>
  <c r="A36" i="11"/>
  <c r="A37" i="11"/>
  <c r="A38" i="11"/>
  <c r="A39" i="11"/>
  <c r="G37" i="11"/>
  <c r="G38" i="11"/>
  <c r="G39" i="11"/>
  <c r="G36" i="11"/>
  <c r="E37" i="11"/>
  <c r="E38" i="11"/>
  <c r="E39" i="11"/>
  <c r="E36" i="11"/>
  <c r="G63" i="10"/>
  <c r="G3" i="10"/>
  <c r="G117" i="8"/>
  <c r="C117" i="8" s="1"/>
  <c r="G69" i="8"/>
  <c r="C69" i="8" s="1"/>
  <c r="G58" i="8"/>
  <c r="C58" i="8" s="1"/>
  <c r="A58" i="8"/>
  <c r="A69" i="8"/>
  <c r="G3" i="8"/>
  <c r="E25" i="10" l="1"/>
  <c r="G24" i="10"/>
  <c r="C24" i="10" s="1"/>
  <c r="G11" i="4"/>
  <c r="A11" i="4"/>
  <c r="C3" i="8"/>
  <c r="E4" i="8"/>
  <c r="G4" i="8" s="1"/>
  <c r="A4" i="8"/>
  <c r="E5" i="8"/>
  <c r="C4" i="8"/>
  <c r="E59" i="8"/>
  <c r="E26" i="10" l="1"/>
  <c r="G25" i="10"/>
  <c r="C25" i="10" s="1"/>
  <c r="A25" i="10"/>
  <c r="E12" i="4"/>
  <c r="C11" i="4"/>
  <c r="G59" i="8"/>
  <c r="A59" i="8"/>
  <c r="G5" i="8"/>
  <c r="A5" i="8"/>
  <c r="E27" i="10" l="1"/>
  <c r="G26" i="10"/>
  <c r="C26" i="10" s="1"/>
  <c r="A26" i="10"/>
  <c r="G12" i="4"/>
  <c r="C12" i="4" s="1"/>
  <c r="A12" i="4"/>
  <c r="E6" i="8"/>
  <c r="C5" i="8"/>
  <c r="C59" i="8"/>
  <c r="E60" i="8"/>
  <c r="G60" i="8" s="1"/>
  <c r="E28" i="10" l="1"/>
  <c r="G27" i="10"/>
  <c r="C27" i="10" s="1"/>
  <c r="A27" i="10"/>
  <c r="E61" i="8"/>
  <c r="G61" i="8" s="1"/>
  <c r="C60" i="8"/>
  <c r="G6" i="8"/>
  <c r="A6" i="8"/>
  <c r="E29" i="10" l="1"/>
  <c r="G28" i="10"/>
  <c r="C28" i="10" s="1"/>
  <c r="A28" i="10"/>
  <c r="E7" i="8"/>
  <c r="C6" i="8"/>
  <c r="E62" i="8"/>
  <c r="G62" i="8" s="1"/>
  <c r="C61" i="8"/>
  <c r="E30" i="10" l="1"/>
  <c r="G29" i="10"/>
  <c r="C29" i="10" s="1"/>
  <c r="A29" i="10"/>
  <c r="E63" i="8"/>
  <c r="G63" i="8" s="1"/>
  <c r="C62" i="8"/>
  <c r="G7" i="8"/>
  <c r="A7" i="8"/>
  <c r="E31" i="10" l="1"/>
  <c r="G30" i="10"/>
  <c r="C30" i="10" s="1"/>
  <c r="A30" i="10"/>
  <c r="E8" i="8"/>
  <c r="C7" i="8"/>
  <c r="E64" i="8"/>
  <c r="G64" i="8" s="1"/>
  <c r="C64" i="8" s="1"/>
  <c r="C63" i="8"/>
  <c r="E32" i="10" l="1"/>
  <c r="G31" i="10"/>
  <c r="C31" i="10" s="1"/>
  <c r="A31" i="10"/>
  <c r="G8" i="8"/>
  <c r="A8" i="8"/>
  <c r="E33" i="10" l="1"/>
  <c r="G32" i="10"/>
  <c r="C32" i="10" s="1"/>
  <c r="A32" i="10"/>
  <c r="E9" i="8"/>
  <c r="C8" i="8"/>
  <c r="E34" i="10" l="1"/>
  <c r="G33" i="10"/>
  <c r="C33" i="10" s="1"/>
  <c r="A33" i="10"/>
  <c r="G9" i="8"/>
  <c r="A9" i="8"/>
  <c r="E35" i="10" l="1"/>
  <c r="G34" i="10"/>
  <c r="C34" i="10" s="1"/>
  <c r="A34" i="10"/>
  <c r="E10" i="8"/>
  <c r="C9" i="8"/>
  <c r="E36" i="10" l="1"/>
  <c r="G35" i="10"/>
  <c r="C35" i="10" s="1"/>
  <c r="A35" i="10"/>
  <c r="G10" i="8"/>
  <c r="A10" i="8"/>
  <c r="E37" i="10" l="1"/>
  <c r="G36" i="10"/>
  <c r="C36" i="10" s="1"/>
  <c r="A36" i="10"/>
  <c r="E11" i="8"/>
  <c r="C10" i="8"/>
  <c r="E38" i="10" l="1"/>
  <c r="G37" i="10"/>
  <c r="C37" i="10" s="1"/>
  <c r="A37" i="10"/>
  <c r="G11" i="8"/>
  <c r="A11" i="8"/>
  <c r="E39" i="10" l="1"/>
  <c r="G38" i="10"/>
  <c r="C38" i="10" s="1"/>
  <c r="A38" i="10"/>
  <c r="E12" i="8"/>
  <c r="C11" i="8"/>
  <c r="E40" i="10" l="1"/>
  <c r="G39" i="10"/>
  <c r="C39" i="10" s="1"/>
  <c r="A39" i="10"/>
  <c r="E59" i="10"/>
  <c r="G12" i="8"/>
  <c r="A12" i="8"/>
  <c r="G40" i="10" l="1"/>
  <c r="C40" i="10" s="1"/>
  <c r="A40" i="10"/>
  <c r="A59" i="10"/>
  <c r="G59" i="10"/>
  <c r="C59" i="10" s="1"/>
  <c r="E60" i="10"/>
  <c r="E13" i="8"/>
  <c r="C12" i="8"/>
  <c r="A60" i="10" l="1"/>
  <c r="G60" i="10"/>
  <c r="C60" i="10" s="1"/>
  <c r="G13" i="8"/>
  <c r="A13" i="8"/>
  <c r="E14" i="8" l="1"/>
  <c r="C13" i="8"/>
  <c r="G14" i="8" l="1"/>
  <c r="A14" i="8"/>
  <c r="E15" i="8" l="1"/>
  <c r="C14" i="8"/>
  <c r="G15" i="8" l="1"/>
  <c r="A15" i="8"/>
  <c r="E16" i="8" l="1"/>
  <c r="C15" i="8"/>
  <c r="G16" i="8" l="1"/>
  <c r="A16" i="8"/>
  <c r="E17" i="8" l="1"/>
  <c r="C16" i="8"/>
  <c r="G17" i="8" l="1"/>
  <c r="A17" i="8"/>
  <c r="E18" i="8" l="1"/>
  <c r="C17" i="8"/>
  <c r="G18" i="8" l="1"/>
  <c r="A18" i="8"/>
  <c r="E19" i="8" l="1"/>
  <c r="C18" i="8"/>
  <c r="G19" i="8" l="1"/>
  <c r="A19" i="8"/>
  <c r="E20" i="8" l="1"/>
  <c r="C19" i="8"/>
  <c r="G20" i="8" l="1"/>
  <c r="A20" i="8"/>
  <c r="E21" i="8" l="1"/>
  <c r="C20" i="8"/>
  <c r="G21" i="8" l="1"/>
  <c r="A21" i="8"/>
  <c r="E22" i="8" l="1"/>
  <c r="C21" i="8"/>
  <c r="G22" i="8" l="1"/>
  <c r="A22" i="8"/>
  <c r="E23" i="8" l="1"/>
  <c r="C22" i="8"/>
  <c r="G23" i="8" l="1"/>
  <c r="A23" i="8"/>
  <c r="E24" i="8" l="1"/>
  <c r="C23" i="8"/>
  <c r="G24" i="8" l="1"/>
  <c r="A24" i="8"/>
  <c r="E25" i="8" l="1"/>
  <c r="C24" i="8"/>
  <c r="G25" i="8" l="1"/>
  <c r="A25" i="8"/>
  <c r="E26" i="8" l="1"/>
  <c r="C25" i="8"/>
  <c r="G26" i="8" l="1"/>
  <c r="A26" i="8"/>
  <c r="E27" i="8" l="1"/>
  <c r="C26" i="8"/>
  <c r="G27" i="8" l="1"/>
  <c r="A27" i="8"/>
  <c r="E28" i="8" l="1"/>
  <c r="C27" i="8"/>
  <c r="G28" i="8" l="1"/>
  <c r="A28" i="8"/>
  <c r="E29" i="8" l="1"/>
  <c r="C28" i="8"/>
  <c r="G29" i="8" l="1"/>
  <c r="A29" i="8"/>
  <c r="E30" i="8" l="1"/>
  <c r="C29" i="8"/>
  <c r="G30" i="8" l="1"/>
  <c r="A30" i="8"/>
  <c r="E31" i="8" l="1"/>
  <c r="C30" i="8"/>
  <c r="G31" i="8" l="1"/>
  <c r="A31" i="8"/>
  <c r="E32" i="8" l="1"/>
  <c r="C31" i="8"/>
  <c r="G32" i="8" l="1"/>
  <c r="A32" i="8"/>
  <c r="E33" i="8" l="1"/>
  <c r="C32" i="8"/>
  <c r="G33" i="8" l="1"/>
  <c r="A33" i="8"/>
  <c r="E34" i="8" l="1"/>
  <c r="C33" i="8"/>
  <c r="G34" i="8" l="1"/>
  <c r="A34" i="8"/>
  <c r="E35" i="8" l="1"/>
  <c r="C34" i="8"/>
  <c r="G35" i="8" l="1"/>
  <c r="E36" i="8" s="1"/>
  <c r="A35" i="8"/>
  <c r="A36" i="8" l="1"/>
  <c r="G36" i="8"/>
  <c r="C35" i="8"/>
  <c r="C36" i="8" l="1"/>
  <c r="E37" i="8"/>
  <c r="A37" i="8" l="1"/>
  <c r="G37" i="8"/>
  <c r="G4" i="4"/>
  <c r="A5" i="24"/>
  <c r="C5" i="24"/>
  <c r="C6" i="24" s="1"/>
  <c r="A51" i="9"/>
  <c r="E52" i="9"/>
  <c r="E53" i="9" s="1"/>
  <c r="G53" i="9" s="1"/>
  <c r="C53" i="9" s="1"/>
  <c r="A66" i="9"/>
  <c r="E67" i="9"/>
  <c r="E68" i="9" s="1"/>
  <c r="A73" i="9"/>
  <c r="G73" i="9"/>
  <c r="C73" i="9" s="1"/>
  <c r="E74" i="9"/>
  <c r="E75" i="9" s="1"/>
  <c r="G4" i="11"/>
  <c r="C4" i="11" s="1"/>
  <c r="E5" i="4" l="1"/>
  <c r="C4" i="4"/>
  <c r="A52" i="9"/>
  <c r="A75" i="9"/>
  <c r="E76" i="9"/>
  <c r="G74" i="9"/>
  <c r="C74" i="9" s="1"/>
  <c r="A74" i="9"/>
  <c r="C37" i="8"/>
  <c r="E38" i="8"/>
  <c r="A6" i="24"/>
  <c r="A68" i="9"/>
  <c r="G68" i="9"/>
  <c r="C68" i="9" s="1"/>
  <c r="E69" i="9"/>
  <c r="A67" i="9"/>
  <c r="A53" i="9"/>
  <c r="E54" i="9"/>
  <c r="E77" i="9" l="1"/>
  <c r="A76" i="9"/>
  <c r="A38" i="8"/>
  <c r="G38" i="8"/>
  <c r="A54" i="9"/>
  <c r="G54" i="9"/>
  <c r="C54" i="9" s="1"/>
  <c r="E55" i="9"/>
  <c r="G69" i="9"/>
  <c r="C69" i="9" s="1"/>
  <c r="A69" i="9"/>
  <c r="E78" i="9" l="1"/>
  <c r="A77" i="9"/>
  <c r="G77" i="9"/>
  <c r="C77" i="9" s="1"/>
  <c r="C38" i="8"/>
  <c r="E39" i="8"/>
  <c r="A55" i="9"/>
  <c r="E56" i="9"/>
  <c r="A78" i="9" l="1"/>
  <c r="G78" i="9"/>
  <c r="C78" i="9" s="1"/>
  <c r="A39" i="8"/>
  <c r="G39" i="8"/>
  <c r="A56" i="9"/>
  <c r="E57" i="9"/>
  <c r="C39" i="8" l="1"/>
  <c r="E40" i="8"/>
  <c r="A57" i="9"/>
  <c r="E58" i="9"/>
  <c r="A40" i="8" l="1"/>
  <c r="G40" i="8"/>
  <c r="A58" i="9"/>
  <c r="E59" i="9"/>
  <c r="C40" i="8" l="1"/>
  <c r="E41" i="8"/>
  <c r="A59" i="9"/>
  <c r="E60" i="9"/>
  <c r="A41" i="8" l="1"/>
  <c r="G41" i="8"/>
  <c r="E61" i="9"/>
  <c r="A60" i="9"/>
  <c r="C41" i="8" l="1"/>
  <c r="E42" i="8"/>
  <c r="E62" i="9"/>
  <c r="A62" i="9" s="1"/>
  <c r="A61" i="9"/>
  <c r="A42" i="8" l="1"/>
  <c r="G42" i="8"/>
  <c r="E43" i="8" s="1"/>
  <c r="G43" i="8" l="1"/>
  <c r="A43" i="8"/>
  <c r="C42" i="8"/>
  <c r="E44" i="8" l="1"/>
  <c r="A44" i="8" s="1"/>
  <c r="C43" i="8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  <c r="A4" i="24"/>
  <c r="D11" i="24"/>
  <c r="C12" i="24"/>
  <c r="C13" i="24" s="1"/>
  <c r="G44" i="8" l="1"/>
  <c r="D12" i="24"/>
  <c r="C14" i="24"/>
  <c r="D13" i="24"/>
  <c r="B11" i="24"/>
  <c r="A11" i="24"/>
  <c r="E64" i="10"/>
  <c r="E65" i="10" s="1"/>
  <c r="C63" i="10"/>
  <c r="A63" i="10"/>
  <c r="E4" i="10"/>
  <c r="A4" i="10" s="1"/>
  <c r="C3" i="10"/>
  <c r="A3" i="10"/>
  <c r="E118" i="8"/>
  <c r="A117" i="8"/>
  <c r="E70" i="8"/>
  <c r="A35" i="9"/>
  <c r="C37" i="9"/>
  <c r="C38" i="9"/>
  <c r="A28" i="9"/>
  <c r="G35" i="9"/>
  <c r="C35" i="9" s="1"/>
  <c r="E29" i="9"/>
  <c r="A29" i="9" s="1"/>
  <c r="G28" i="9"/>
  <c r="C28" i="9"/>
  <c r="E22" i="9"/>
  <c r="A22" i="9" s="1"/>
  <c r="A21" i="9"/>
  <c r="E43" i="11"/>
  <c r="A43" i="11"/>
  <c r="A42" i="11"/>
  <c r="A4" i="11"/>
  <c r="E5" i="11"/>
  <c r="G17" i="9"/>
  <c r="C17" i="9" s="1"/>
  <c r="G16" i="9"/>
  <c r="C16" i="9"/>
  <c r="A16" i="9"/>
  <c r="A4" i="9"/>
  <c r="E5" i="9"/>
  <c r="A5" i="9" s="1"/>
  <c r="G15" i="4"/>
  <c r="E16" i="4" s="1"/>
  <c r="A15" i="4"/>
  <c r="A5" i="11"/>
  <c r="E43" i="9"/>
  <c r="A43" i="9" s="1"/>
  <c r="A42" i="9"/>
  <c r="G42" i="9"/>
  <c r="C42" i="9" s="1"/>
  <c r="E36" i="9"/>
  <c r="A36" i="9" s="1"/>
  <c r="A17" i="9"/>
  <c r="C44" i="8" l="1"/>
  <c r="E45" i="8"/>
  <c r="E37" i="9"/>
  <c r="E6" i="9"/>
  <c r="A6" i="9" s="1"/>
  <c r="E23" i="9"/>
  <c r="G23" i="9" s="1"/>
  <c r="C23" i="9" s="1"/>
  <c r="G43" i="9"/>
  <c r="C43" i="9" s="1"/>
  <c r="E119" i="8"/>
  <c r="G119" i="8" s="1"/>
  <c r="C119" i="8" s="1"/>
  <c r="G118" i="8"/>
  <c r="C118" i="8" s="1"/>
  <c r="E71" i="8"/>
  <c r="A70" i="8"/>
  <c r="G70" i="8"/>
  <c r="C70" i="8" s="1"/>
  <c r="A61" i="8"/>
  <c r="A60" i="8"/>
  <c r="A118" i="8"/>
  <c r="G16" i="4"/>
  <c r="A16" i="4"/>
  <c r="C15" i="24"/>
  <c r="D14" i="24"/>
  <c r="E30" i="9"/>
  <c r="G29" i="9"/>
  <c r="C29" i="9" s="1"/>
  <c r="E7" i="9"/>
  <c r="E24" i="9"/>
  <c r="G6" i="9"/>
  <c r="C6" i="9" s="1"/>
  <c r="G36" i="9"/>
  <c r="C36" i="9" s="1"/>
  <c r="E44" i="9"/>
  <c r="E6" i="11"/>
  <c r="G6" i="11" s="1"/>
  <c r="C6" i="11" s="1"/>
  <c r="G5" i="11"/>
  <c r="E44" i="11"/>
  <c r="A6" i="11"/>
  <c r="E7" i="11"/>
  <c r="G7" i="11" s="1"/>
  <c r="C7" i="11" s="1"/>
  <c r="C5" i="11"/>
  <c r="A119" i="8"/>
  <c r="C15" i="4"/>
  <c r="A4" i="4"/>
  <c r="A12" i="24"/>
  <c r="B14" i="24"/>
  <c r="A13" i="24"/>
  <c r="B12" i="24"/>
  <c r="A14" i="24"/>
  <c r="B13" i="24"/>
  <c r="A62" i="8"/>
  <c r="E72" i="8"/>
  <c r="A64" i="10"/>
  <c r="G4" i="10"/>
  <c r="C4" i="10" s="1"/>
  <c r="A65" i="10"/>
  <c r="E66" i="10"/>
  <c r="G65" i="10"/>
  <c r="C65" i="10" s="1"/>
  <c r="G64" i="10"/>
  <c r="C64" i="10" s="1"/>
  <c r="E5" i="10"/>
  <c r="A45" i="8" l="1"/>
  <c r="G45" i="8"/>
  <c r="A23" i="9"/>
  <c r="E38" i="9"/>
  <c r="A37" i="9"/>
  <c r="E120" i="8"/>
  <c r="G120" i="8" s="1"/>
  <c r="C120" i="8" s="1"/>
  <c r="G72" i="8"/>
  <c r="C72" i="8" s="1"/>
  <c r="A72" i="8"/>
  <c r="A71" i="8"/>
  <c r="G71" i="8"/>
  <c r="C71" i="8" s="1"/>
  <c r="C16" i="4"/>
  <c r="E17" i="4"/>
  <c r="G17" i="4" s="1"/>
  <c r="E18" i="4" s="1"/>
  <c r="G18" i="4" s="1"/>
  <c r="E19" i="4" s="1"/>
  <c r="G19" i="4" s="1"/>
  <c r="E20" i="4" s="1"/>
  <c r="G20" i="4" s="1"/>
  <c r="E21" i="4" s="1"/>
  <c r="A17" i="4"/>
  <c r="C16" i="24"/>
  <c r="D15" i="24"/>
  <c r="A44" i="9"/>
  <c r="E45" i="9"/>
  <c r="A24" i="9"/>
  <c r="G24" i="9"/>
  <c r="C24" i="9" s="1"/>
  <c r="A30" i="9"/>
  <c r="E31" i="9"/>
  <c r="A7" i="9"/>
  <c r="E8" i="9"/>
  <c r="G7" i="9"/>
  <c r="C7" i="9" s="1"/>
  <c r="E45" i="11"/>
  <c r="A44" i="11"/>
  <c r="E8" i="11"/>
  <c r="G8" i="11" s="1"/>
  <c r="C8" i="11" s="1"/>
  <c r="A7" i="11"/>
  <c r="B15" i="24"/>
  <c r="A15" i="24"/>
  <c r="E73" i="8"/>
  <c r="A63" i="8"/>
  <c r="A3" i="8"/>
  <c r="A5" i="10"/>
  <c r="E6" i="10"/>
  <c r="G5" i="10"/>
  <c r="C5" i="10" s="1"/>
  <c r="E67" i="10"/>
  <c r="A66" i="10"/>
  <c r="G66" i="10"/>
  <c r="C66" i="10" s="1"/>
  <c r="A21" i="4" l="1"/>
  <c r="G21" i="4"/>
  <c r="E46" i="8"/>
  <c r="C45" i="8"/>
  <c r="A38" i="9"/>
  <c r="E39" i="9"/>
  <c r="E121" i="8"/>
  <c r="G121" i="8" s="1"/>
  <c r="C121" i="8" s="1"/>
  <c r="A120" i="8"/>
  <c r="G73" i="8"/>
  <c r="C73" i="8" s="1"/>
  <c r="A73" i="8"/>
  <c r="C17" i="4"/>
  <c r="D16" i="24"/>
  <c r="A8" i="9"/>
  <c r="E9" i="9"/>
  <c r="A31" i="9"/>
  <c r="E32" i="9"/>
  <c r="A45" i="9"/>
  <c r="E46" i="9"/>
  <c r="E46" i="11"/>
  <c r="A45" i="11"/>
  <c r="A8" i="11"/>
  <c r="E9" i="11"/>
  <c r="G9" i="11" s="1"/>
  <c r="C9" i="11" s="1"/>
  <c r="A121" i="8"/>
  <c r="E122" i="8"/>
  <c r="G122" i="8" s="1"/>
  <c r="C122" i="8" s="1"/>
  <c r="B16" i="24"/>
  <c r="A16" i="24"/>
  <c r="A64" i="8"/>
  <c r="E74" i="8"/>
  <c r="A6" i="10"/>
  <c r="G6" i="10"/>
  <c r="C6" i="10" s="1"/>
  <c r="E7" i="10"/>
  <c r="A67" i="10"/>
  <c r="E68" i="10"/>
  <c r="G67" i="10"/>
  <c r="C67" i="10" s="1"/>
  <c r="E22" i="4" l="1"/>
  <c r="C21" i="4"/>
  <c r="A46" i="8"/>
  <c r="G46" i="8"/>
  <c r="G39" i="9"/>
  <c r="C39" i="9" s="1"/>
  <c r="A39" i="9"/>
  <c r="E40" i="9"/>
  <c r="G74" i="8"/>
  <c r="C74" i="8" s="1"/>
  <c r="A74" i="8"/>
  <c r="A18" i="4"/>
  <c r="G46" i="9"/>
  <c r="C46" i="9" s="1"/>
  <c r="E47" i="9"/>
  <c r="A46" i="9"/>
  <c r="A9" i="9"/>
  <c r="E10" i="9"/>
  <c r="A32" i="9"/>
  <c r="E33" i="9"/>
  <c r="G32" i="9"/>
  <c r="C32" i="9" s="1"/>
  <c r="E47" i="11"/>
  <c r="A46" i="11"/>
  <c r="A9" i="11"/>
  <c r="E10" i="11"/>
  <c r="G10" i="11" s="1"/>
  <c r="C10" i="11" s="1"/>
  <c r="A122" i="8"/>
  <c r="E123" i="8"/>
  <c r="G123" i="8" s="1"/>
  <c r="C123" i="8" s="1"/>
  <c r="E75" i="8"/>
  <c r="A7" i="10"/>
  <c r="E8" i="10"/>
  <c r="G7" i="10"/>
  <c r="C7" i="10" s="1"/>
  <c r="A68" i="10"/>
  <c r="G68" i="10"/>
  <c r="C68" i="10" s="1"/>
  <c r="E69" i="10"/>
  <c r="A22" i="4" l="1"/>
  <c r="G22" i="4"/>
  <c r="C46" i="8"/>
  <c r="E47" i="8"/>
  <c r="G40" i="9"/>
  <c r="C40" i="9" s="1"/>
  <c r="A40" i="9"/>
  <c r="A75" i="8"/>
  <c r="G75" i="8"/>
  <c r="C75" i="8" s="1"/>
  <c r="C18" i="4"/>
  <c r="G33" i="9"/>
  <c r="C33" i="9" s="1"/>
  <c r="A33" i="9"/>
  <c r="E11" i="9"/>
  <c r="A10" i="9"/>
  <c r="A47" i="9"/>
  <c r="G47" i="9"/>
  <c r="C47" i="9" s="1"/>
  <c r="E48" i="11"/>
  <c r="A47" i="11"/>
  <c r="E11" i="11"/>
  <c r="G11" i="11" s="1"/>
  <c r="C11" i="11" s="1"/>
  <c r="A10" i="11"/>
  <c r="A123" i="8"/>
  <c r="E124" i="8"/>
  <c r="G124" i="8" s="1"/>
  <c r="C124" i="8" s="1"/>
  <c r="E76" i="8"/>
  <c r="A8" i="10"/>
  <c r="E9" i="10"/>
  <c r="G8" i="10"/>
  <c r="C8" i="10" s="1"/>
  <c r="G69" i="10"/>
  <c r="C69" i="10" s="1"/>
  <c r="A69" i="10"/>
  <c r="E70" i="10"/>
  <c r="C22" i="4" l="1"/>
  <c r="E23" i="4"/>
  <c r="G47" i="8"/>
  <c r="A47" i="8"/>
  <c r="A76" i="8"/>
  <c r="G76" i="8"/>
  <c r="C76" i="8" s="1"/>
  <c r="A19" i="4"/>
  <c r="A11" i="9"/>
  <c r="E12" i="9"/>
  <c r="A48" i="11"/>
  <c r="E49" i="11"/>
  <c r="E12" i="11"/>
  <c r="G12" i="11" s="1"/>
  <c r="C12" i="11" s="1"/>
  <c r="A11" i="11"/>
  <c r="A124" i="8"/>
  <c r="E125" i="8"/>
  <c r="E77" i="8"/>
  <c r="A9" i="10"/>
  <c r="G9" i="10"/>
  <c r="C9" i="10" s="1"/>
  <c r="E10" i="10"/>
  <c r="A70" i="10"/>
  <c r="G70" i="10"/>
  <c r="C70" i="10" s="1"/>
  <c r="E71" i="10"/>
  <c r="E72" i="10" s="1"/>
  <c r="A23" i="4" l="1"/>
  <c r="G23" i="4"/>
  <c r="E48" i="8"/>
  <c r="C47" i="8"/>
  <c r="G125" i="8"/>
  <c r="C125" i="8" s="1"/>
  <c r="A125" i="8"/>
  <c r="A77" i="8"/>
  <c r="G77" i="8"/>
  <c r="C77" i="8" s="1"/>
  <c r="C19" i="4"/>
  <c r="E13" i="9"/>
  <c r="A12" i="9"/>
  <c r="E50" i="11"/>
  <c r="A49" i="11"/>
  <c r="A12" i="11"/>
  <c r="E13" i="11"/>
  <c r="G13" i="11" s="1"/>
  <c r="C13" i="11" s="1"/>
  <c r="G72" i="10"/>
  <c r="C72" i="10" s="1"/>
  <c r="E73" i="10"/>
  <c r="A72" i="10"/>
  <c r="E126" i="8"/>
  <c r="G126" i="8" s="1"/>
  <c r="C126" i="8" s="1"/>
  <c r="E78" i="8"/>
  <c r="A10" i="10"/>
  <c r="G10" i="10"/>
  <c r="C10" i="10" s="1"/>
  <c r="E11" i="10"/>
  <c r="G71" i="10"/>
  <c r="C71" i="10" s="1"/>
  <c r="A71" i="10"/>
  <c r="C23" i="4" l="1"/>
  <c r="E24" i="4"/>
  <c r="G48" i="8"/>
  <c r="A48" i="8"/>
  <c r="A78" i="8"/>
  <c r="G78" i="8"/>
  <c r="C78" i="8" s="1"/>
  <c r="C20" i="4"/>
  <c r="A20" i="4"/>
  <c r="E14" i="9"/>
  <c r="A13" i="9"/>
  <c r="E51" i="11"/>
  <c r="A50" i="11"/>
  <c r="A13" i="11"/>
  <c r="E14" i="11"/>
  <c r="G14" i="11" s="1"/>
  <c r="C14" i="11" s="1"/>
  <c r="E74" i="10"/>
  <c r="G73" i="10"/>
  <c r="C73" i="10" s="1"/>
  <c r="A73" i="10"/>
  <c r="E127" i="8"/>
  <c r="G127" i="8" s="1"/>
  <c r="C127" i="8" s="1"/>
  <c r="A126" i="8"/>
  <c r="E79" i="8"/>
  <c r="A11" i="10"/>
  <c r="G11" i="10"/>
  <c r="C11" i="10" s="1"/>
  <c r="E12" i="10"/>
  <c r="G24" i="4" l="1"/>
  <c r="C24" i="4" s="1"/>
  <c r="A24" i="4"/>
  <c r="C48" i="8"/>
  <c r="E49" i="8"/>
  <c r="A79" i="8"/>
  <c r="G79" i="8"/>
  <c r="C79" i="8" s="1"/>
  <c r="A14" i="9"/>
  <c r="E15" i="9"/>
  <c r="A15" i="9" s="1"/>
  <c r="A51" i="11"/>
  <c r="E52" i="11"/>
  <c r="A14" i="11"/>
  <c r="E15" i="11"/>
  <c r="G15" i="11" s="1"/>
  <c r="C15" i="11" s="1"/>
  <c r="A74" i="10"/>
  <c r="E75" i="10"/>
  <c r="G74" i="10"/>
  <c r="C74" i="10" s="1"/>
  <c r="A127" i="8"/>
  <c r="E128" i="8"/>
  <c r="G128" i="8" s="1"/>
  <c r="C128" i="8" s="1"/>
  <c r="E80" i="8"/>
  <c r="E13" i="10"/>
  <c r="G12" i="10"/>
  <c r="C12" i="10" s="1"/>
  <c r="A12" i="10"/>
  <c r="A49" i="8" l="1"/>
  <c r="G49" i="8"/>
  <c r="A80" i="8"/>
  <c r="G80" i="8"/>
  <c r="C80" i="8" s="1"/>
  <c r="A52" i="11"/>
  <c r="E53" i="11"/>
  <c r="A15" i="11"/>
  <c r="E16" i="11"/>
  <c r="G16" i="11" s="1"/>
  <c r="C16" i="11" s="1"/>
  <c r="E76" i="10"/>
  <c r="G75" i="10"/>
  <c r="C75" i="10" s="1"/>
  <c r="A75" i="10"/>
  <c r="A128" i="8"/>
  <c r="E129" i="8"/>
  <c r="G129" i="8" s="1"/>
  <c r="C129" i="8" s="1"/>
  <c r="E81" i="8"/>
  <c r="E14" i="10"/>
  <c r="G13" i="10"/>
  <c r="C13" i="10" s="1"/>
  <c r="A13" i="10"/>
  <c r="C49" i="8" l="1"/>
  <c r="E50" i="8"/>
  <c r="A81" i="8"/>
  <c r="G81" i="8"/>
  <c r="C81" i="8" s="1"/>
  <c r="A53" i="11"/>
  <c r="E54" i="11"/>
  <c r="E17" i="11"/>
  <c r="G17" i="11" s="1"/>
  <c r="C17" i="11" s="1"/>
  <c r="A16" i="11"/>
  <c r="E77" i="10"/>
  <c r="A76" i="10"/>
  <c r="G76" i="10"/>
  <c r="C76" i="10" s="1"/>
  <c r="E130" i="8"/>
  <c r="G130" i="8" s="1"/>
  <c r="C130" i="8" s="1"/>
  <c r="A129" i="8"/>
  <c r="E82" i="8"/>
  <c r="E15" i="10"/>
  <c r="E16" i="10" s="1"/>
  <c r="G14" i="10"/>
  <c r="C14" i="10" s="1"/>
  <c r="A14" i="10"/>
  <c r="A50" i="8" l="1"/>
  <c r="G50" i="8"/>
  <c r="A82" i="8"/>
  <c r="G82" i="8"/>
  <c r="C82" i="8" s="1"/>
  <c r="A54" i="11"/>
  <c r="E55" i="11"/>
  <c r="E18" i="11"/>
  <c r="G18" i="11" s="1"/>
  <c r="C18" i="11" s="1"/>
  <c r="A17" i="11"/>
  <c r="G77" i="10"/>
  <c r="C77" i="10" s="1"/>
  <c r="A77" i="10"/>
  <c r="E78" i="10"/>
  <c r="G16" i="10"/>
  <c r="C16" i="10" s="1"/>
  <c r="E17" i="10"/>
  <c r="A16" i="10"/>
  <c r="A130" i="8"/>
  <c r="E131" i="8"/>
  <c r="G131" i="8" s="1"/>
  <c r="C131" i="8" s="1"/>
  <c r="E83" i="8"/>
  <c r="G15" i="10"/>
  <c r="C15" i="10" s="1"/>
  <c r="A15" i="10"/>
  <c r="C50" i="8" l="1"/>
  <c r="E51" i="8"/>
  <c r="A83" i="8"/>
  <c r="G83" i="8"/>
  <c r="C83" i="8" s="1"/>
  <c r="A55" i="11"/>
  <c r="E56" i="11"/>
  <c r="E19" i="11"/>
  <c r="G19" i="11" s="1"/>
  <c r="C19" i="11" s="1"/>
  <c r="A18" i="11"/>
  <c r="E79" i="10"/>
  <c r="G78" i="10"/>
  <c r="C78" i="10" s="1"/>
  <c r="A78" i="10"/>
  <c r="E18" i="10"/>
  <c r="E19" i="10" s="1"/>
  <c r="G17" i="10"/>
  <c r="C17" i="10" s="1"/>
  <c r="A17" i="10"/>
  <c r="A131" i="8"/>
  <c r="E132" i="8"/>
  <c r="G132" i="8" s="1"/>
  <c r="C132" i="8" s="1"/>
  <c r="E84" i="8"/>
  <c r="A51" i="8" l="1"/>
  <c r="G51" i="8"/>
  <c r="A19" i="10"/>
  <c r="E20" i="10"/>
  <c r="G19" i="10"/>
  <c r="C19" i="10" s="1"/>
  <c r="A84" i="8"/>
  <c r="G84" i="8"/>
  <c r="C84" i="8" s="1"/>
  <c r="A56" i="11"/>
  <c r="E57" i="11"/>
  <c r="E20" i="11"/>
  <c r="A19" i="11"/>
  <c r="E80" i="10"/>
  <c r="G79" i="10"/>
  <c r="C79" i="10" s="1"/>
  <c r="A79" i="10"/>
  <c r="G18" i="10"/>
  <c r="C18" i="10" s="1"/>
  <c r="A18" i="10"/>
  <c r="E133" i="8"/>
  <c r="G133" i="8" s="1"/>
  <c r="C133" i="8" s="1"/>
  <c r="A132" i="8"/>
  <c r="E85" i="8"/>
  <c r="G20" i="11" l="1"/>
  <c r="C20" i="11" s="1"/>
  <c r="A20" i="11"/>
  <c r="C51" i="8"/>
  <c r="E52" i="8"/>
  <c r="G20" i="10"/>
  <c r="C20" i="10" s="1"/>
  <c r="A20" i="10"/>
  <c r="A85" i="8"/>
  <c r="G85" i="8"/>
  <c r="C85" i="8" s="1"/>
  <c r="E58" i="11"/>
  <c r="A57" i="11"/>
  <c r="E21" i="11"/>
  <c r="G21" i="11" s="1"/>
  <c r="C21" i="11" s="1"/>
  <c r="E81" i="10"/>
  <c r="A80" i="10"/>
  <c r="G80" i="10"/>
  <c r="C80" i="10" s="1"/>
  <c r="E134" i="8"/>
  <c r="G134" i="8" s="1"/>
  <c r="C134" i="8" s="1"/>
  <c r="A133" i="8"/>
  <c r="E86" i="8"/>
  <c r="A52" i="8" l="1"/>
  <c r="G52" i="8"/>
  <c r="G86" i="8"/>
  <c r="C86" i="8" s="1"/>
  <c r="A86" i="8"/>
  <c r="E59" i="11"/>
  <c r="A58" i="11"/>
  <c r="E22" i="11"/>
  <c r="G22" i="11" s="1"/>
  <c r="C22" i="11" s="1"/>
  <c r="A21" i="11"/>
  <c r="G81" i="10"/>
  <c r="C81" i="10" s="1"/>
  <c r="A81" i="10"/>
  <c r="E82" i="10"/>
  <c r="E135" i="8"/>
  <c r="G135" i="8" s="1"/>
  <c r="C135" i="8" s="1"/>
  <c r="A134" i="8"/>
  <c r="E87" i="8"/>
  <c r="C52" i="8" l="1"/>
  <c r="E53" i="8"/>
  <c r="G53" i="8" s="1"/>
  <c r="E54" i="8" s="1"/>
  <c r="G87" i="8"/>
  <c r="C87" i="8" s="1"/>
  <c r="A87" i="8"/>
  <c r="E60" i="11"/>
  <c r="A59" i="11"/>
  <c r="A22" i="11"/>
  <c r="E23" i="11"/>
  <c r="G23" i="11" s="1"/>
  <c r="C23" i="11" s="1"/>
  <c r="G82" i="10"/>
  <c r="C82" i="10" s="1"/>
  <c r="A82" i="10"/>
  <c r="E83" i="10"/>
  <c r="E136" i="8"/>
  <c r="G136" i="8" s="1"/>
  <c r="C136" i="8" s="1"/>
  <c r="A135" i="8"/>
  <c r="E88" i="8"/>
  <c r="A54" i="8" l="1"/>
  <c r="G54" i="8"/>
  <c r="C54" i="8" s="1"/>
  <c r="A53" i="8"/>
  <c r="C53" i="8"/>
  <c r="G88" i="8"/>
  <c r="C88" i="8" s="1"/>
  <c r="A88" i="8"/>
  <c r="A60" i="11"/>
  <c r="E61" i="11"/>
  <c r="A23" i="11"/>
  <c r="E24" i="11"/>
  <c r="G24" i="11" s="1"/>
  <c r="C24" i="11" s="1"/>
  <c r="A83" i="10"/>
  <c r="E84" i="10"/>
  <c r="G83" i="10"/>
  <c r="C83" i="10" s="1"/>
  <c r="A136" i="8"/>
  <c r="E137" i="8"/>
  <c r="G137" i="8" s="1"/>
  <c r="C137" i="8" s="1"/>
  <c r="E89" i="8"/>
  <c r="G89" i="8" l="1"/>
  <c r="C89" i="8" s="1"/>
  <c r="A89" i="8"/>
  <c r="A61" i="11"/>
  <c r="A24" i="11"/>
  <c r="E25" i="11"/>
  <c r="G25" i="11" s="1"/>
  <c r="C25" i="11" s="1"/>
  <c r="E85" i="10"/>
  <c r="G84" i="10"/>
  <c r="C84" i="10" s="1"/>
  <c r="A84" i="10"/>
  <c r="A137" i="8"/>
  <c r="E138" i="8"/>
  <c r="G138" i="8" s="1"/>
  <c r="C138" i="8" s="1"/>
  <c r="E90" i="8"/>
  <c r="G90" i="8" l="1"/>
  <c r="C90" i="8" s="1"/>
  <c r="A90" i="8"/>
  <c r="A25" i="11"/>
  <c r="E26" i="11"/>
  <c r="G26" i="11" s="1"/>
  <c r="C26" i="11" s="1"/>
  <c r="E86" i="10"/>
  <c r="G85" i="10"/>
  <c r="C85" i="10" s="1"/>
  <c r="A85" i="10"/>
  <c r="A138" i="8"/>
  <c r="E139" i="8"/>
  <c r="G139" i="8" s="1"/>
  <c r="C139" i="8" s="1"/>
  <c r="E91" i="8"/>
  <c r="G91" i="8" l="1"/>
  <c r="C91" i="8" s="1"/>
  <c r="A91" i="8"/>
  <c r="A26" i="11"/>
  <c r="E27" i="11"/>
  <c r="G27" i="11" s="1"/>
  <c r="C27" i="11" s="1"/>
  <c r="G86" i="10"/>
  <c r="C86" i="10" s="1"/>
  <c r="A86" i="10"/>
  <c r="A139" i="8"/>
  <c r="E140" i="8"/>
  <c r="G140" i="8" s="1"/>
  <c r="C140" i="8" s="1"/>
  <c r="E92" i="8"/>
  <c r="G92" i="8" l="1"/>
  <c r="C92" i="8" s="1"/>
  <c r="A92" i="8"/>
  <c r="A27" i="11"/>
  <c r="E28" i="11"/>
  <c r="G28" i="11" s="1"/>
  <c r="C28" i="11" s="1"/>
  <c r="A140" i="8"/>
  <c r="E141" i="8"/>
  <c r="G141" i="8" s="1"/>
  <c r="C141" i="8" s="1"/>
  <c r="E93" i="8"/>
  <c r="A93" i="8" l="1"/>
  <c r="G93" i="8"/>
  <c r="C93" i="8" s="1"/>
  <c r="A28" i="11"/>
  <c r="E29" i="11"/>
  <c r="G29" i="11" s="1"/>
  <c r="C29" i="11" s="1"/>
  <c r="E142" i="8"/>
  <c r="G142" i="8" s="1"/>
  <c r="C142" i="8" s="1"/>
  <c r="A141" i="8"/>
  <c r="E94" i="8"/>
  <c r="A94" i="8" l="1"/>
  <c r="G94" i="8"/>
  <c r="C94" i="8" s="1"/>
  <c r="E30" i="11"/>
  <c r="G30" i="11" s="1"/>
  <c r="C30" i="11" s="1"/>
  <c r="A29" i="11"/>
  <c r="E143" i="8"/>
  <c r="G143" i="8" s="1"/>
  <c r="C143" i="8" s="1"/>
  <c r="A142" i="8"/>
  <c r="E95" i="8"/>
  <c r="A95" i="8" l="1"/>
  <c r="G95" i="8"/>
  <c r="C95" i="8" s="1"/>
  <c r="A30" i="11"/>
  <c r="E31" i="11"/>
  <c r="G31" i="11" s="1"/>
  <c r="C31" i="11" s="1"/>
  <c r="E144" i="8"/>
  <c r="G144" i="8" s="1"/>
  <c r="C144" i="8" s="1"/>
  <c r="A143" i="8"/>
  <c r="E96" i="8"/>
  <c r="A96" i="8" l="1"/>
  <c r="G96" i="8"/>
  <c r="C96" i="8" s="1"/>
  <c r="E32" i="11"/>
  <c r="G32" i="11" s="1"/>
  <c r="C32" i="11" s="1"/>
  <c r="A31" i="11"/>
  <c r="E145" i="8"/>
  <c r="G145" i="8" s="1"/>
  <c r="C145" i="8" s="1"/>
  <c r="A144" i="8"/>
  <c r="E97" i="8"/>
  <c r="A97" i="8" l="1"/>
  <c r="G97" i="8"/>
  <c r="C97" i="8" s="1"/>
  <c r="E33" i="11"/>
  <c r="G33" i="11" s="1"/>
  <c r="C33" i="11" s="1"/>
  <c r="A32" i="11"/>
  <c r="E146" i="8"/>
  <c r="G146" i="8" s="1"/>
  <c r="C146" i="8" s="1"/>
  <c r="A145" i="8"/>
  <c r="E98" i="8"/>
  <c r="G98" i="8" l="1"/>
  <c r="C98" i="8" s="1"/>
  <c r="A98" i="8"/>
  <c r="A33" i="11"/>
  <c r="E34" i="11"/>
  <c r="G34" i="11" s="1"/>
  <c r="C34" i="11" s="1"/>
  <c r="E147" i="8"/>
  <c r="G147" i="8" s="1"/>
  <c r="C147" i="8" s="1"/>
  <c r="A146" i="8"/>
  <c r="E99" i="8"/>
  <c r="A99" i="8" l="1"/>
  <c r="G99" i="8"/>
  <c r="C99" i="8" s="1"/>
  <c r="E35" i="11"/>
  <c r="G35" i="11" s="1"/>
  <c r="C35" i="11" s="1"/>
  <c r="A34" i="11"/>
  <c r="A147" i="8"/>
  <c r="E148" i="8"/>
  <c r="E149" i="8" s="1"/>
  <c r="E100" i="8"/>
  <c r="G149" i="8" l="1"/>
  <c r="C149" i="8" s="1"/>
  <c r="E150" i="8"/>
  <c r="A149" i="8"/>
  <c r="A100" i="8"/>
  <c r="G100" i="8"/>
  <c r="C100" i="8" s="1"/>
  <c r="A148" i="8"/>
  <c r="G148" i="8"/>
  <c r="C148" i="8" s="1"/>
  <c r="A35" i="11"/>
  <c r="E101" i="8"/>
  <c r="E102" i="8" s="1"/>
  <c r="E103" i="8" l="1"/>
  <c r="A102" i="8"/>
  <c r="G102" i="8"/>
  <c r="C102" i="8" s="1"/>
  <c r="G150" i="8"/>
  <c r="C150" i="8" s="1"/>
  <c r="A150" i="8"/>
  <c r="E151" i="8"/>
  <c r="A101" i="8"/>
  <c r="G101" i="8"/>
  <c r="C101" i="8" s="1"/>
  <c r="A5" i="4"/>
  <c r="G5" i="4"/>
  <c r="E6" i="4" s="1"/>
  <c r="G6" i="4" l="1"/>
  <c r="A6" i="4"/>
  <c r="G151" i="8"/>
  <c r="C151" i="8" s="1"/>
  <c r="E152" i="8"/>
  <c r="A151" i="8"/>
  <c r="G103" i="8"/>
  <c r="C103" i="8" s="1"/>
  <c r="E104" i="8"/>
  <c r="A103" i="8"/>
  <c r="C5" i="4"/>
  <c r="C6" i="4" l="1"/>
  <c r="E7" i="4"/>
  <c r="G152" i="8"/>
  <c r="C152" i="8" s="1"/>
  <c r="E153" i="8"/>
  <c r="A152" i="8"/>
  <c r="E105" i="8"/>
  <c r="G104" i="8"/>
  <c r="C104" i="8" s="1"/>
  <c r="A104" i="8"/>
  <c r="A7" i="4" l="1"/>
  <c r="G7" i="4"/>
  <c r="C7" i="4" s="1"/>
  <c r="G105" i="8"/>
  <c r="C105" i="8" s="1"/>
  <c r="A105" i="8"/>
  <c r="E106" i="8"/>
  <c r="G153" i="8"/>
  <c r="C153" i="8" s="1"/>
  <c r="E154" i="8"/>
  <c r="A153" i="8"/>
  <c r="G154" i="8" l="1"/>
  <c r="C154" i="8" s="1"/>
  <c r="E155" i="8"/>
  <c r="A154" i="8"/>
  <c r="A106" i="8"/>
  <c r="E107" i="8"/>
  <c r="G106" i="8"/>
  <c r="C106" i="8" s="1"/>
  <c r="E108" i="8" l="1"/>
  <c r="G107" i="8"/>
  <c r="C107" i="8" s="1"/>
  <c r="A107" i="8"/>
  <c r="G155" i="8"/>
  <c r="C155" i="8" s="1"/>
  <c r="E156" i="8"/>
  <c r="A155" i="8"/>
  <c r="G156" i="8" l="1"/>
  <c r="C156" i="8" s="1"/>
  <c r="A156" i="8"/>
  <c r="E109" i="8"/>
  <c r="A108" i="8"/>
  <c r="G108" i="8"/>
  <c r="C108" i="8" s="1"/>
  <c r="G109" i="8" l="1"/>
  <c r="C109" i="8" s="1"/>
  <c r="A109" i="8"/>
</calcChain>
</file>

<file path=xl/sharedStrings.xml><?xml version="1.0" encoding="utf-8"?>
<sst xmlns="http://schemas.openxmlformats.org/spreadsheetml/2006/main" count="1389" uniqueCount="533">
  <si>
    <t>Version</t>
    <phoneticPr fontId="1" type="noConversion"/>
  </si>
  <si>
    <t>Changes</t>
    <phoneticPr fontId="1" type="noConversion"/>
  </si>
  <si>
    <t>Edit</t>
    <phoneticPr fontId="1" type="noConversion"/>
  </si>
  <si>
    <t>Review</t>
    <phoneticPr fontId="1" type="noConversion"/>
  </si>
  <si>
    <t>Change Date</t>
    <phoneticPr fontId="1" type="noConversion"/>
  </si>
  <si>
    <t>v1.01</t>
    <phoneticPr fontId="1" type="noConversion"/>
  </si>
  <si>
    <t>Init from Acuvim II V3 Modbus address table</t>
    <phoneticPr fontId="1" type="noConversion"/>
  </si>
  <si>
    <t>Shaohang Cui</t>
    <phoneticPr fontId="1" type="noConversion"/>
  </si>
  <si>
    <t>v1.02</t>
  </si>
  <si>
    <t>Update the summary page according to the EV supporting features</t>
  </si>
  <si>
    <t>HU BING</t>
  </si>
  <si>
    <t>Added Clear Charge Modbus address &amp; Energy Pulse Parameter range</t>
  </si>
  <si>
    <t>Sam Xu</t>
  </si>
  <si>
    <t>Added Network Reset</t>
  </si>
  <si>
    <t>Updated energy and charge Modbus address to support double datatype
Added firmware patch number in system info</t>
  </si>
  <si>
    <t>Added CT21 and CT22</t>
  </si>
  <si>
    <t>Translated to English version
Updated summary sheet</t>
  </si>
  <si>
    <t>Updated MAC address and reserved area</t>
  </si>
  <si>
    <t>Updated Real-time readings name</t>
  </si>
  <si>
    <t>Added MC type address</t>
  </si>
  <si>
    <t>Update LED pulse related Config, 0x1019 0x101A 0x1032 to 0x1034</t>
  </si>
  <si>
    <t>Haoliang Deng</t>
  </si>
  <si>
    <t>Add compenstaed voltages in max/min</t>
  </si>
  <si>
    <t>Update product info with renamed format</t>
  </si>
  <si>
    <t>Added bootloader info and firmware model name</t>
  </si>
  <si>
    <t>Added 20ms real-time reading</t>
  </si>
  <si>
    <t>Block Name</t>
  </si>
  <si>
    <t>Section</t>
    <phoneticPr fontId="1" type="noConversion"/>
  </si>
  <si>
    <t>Start</t>
    <phoneticPr fontId="1" type="noConversion"/>
  </si>
  <si>
    <t>End</t>
    <phoneticPr fontId="1" type="noConversion"/>
  </si>
  <si>
    <t>Length</t>
    <phoneticPr fontId="1" type="noConversion"/>
  </si>
  <si>
    <t>Comment</t>
  </si>
  <si>
    <t>Basic Meter Settings</t>
  </si>
  <si>
    <t>Basic Configuration</t>
  </si>
  <si>
    <t>0x1000</t>
  </si>
  <si>
    <t>0x1031</t>
  </si>
  <si>
    <t>Real-Time Clock</t>
  </si>
  <si>
    <t>0x103F</t>
  </si>
  <si>
    <t>0x1045</t>
  </si>
  <si>
    <t>Datalog 1, 2, 3 Settings</t>
  </si>
  <si>
    <t>Datalog</t>
  </si>
  <si>
    <t>0x1100</t>
  </si>
  <si>
    <t>0x1339</t>
  </si>
  <si>
    <t>Datalog 4 Settings</t>
  </si>
  <si>
    <t>0x1500</t>
  </si>
  <si>
    <t>0x15B9</t>
  </si>
  <si>
    <t>Real-Time Parameters (float)</t>
  </si>
  <si>
    <t>Readings</t>
  </si>
  <si>
    <t>0x3000</t>
  </si>
  <si>
    <t>0x301F</t>
  </si>
  <si>
    <t>Real-Time Parameters (int)</t>
  </si>
  <si>
    <t>0x3200</t>
  </si>
  <si>
    <t>0x320F</t>
  </si>
  <si>
    <t>Energy and Charge (double)</t>
  </si>
  <si>
    <t>0x4000</t>
  </si>
  <si>
    <t>0x405F</t>
  </si>
  <si>
    <t>Max</t>
  </si>
  <si>
    <t>Max/Min</t>
  </si>
  <si>
    <t>0x4136</t>
  </si>
  <si>
    <t>0x41B0</t>
  </si>
  <si>
    <t>Min</t>
  </si>
  <si>
    <t>0x41E5</t>
  </si>
  <si>
    <t>0x4234</t>
  </si>
  <si>
    <t>Datalog 1, 2, 3 Reading</t>
  </si>
  <si>
    <t>0x6000</t>
  </si>
  <si>
    <t>0x607E</t>
  </si>
  <si>
    <t>Datalog 1, 2, 3 Status</t>
  </si>
  <si>
    <t>0x6100</t>
  </si>
  <si>
    <t>0x630B</t>
  </si>
  <si>
    <t>Datalog 4 Reading</t>
  </si>
  <si>
    <t>0x6400</t>
  </si>
  <si>
    <t>0x647E</t>
  </si>
  <si>
    <t>Datalog 4 Status</t>
  </si>
  <si>
    <t>0x6500</t>
  </si>
  <si>
    <t>0x650B</t>
  </si>
  <si>
    <t>Custom Reading</t>
  </si>
  <si>
    <t>0x6A00</t>
  </si>
  <si>
    <t>0x6A27</t>
  </si>
  <si>
    <t>Custom Reading Settings</t>
  </si>
  <si>
    <t>0x6B00</t>
  </si>
  <si>
    <t>0x6B28</t>
  </si>
  <si>
    <t>Firmware Version Info</t>
  </si>
  <si>
    <t>System Info</t>
  </si>
  <si>
    <t>0xF000</t>
  </si>
  <si>
    <t>0xF005</t>
  </si>
  <si>
    <t>Product Info</t>
  </si>
  <si>
    <t>0xF040</t>
    <phoneticPr fontId="1" type="noConversion"/>
  </si>
  <si>
    <t>0xF06F</t>
  </si>
  <si>
    <t>Calibration Commands</t>
  </si>
  <si>
    <t>Calibration</t>
  </si>
  <si>
    <t>0xF204</t>
    <phoneticPr fontId="1" type="noConversion"/>
  </si>
  <si>
    <t>0xF206</t>
  </si>
  <si>
    <t>Calibration Values</t>
  </si>
  <si>
    <t>0xF210</t>
    <phoneticPr fontId="1" type="noConversion"/>
  </si>
  <si>
    <t>0xF218</t>
  </si>
  <si>
    <t>Start(Hex)</t>
    <phoneticPr fontId="1" type="noConversion"/>
  </si>
  <si>
    <t>End(Hex)</t>
    <phoneticPr fontId="1" type="noConversion"/>
  </si>
  <si>
    <t>Start(Dec)</t>
    <phoneticPr fontId="1" type="noConversion"/>
  </si>
  <si>
    <t>End(Dec)</t>
    <phoneticPr fontId="1" type="noConversion"/>
  </si>
  <si>
    <t>Descrption</t>
    <phoneticPr fontId="1" type="noConversion"/>
  </si>
  <si>
    <t>Data type</t>
    <phoneticPr fontId="1" type="noConversion"/>
  </si>
  <si>
    <t>RW</t>
    <phoneticPr fontId="1" type="noConversion"/>
  </si>
  <si>
    <t>Reg</t>
    <phoneticPr fontId="1" type="noConversion"/>
  </si>
  <si>
    <t>RANGE</t>
    <phoneticPr fontId="1" type="noConversion"/>
  </si>
  <si>
    <t>Default</t>
  </si>
  <si>
    <t>Factory value</t>
  </si>
  <si>
    <t>Note</t>
  </si>
  <si>
    <t>Meter password</t>
  </si>
  <si>
    <t>word</t>
  </si>
  <si>
    <t>R/W</t>
  </si>
  <si>
    <t>0－9999</t>
    <phoneticPr fontId="1" type="noConversion"/>
  </si>
  <si>
    <t>RS485 baud rate</t>
    <phoneticPr fontId="1" type="noConversion"/>
  </si>
  <si>
    <t>word</t>
    <phoneticPr fontId="1" type="noConversion"/>
  </si>
  <si>
    <t>R/W</t>
    <phoneticPr fontId="1" type="noConversion"/>
  </si>
  <si>
    <t>2400－115200</t>
    <phoneticPr fontId="1" type="noConversion"/>
  </si>
  <si>
    <t>RS485 parity</t>
    <phoneticPr fontId="1" type="noConversion"/>
  </si>
  <si>
    <t>0：even 1：odd
2：Non2  3：Non1</t>
  </si>
  <si>
    <t>DHCP enable</t>
    <phoneticPr fontId="1" type="noConversion"/>
  </si>
  <si>
    <t>0: manual
1: DHCP</t>
    <phoneticPr fontId="1" type="noConversion"/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</si>
  <si>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</si>
  <si>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</si>
  <si>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</si>
  <si>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</si>
  <si>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</si>
  <si>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</si>
  <si>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</si>
  <si>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</si>
  <si>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  <phoneticPr fontId="1" type="noConversion"/>
  </si>
  <si>
    <t>Gateway 3rd byte (high)
Gateway 4th byte (low)</t>
  </si>
  <si>
    <t>DNS primary server 1st byte (high)
DNS primary server 2nd byte (low)</t>
  </si>
  <si>
    <t>8 8 8 8</t>
    <phoneticPr fontId="1" type="noConversion"/>
  </si>
  <si>
    <t>DNS primary server 3rd byte (high)
DNS primary server 4th byte (low)</t>
  </si>
  <si>
    <t>DNS secondary server 1st byte (high)
DNS secondary server 2nd byte (low)</t>
  </si>
  <si>
    <t>8.8.4.4</t>
    <phoneticPr fontId="1" type="noConversion"/>
  </si>
  <si>
    <t>DNS secondary server 3rd byte (high)
DNS secondary server 4th byte (low)</t>
  </si>
  <si>
    <t>Modbus Slave ID</t>
    <phoneticPr fontId="1" type="noConversion"/>
  </si>
  <si>
    <t>1-247, used for both Modbus RTU and TCP</t>
    <phoneticPr fontId="1" type="noConversion"/>
  </si>
  <si>
    <t>Modbus RTU Enable</t>
    <phoneticPr fontId="1" type="noConversion"/>
  </si>
  <si>
    <t>0: disable
1: enable</t>
    <phoneticPr fontId="1" type="noConversion"/>
  </si>
  <si>
    <t>Modbus TCP Enable</t>
    <phoneticPr fontId="1" type="noConversion"/>
  </si>
  <si>
    <t>Modbus TCP port</t>
    <phoneticPr fontId="1" type="noConversion"/>
  </si>
  <si>
    <t>1-65534</t>
    <phoneticPr fontId="1" type="noConversion"/>
  </si>
  <si>
    <t>PT1</t>
    <phoneticPr fontId="1" type="noConversion"/>
  </si>
  <si>
    <t>fixed as 1000 for now</t>
    <phoneticPr fontId="1" type="noConversion"/>
  </si>
  <si>
    <t>PT2</t>
    <phoneticPr fontId="1" type="noConversion"/>
  </si>
  <si>
    <t>CT11</t>
  </si>
  <si>
    <t>20 - 50000 A</t>
    <phoneticPr fontId="1" type="noConversion"/>
  </si>
  <si>
    <t>CT12</t>
  </si>
  <si>
    <t>0-100 (mV)</t>
    <phoneticPr fontId="1" type="noConversion"/>
  </si>
  <si>
    <t>Demand calculation method</t>
  </si>
  <si>
    <t>0: Fixed block
1: Sliding block
2: Thermal
3: Rolling block</t>
  </si>
  <si>
    <t>Demand window time</t>
  </si>
  <si>
    <t>1~30</t>
    <phoneticPr fontId="1" type="noConversion"/>
  </si>
  <si>
    <t>Demand update period</t>
  </si>
  <si>
    <t>Energy pulse parameter</t>
  </si>
  <si>
    <t xml:space="preserve">0: None
1: Energy
2: Charge
</t>
  </si>
  <si>
    <t>Energy pulse Type</t>
  </si>
  <si>
    <t xml:space="preserve">  0: EV_IMPORT,
  1: EV_EXPORT,
  2: EV_NET,       // Imp - Exp
  3: EV_TOTAL,     // Imp + Exp</t>
  </si>
  <si>
    <t>Energy reading type</t>
  </si>
  <si>
    <t>0: Primary
1: Secondary</t>
  </si>
  <si>
    <t>Real-time reading type</t>
  </si>
  <si>
    <t>0: Secondary
1: Primary</t>
  </si>
  <si>
    <t>Clear demand</t>
  </si>
  <si>
    <t>0: None
1: Clearing</t>
  </si>
  <si>
    <t>Clear max/min</t>
  </si>
  <si>
    <t>Clear device run time</t>
  </si>
  <si>
    <t>Clear energy</t>
  </si>
  <si>
    <t>Factory reset</t>
  </si>
  <si>
    <t>0: None
1: Resetting</t>
  </si>
  <si>
    <t>Backlight time</t>
  </si>
  <si>
    <t>Word</t>
  </si>
  <si>
    <t>0－120</t>
  </si>
  <si>
    <t>Seal status</t>
  </si>
  <si>
    <t>R</t>
  </si>
  <si>
    <t xml:space="preserve">Sealed: 0x0A      </t>
  </si>
  <si>
    <t>Device run time (high 16 bits)</t>
  </si>
  <si>
    <t>Device run time (low 16 bits)</t>
  </si>
  <si>
    <t>Clear charge</t>
  </si>
  <si>
    <t>Network reset</t>
  </si>
  <si>
    <t>CT21</t>
  </si>
  <si>
    <t>CT22</t>
  </si>
  <si>
    <t>Device load time (high 16 bits)</t>
  </si>
  <si>
    <t>Device load time (low 16 bits)</t>
  </si>
  <si>
    <t>Clear load time</t>
  </si>
  <si>
    <t>Enable cable loss compensation</t>
  </si>
  <si>
    <t>0: Disable
1: Enable</t>
  </si>
  <si>
    <t>Cable 1 resistance (high 16 bits)</t>
  </si>
  <si>
    <t>0 ~ 9999999</t>
  </si>
  <si>
    <t>Cable 1 resistance (low 16 bits)</t>
  </si>
  <si>
    <t>Cable 2 resistance (high 16 bits)</t>
  </si>
  <si>
    <t>Cable 2 resistance (low 16 bits)</t>
  </si>
  <si>
    <t>Energy pulse constant</t>
  </si>
  <si>
    <t>1 - 50000000
(0.0001 - 5000)</t>
  </si>
  <si>
    <t>1000000
(100)</t>
  </si>
  <si>
    <t># of pulse per KWh</t>
  </si>
  <si>
    <t>Pulse Channel ID</t>
  </si>
  <si>
    <t>0: Ch1
1: Ch2
2: Sum</t>
  </si>
  <si>
    <t>Real-time clock</t>
  </si>
  <si>
    <t>Week</t>
  </si>
  <si>
    <t>1~7</t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</si>
  <si>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</si>
  <si>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</si>
  <si>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</si>
  <si>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</si>
  <si>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</si>
  <si>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</si>
  <si>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</si>
  <si>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</si>
  <si>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</si>
  <si>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</si>
  <si>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</si>
  <si>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Custom reading settings</t>
  </si>
  <si>
    <t>Number of byte set</t>
  </si>
  <si>
    <t>uint16</t>
  </si>
  <si>
    <t>R</t>
    <phoneticPr fontId="1" type="noConversion"/>
  </si>
  <si>
    <t>1st reading</t>
  </si>
  <si>
    <t>V RMS</t>
    <phoneticPr fontId="1" type="noConversion"/>
  </si>
  <si>
    <t>2nd reading</t>
  </si>
  <si>
    <t>0x3201</t>
  </si>
  <si>
    <t>I1 RMS</t>
    <phoneticPr fontId="1" type="noConversion"/>
  </si>
  <si>
    <t>3rd reading</t>
  </si>
  <si>
    <t>0x3202</t>
  </si>
  <si>
    <t>I2 RMS</t>
    <phoneticPr fontId="1" type="noConversion"/>
  </si>
  <si>
    <t>4th reading</t>
  </si>
  <si>
    <t>0x3203</t>
  </si>
  <si>
    <t>Isum RMS</t>
    <phoneticPr fontId="1" type="noConversion"/>
  </si>
  <si>
    <t>5th reading</t>
  </si>
  <si>
    <t>0x3204</t>
  </si>
  <si>
    <t>P1</t>
    <phoneticPr fontId="1" type="noConversion"/>
  </si>
  <si>
    <t>6th reading</t>
  </si>
  <si>
    <t>0x3205</t>
  </si>
  <si>
    <t>P2</t>
    <phoneticPr fontId="1" type="noConversion"/>
  </si>
  <si>
    <t>7th reading</t>
  </si>
  <si>
    <t>0x3206</t>
  </si>
  <si>
    <t>Psum</t>
    <phoneticPr fontId="1" type="noConversion"/>
  </si>
  <si>
    <t>8th reading</t>
  </si>
  <si>
    <t>0x3207</t>
  </si>
  <si>
    <t>Ripple factor U</t>
  </si>
  <si>
    <t>9th reading</t>
  </si>
  <si>
    <t>0x3208</t>
  </si>
  <si>
    <t>Ripple factor I1</t>
  </si>
  <si>
    <t>10th reading</t>
  </si>
  <si>
    <t>0x3209</t>
  </si>
  <si>
    <t>Ripple factor I2</t>
  </si>
  <si>
    <t>11th reading</t>
  </si>
  <si>
    <t>0x320A</t>
  </si>
  <si>
    <t>Demand I1</t>
  </si>
  <si>
    <t>12th reading</t>
  </si>
  <si>
    <t>0x320B</t>
  </si>
  <si>
    <t>Demand I2</t>
  </si>
  <si>
    <t>13th reading</t>
  </si>
  <si>
    <t>0x320C</t>
  </si>
  <si>
    <t>Demand Isum</t>
  </si>
  <si>
    <t>14th reading</t>
  </si>
  <si>
    <t>0x320D</t>
  </si>
  <si>
    <t>Demand P1</t>
  </si>
  <si>
    <t>15th reading</t>
  </si>
  <si>
    <t>0x320E</t>
  </si>
  <si>
    <t>Demand P2</t>
  </si>
  <si>
    <t>16th reading</t>
  </si>
  <si>
    <t>Demand Psum</t>
  </si>
  <si>
    <t>17th reading</t>
  </si>
  <si>
    <t>Import Energy 1</t>
  </si>
  <si>
    <t>18th reading</t>
  </si>
  <si>
    <t>0x4001</t>
  </si>
  <si>
    <t>19th reading</t>
  </si>
  <si>
    <t>0x4002</t>
  </si>
  <si>
    <t>Export Energy 1</t>
  </si>
  <si>
    <t>20th reading</t>
  </si>
  <si>
    <t>0x4003</t>
  </si>
  <si>
    <t>21st reading</t>
  </si>
  <si>
    <t>0x4004</t>
  </si>
  <si>
    <t>Net Energy 1</t>
  </si>
  <si>
    <t>22nd reading</t>
  </si>
  <si>
    <t>0x4005</t>
  </si>
  <si>
    <t>23rd reading</t>
  </si>
  <si>
    <t>0x4006</t>
  </si>
  <si>
    <t>Total Energy 1</t>
  </si>
  <si>
    <t>24th reading</t>
  </si>
  <si>
    <t>0x4007</t>
  </si>
  <si>
    <t>25th reading</t>
  </si>
  <si>
    <t>0x4008</t>
  </si>
  <si>
    <t>Import Energy 2</t>
  </si>
  <si>
    <t>26th reading</t>
  </si>
  <si>
    <t>0x4009</t>
  </si>
  <si>
    <t>27th reading</t>
  </si>
  <si>
    <t>0x400A</t>
    <phoneticPr fontId="1" type="noConversion"/>
  </si>
  <si>
    <t>Export Energy 2</t>
  </si>
  <si>
    <t>28th reading</t>
  </si>
  <si>
    <t>0x400B</t>
    <phoneticPr fontId="1" type="noConversion"/>
  </si>
  <si>
    <t>29th reading</t>
  </si>
  <si>
    <t>0x400C</t>
    <phoneticPr fontId="1" type="noConversion"/>
  </si>
  <si>
    <t>Net Energy 2</t>
  </si>
  <si>
    <t>30th reading</t>
  </si>
  <si>
    <t>0x400D</t>
    <phoneticPr fontId="1" type="noConversion"/>
  </si>
  <si>
    <t>31st reading</t>
  </si>
  <si>
    <t>0x400E</t>
    <phoneticPr fontId="1" type="noConversion"/>
  </si>
  <si>
    <t>Total Energy 2</t>
  </si>
  <si>
    <t>32nd reading</t>
  </si>
  <si>
    <t>0x400F</t>
    <phoneticPr fontId="1" type="noConversion"/>
  </si>
  <si>
    <t>33rd reading</t>
  </si>
  <si>
    <t>0x4010</t>
    <phoneticPr fontId="1" type="noConversion"/>
  </si>
  <si>
    <t>Import Energy Sum</t>
  </si>
  <si>
    <t>34th reading</t>
  </si>
  <si>
    <t>0x4011</t>
  </si>
  <si>
    <t>35th reading</t>
  </si>
  <si>
    <t>0x4012</t>
  </si>
  <si>
    <t>Export Energy Sum</t>
  </si>
  <si>
    <t>36th reading</t>
  </si>
  <si>
    <t>0x4013</t>
  </si>
  <si>
    <t>37th reading</t>
  </si>
  <si>
    <t>0x4014</t>
  </si>
  <si>
    <t>Net Energy Sum</t>
  </si>
  <si>
    <t>38th reading</t>
  </si>
  <si>
    <t>0x4015</t>
  </si>
  <si>
    <t>39th reading</t>
  </si>
  <si>
    <t>0x4016</t>
  </si>
  <si>
    <t>Total Energy Sum</t>
  </si>
  <si>
    <t>40th reading</t>
  </si>
  <si>
    <t>0x4017</t>
  </si>
  <si>
    <t>Custom reading</t>
  </si>
  <si>
    <t>Calibration Commands</t>
    <phoneticPr fontId="1" type="noConversion"/>
  </si>
  <si>
    <t>Start Calibration (0x6A write)</t>
    <phoneticPr fontId="1" type="noConversion"/>
  </si>
  <si>
    <t>Query Calibration Status (0x03 read)</t>
    <phoneticPr fontId="1" type="noConversion"/>
  </si>
  <si>
    <t>Exit Calibration (0x6A write）</t>
    <phoneticPr fontId="1" type="noConversion"/>
  </si>
  <si>
    <t>Calibration Values</t>
    <phoneticPr fontId="1" type="noConversion"/>
  </si>
  <si>
    <t>V Gain</t>
    <phoneticPr fontId="1" type="noConversion"/>
  </si>
  <si>
    <t>int32</t>
    <phoneticPr fontId="1" type="noConversion"/>
  </si>
  <si>
    <t>V offset</t>
    <phoneticPr fontId="1" type="noConversion"/>
  </si>
  <si>
    <t>I1 Gain</t>
    <phoneticPr fontId="1" type="noConversion"/>
  </si>
  <si>
    <t>I1 offset</t>
    <phoneticPr fontId="1" type="noConversion"/>
  </si>
  <si>
    <t>I2 Gain</t>
    <phoneticPr fontId="1" type="noConversion"/>
  </si>
  <si>
    <t>I2 offset</t>
    <phoneticPr fontId="1" type="noConversion"/>
  </si>
  <si>
    <t>Max</t>
    <phoneticPr fontId="1" type="noConversion"/>
  </si>
  <si>
    <t>V Max Value</t>
    <phoneticPr fontId="1" type="noConversion"/>
  </si>
  <si>
    <t>Float32</t>
    <phoneticPr fontId="1" type="noConversion"/>
  </si>
  <si>
    <t>V Max Timestamp</t>
    <phoneticPr fontId="1" type="noConversion"/>
  </si>
  <si>
    <t>INT</t>
  </si>
  <si>
    <t>I1 Max Value</t>
    <phoneticPr fontId="1" type="noConversion"/>
  </si>
  <si>
    <t>I1 Max Timestamp</t>
    <phoneticPr fontId="1" type="noConversion"/>
  </si>
  <si>
    <t>I2 Max Value</t>
    <phoneticPr fontId="1" type="noConversion"/>
  </si>
  <si>
    <t>I2 Max Timestamp</t>
    <phoneticPr fontId="1" type="noConversion"/>
  </si>
  <si>
    <t>Isum Max Value</t>
    <phoneticPr fontId="1" type="noConversion"/>
  </si>
  <si>
    <t>Isum Max Timestamp</t>
    <phoneticPr fontId="1" type="noConversion"/>
  </si>
  <si>
    <t>P1 Max Value</t>
    <phoneticPr fontId="1" type="noConversion"/>
  </si>
  <si>
    <t>P1 Max Timestamp</t>
    <phoneticPr fontId="1" type="noConversion"/>
  </si>
  <si>
    <t>P2 Max Value</t>
    <phoneticPr fontId="1" type="noConversion"/>
  </si>
  <si>
    <t>P2 Max Timestamp</t>
    <phoneticPr fontId="1" type="noConversion"/>
  </si>
  <si>
    <t>Psum Max Value</t>
    <phoneticPr fontId="1" type="noConversion"/>
  </si>
  <si>
    <t>Psum Max Timestamp</t>
    <phoneticPr fontId="1" type="noConversion"/>
  </si>
  <si>
    <t>Ripple factor U Max Value</t>
    <phoneticPr fontId="1" type="noConversion"/>
  </si>
  <si>
    <t>Ripple factor U Max Timestamp</t>
    <phoneticPr fontId="1" type="noConversion"/>
  </si>
  <si>
    <t>Ripple factor I1 Max Value</t>
    <phoneticPr fontId="1" type="noConversion"/>
  </si>
  <si>
    <t>Ripple factor I1 Max Timestamp</t>
    <phoneticPr fontId="1" type="noConversion"/>
  </si>
  <si>
    <t>Ripple factor I2 Max Value</t>
    <phoneticPr fontId="1" type="noConversion"/>
  </si>
  <si>
    <t>Ripple factor I2 Max Timestamp</t>
    <phoneticPr fontId="1" type="noConversion"/>
  </si>
  <si>
    <t>Demand I1 Max Value</t>
    <phoneticPr fontId="1" type="noConversion"/>
  </si>
  <si>
    <t>Demand I1 Max Timestamp</t>
    <phoneticPr fontId="1" type="noConversion"/>
  </si>
  <si>
    <t>Demand I2 Max Value</t>
    <phoneticPr fontId="1" type="noConversion"/>
  </si>
  <si>
    <t>Demand I2 Max Timestamp</t>
    <phoneticPr fontId="1" type="noConversion"/>
  </si>
  <si>
    <t>Demand Isum Max Value</t>
    <phoneticPr fontId="1" type="noConversion"/>
  </si>
  <si>
    <t>Demand Isum Max Timestamp</t>
    <phoneticPr fontId="1" type="noConversion"/>
  </si>
  <si>
    <t>Demand P1 Max Value</t>
    <phoneticPr fontId="1" type="noConversion"/>
  </si>
  <si>
    <t>Demand P1 Max Timestamp</t>
    <phoneticPr fontId="1" type="noConversion"/>
  </si>
  <si>
    <t>Demand P2 Max Value</t>
    <phoneticPr fontId="1" type="noConversion"/>
  </si>
  <si>
    <t>Demand P2 Max Timestamp</t>
    <phoneticPr fontId="1" type="noConversion"/>
  </si>
  <si>
    <t>Demand Psum Max Value</t>
    <phoneticPr fontId="1" type="noConversion"/>
  </si>
  <si>
    <t>Demand Psum Max Timestamp</t>
    <phoneticPr fontId="1" type="noConversion"/>
  </si>
  <si>
    <t>V1 Compensated Max Value</t>
  </si>
  <si>
    <t>Float32</t>
  </si>
  <si>
    <t>V1 Compensated Max Timestamp</t>
  </si>
  <si>
    <t>V2 Compensated Max Value</t>
  </si>
  <si>
    <t>V2 Compensated Max Timestamp</t>
  </si>
  <si>
    <t>Min</t>
    <phoneticPr fontId="1" type="noConversion"/>
  </si>
  <si>
    <t>V Min Value</t>
  </si>
  <si>
    <t>V Min Timestamp</t>
  </si>
  <si>
    <t>I1 Min Value</t>
  </si>
  <si>
    <t>I1 Min Timestamp</t>
  </si>
  <si>
    <t>I2 Min Value</t>
  </si>
  <si>
    <t>I2 Min Timestamp</t>
  </si>
  <si>
    <t>Isum Min Value</t>
  </si>
  <si>
    <t>Isum Min Timestamp</t>
  </si>
  <si>
    <t>P1 Min Value</t>
  </si>
  <si>
    <t>P1 Min Timestamp</t>
  </si>
  <si>
    <t>P2 Min Value</t>
  </si>
  <si>
    <t>P2 Min Timestamp</t>
  </si>
  <si>
    <t>Psum Min Value</t>
  </si>
  <si>
    <t>Psum Min Timestamp</t>
  </si>
  <si>
    <t>Ripple factor U Min Value</t>
  </si>
  <si>
    <t>Ripple factor U Min Timestamp</t>
  </si>
  <si>
    <t>Ripple factor I1 Min Value</t>
  </si>
  <si>
    <t>Ripple factor I1 Min Timestamp</t>
  </si>
  <si>
    <t>Ripple factor I2 Min Value</t>
  </si>
  <si>
    <t>Ripple factor I2 Min Timestamp</t>
  </si>
  <si>
    <t>V1 Compensated Min Value</t>
  </si>
  <si>
    <t>V1 Compensated Min Timestamp</t>
  </si>
  <si>
    <t>V2 Compensated Min Value</t>
  </si>
  <si>
    <t>V2 Compensated Min Timestamp</t>
  </si>
  <si>
    <t>Real-time Parameters (float)</t>
    <phoneticPr fontId="1" type="noConversion"/>
  </si>
  <si>
    <t>V Measured</t>
  </si>
  <si>
    <t>float32</t>
  </si>
  <si>
    <t>Current 1</t>
  </si>
  <si>
    <t>Current 2</t>
  </si>
  <si>
    <t>Current Sum</t>
  </si>
  <si>
    <t>Power 1</t>
  </si>
  <si>
    <t>Power 2</t>
  </si>
  <si>
    <t>Power Sum</t>
  </si>
  <si>
    <t>Voltage Ripple Factor</t>
  </si>
  <si>
    <t>Current Ripple Factor 1</t>
  </si>
  <si>
    <t>Current Ripple Factor 2</t>
  </si>
  <si>
    <t>Demand Current 1</t>
  </si>
  <si>
    <t>Demand Current 2</t>
  </si>
  <si>
    <t>Demand Current Sum</t>
  </si>
  <si>
    <t>Demand Power 1</t>
  </si>
  <si>
    <t>Demand Power 2</t>
  </si>
  <si>
    <t>Demand Power Sum</t>
  </si>
  <si>
    <t>V1 Compensated</t>
  </si>
  <si>
    <t>V2 Compensated</t>
  </si>
  <si>
    <t>Real-time Parameters (float)
20ms</t>
  </si>
  <si>
    <t>Real-time Parameters (Int)</t>
    <phoneticPr fontId="1" type="noConversion"/>
  </si>
  <si>
    <t>int16</t>
  </si>
  <si>
    <t>Energy &amp; Charge</t>
  </si>
  <si>
    <t>double</t>
  </si>
  <si>
    <t>Import Charge 1</t>
  </si>
  <si>
    <t>Export Charge 1</t>
  </si>
  <si>
    <t>Net Charge 1</t>
  </si>
  <si>
    <t>Total Charge 1</t>
  </si>
  <si>
    <t>Import Charge 2</t>
  </si>
  <si>
    <t>Export Charge 2</t>
  </si>
  <si>
    <t>Net Charge 2</t>
  </si>
  <si>
    <t>Total Charge 2</t>
  </si>
  <si>
    <t>Import Charge Sum</t>
  </si>
  <si>
    <t>Export Charge Sum</t>
  </si>
  <si>
    <t>Net Charge Sum</t>
  </si>
  <si>
    <t>Total Charge Sum</t>
  </si>
  <si>
    <t>Firmware Version Info</t>
    <phoneticPr fontId="1" type="noConversion"/>
  </si>
  <si>
    <t>Firmware version</t>
    <phoneticPr fontId="1" type="noConversion"/>
  </si>
  <si>
    <t>ASCII, in format of x.yz (e.g., 1.01)</t>
  </si>
  <si>
    <t>determined by firmware</t>
    <phoneticPr fontId="1" type="noConversion"/>
  </si>
  <si>
    <t>Firmware release date</t>
    <phoneticPr fontId="1" type="noConversion"/>
  </si>
  <si>
    <t>ASCII, in format of YYMMDD (221228)</t>
  </si>
  <si>
    <t>Firmware patch number</t>
  </si>
  <si>
    <t>ASCII, in format of xy (01)</t>
  </si>
  <si>
    <t>Firmware Model Name</t>
  </si>
  <si>
    <t>ASCII, in format of XYZa (e.g. DCE1)</t>
  </si>
  <si>
    <t>Bootloader Info</t>
  </si>
  <si>
    <t>Bootloader Model Name</t>
  </si>
  <si>
    <t>ASCII, in format of XYab (e.g. FP00)</t>
  </si>
  <si>
    <t>determined by bootloader</t>
  </si>
  <si>
    <t>Bootloader Hardware and Software Name</t>
  </si>
  <si>
    <t>ASCII, in format of xyzxyz (e.g. 101101)</t>
  </si>
  <si>
    <t>Bootloader Release Date</t>
  </si>
  <si>
    <t>ASCII, in format of YYMMDD (e.g. 241108)</t>
  </si>
  <si>
    <t>Product Info</t>
    <phoneticPr fontId="1" type="noConversion"/>
  </si>
  <si>
    <t>Serial Number</t>
    <phoneticPr fontId="1" type="noConversion"/>
  </si>
  <si>
    <t>In the format like DCEYYMMabcd (e.g., DCE22120001)</t>
  </si>
  <si>
    <t>use 0x6A to write; 0x3 to read</t>
    <phoneticPr fontId="1" type="noConversion"/>
  </si>
  <si>
    <t>Hardware version</t>
    <phoneticPr fontId="1" type="noConversion"/>
  </si>
  <si>
    <t>RW</t>
  </si>
  <si>
    <t>In the format like x.yz (e.g., 1.01)</t>
  </si>
  <si>
    <t>Function Model Type</t>
    <phoneticPr fontId="1" type="noConversion"/>
  </si>
  <si>
    <t>0: AcuDC-261</t>
  </si>
  <si>
    <t>Voltage Input Type</t>
    <phoneticPr fontId="1" type="noConversion"/>
  </si>
  <si>
    <t>0: 1000V</t>
  </si>
  <si>
    <t>Current Input Type</t>
    <phoneticPr fontId="1" type="noConversion"/>
  </si>
  <si>
    <t>0: A1 (shunt)
1: A2 (0 to 20mA Hall sensor)
2: A3 (-5V to 5V Hall sensor)
3: A4 (External MID Shunt)</t>
  </si>
  <si>
    <t>Power Supply Type</t>
    <phoneticPr fontId="1" type="noConversion"/>
  </si>
  <si>
    <t>1 for P2</t>
    <phoneticPr fontId="1" type="noConversion"/>
  </si>
  <si>
    <t>MAC address</t>
    <phoneticPr fontId="1" type="noConversion"/>
  </si>
  <si>
    <t>Certificate Type</t>
  </si>
  <si>
    <t>0: None; 1: MID</t>
  </si>
  <si>
    <t>External Shunt Type</t>
  </si>
  <si>
    <t>0: None; 400: 400A; 600: 600A</t>
  </si>
  <si>
    <t>Reserved</t>
  </si>
  <si>
    <t>Datalog 1, 2, 3 setting</t>
  </si>
  <si>
    <t>Log1  #Registers # Sectors</t>
  </si>
  <si>
    <t>Log1   Interval</t>
  </si>
  <si>
    <t>Log1 register #1-#117 identifier</t>
  </si>
  <si>
    <t>Log1 register #1-#117 descriptors</t>
  </si>
  <si>
    <t>Currently not used</t>
  </si>
  <si>
    <t>Datalog mode selection</t>
  </si>
  <si>
    <t>Start month, year</t>
    <phoneticPr fontId="3" type="noConversion"/>
  </si>
  <si>
    <t>Start day, hour</t>
    <phoneticPr fontId="3" type="noConversion"/>
  </si>
  <si>
    <t>Start minute, second</t>
    <phoneticPr fontId="3" type="noConversion"/>
  </si>
  <si>
    <t>End month, year</t>
  </si>
  <si>
    <t>End day, hour</t>
  </si>
  <si>
    <t>End minute, second</t>
  </si>
  <si>
    <t>Clear Data Log 1</t>
    <phoneticPr fontId="3" type="noConversion"/>
  </si>
  <si>
    <t>Log2 setting</t>
  </si>
  <si>
    <t>Log3 setting</t>
  </si>
  <si>
    <t>Datalog 1, 2, 3 reading</t>
  </si>
  <si>
    <t>Record type, enable, state</t>
  </si>
  <si>
    <t>Record # of each window
+window state</t>
  </si>
  <si>
    <t>OFFSET</t>
  </si>
  <si>
    <t>Window</t>
  </si>
  <si>
    <t>Datalog 1, 2, 3 status</t>
  </si>
  <si>
    <t>Max Records</t>
  </si>
  <si>
    <t>uint32</t>
  </si>
  <si>
    <t>Used Records</t>
  </si>
  <si>
    <t>Recordsize</t>
  </si>
  <si>
    <t>Log Availability</t>
  </si>
  <si>
    <t>First Record Timestamp</t>
  </si>
  <si>
    <t>Last Record Timestamp</t>
  </si>
  <si>
    <t>FirstRecordTimestamp</t>
  </si>
  <si>
    <t>LastRecordTimestamp,</t>
  </si>
  <si>
    <t>Datalog 4 setting</t>
  </si>
  <si>
    <t>Log4  #Registers # Sectors</t>
  </si>
  <si>
    <t>0 -39；50</t>
    <phoneticPr fontId="8" type="noConversion"/>
  </si>
  <si>
    <t>Log4   Interval</t>
  </si>
  <si>
    <t>1 - 1440</t>
    <phoneticPr fontId="8" type="noConversion"/>
  </si>
  <si>
    <t>Log4 register #1-#117 identifier</t>
  </si>
  <si>
    <t>Parameter selection address range:
0x3000 - 0x3013</t>
  </si>
  <si>
    <t>Log4 register #1-#117 descriptors</t>
  </si>
  <si>
    <t>0 - 2</t>
    <phoneticPr fontId="8" type="noConversion"/>
  </si>
  <si>
    <t>Low byte: month,high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</si>
  <si>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</si>
  <si>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</si>
  <si>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</si>
  <si>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</si>
  <si>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  <phoneticPr fontId="3" type="noConversion"/>
  </si>
  <si>
    <t>Datalog 4 reading</t>
  </si>
  <si>
    <t>0 - 3  （3 for Data Log4）</t>
  </si>
  <si>
    <t>Record number of each window
+window state</t>
  </si>
  <si>
    <t>High byte: Record number of window (setting)
Low byte: window state (0x0B: data effective,0xFF: data not effective,0xAA: Data Log on clearing,0xBB: Data Log clearing end)</t>
  </si>
  <si>
    <t>Data Log format: record number (4bytes)+ time stamps (6bytes) + [data1~dataN] (6Nbytes) + CRC (2bytes)
Data format: parameter1 average value, parameter2 average value...parameter1 max value, parameter2 max value, parameter1 min value, parameter2 min value...</t>
  </si>
  <si>
    <t>Datalog 4 status</t>
  </si>
  <si>
    <t>0 - 468104</t>
    <phoneticPr fontId="8" type="noConversion"/>
  </si>
  <si>
    <t>1 - 468104</t>
    <phoneticPr fontId="8" type="noConversion"/>
  </si>
  <si>
    <t>18 - 714</t>
    <phoneticPr fontId="8" type="noConversion"/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</si>
  <si>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</si>
  <si>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</si>
  <si>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>Last Record Time stamp</t>
  </si>
  <si>
    <t>note: max records of Data Log4 = 65536 / (number of register * 6 + 12) * sector number (fixed to 50 at present)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</si>
</sst>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华文细黑"/>
      <family val="3"/>
      <charset val="134"/>
    </font>
    <font>
      <b/>
      <sz val="11"/>
      <color theme="1"/>
      <name val="华文细黑"/>
      <family val="3"/>
      <charset val="134"/>
    </font>
    <font>
      <sz val="11"/>
      <color rgb="FFFF0000"/>
      <name val="华文细黑"/>
      <family val="3"/>
      <charset val="134"/>
    </font>
    <font>
      <b/>
      <sz val="11"/>
      <color rgb="FFFF0000"/>
      <name val="华文细黑"/>
      <family val="3"/>
      <charset val="134"/>
    </font>
    <font>
      <sz val="11"/>
      <name val="华文细黑"/>
      <family val="3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0"/>
      <name val="Arial"/>
      <family val="2"/>
    </font>
    <font>
      <sz val="10"/>
      <name val="华文细黑"/>
      <family val="3"/>
      <charset val="134"/>
    </font>
    <font>
      <sz val="11"/>
      <color rgb="FF000000"/>
      <name val="华文细黑"/>
      <family val="3"/>
      <charset val="134"/>
    </font>
    <font>
      <sz val="11"/>
      <color rgb="FF172B4D"/>
      <name val="-Apple-System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9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justify" vertical="center" wrapText="1"/>
    </xf>
    <xf numFmtId="0" fontId="2" fillId="5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top"/>
    </xf>
    <xf numFmtId="0" fontId="11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14" fontId="10" fillId="0" borderId="2" xfId="0" applyNumberFormat="1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7"/>
  <sheetViews>
    <sheetView tabSelected="1" workbookViewId="0">
      <selection activeCell="B17" sqref="B17"/>
    </sheetView>
  </sheetViews>
  <sheetFormatPr defaultColWidth="8.875" defaultRowHeight="14.25"/>
  <cols>
    <col min="1" max="1" width="8.125" style="49" bestFit="1" customWidth="1"/>
    <col min="2" max="2" width="59.375" style="50" bestFit="1" customWidth="1"/>
    <col min="3" max="3" width="12.875" style="49" bestFit="1" customWidth="1"/>
    <col min="4" max="4" width="7.625" style="49" bestFit="1" customWidth="1"/>
    <col min="5" max="5" width="12.75" style="49" bestFit="1" customWidth="1"/>
    <col min="6" max="16384" width="8.875" style="49"/>
  </cols>
  <sheetData>
    <row r="1" spans="1:6" ht="28.5">
      <c r="A1" s="59" t="s">
        <v>0</v>
      </c>
      <c r="B1" s="60" t="s">
        <v>1</v>
      </c>
      <c r="C1" s="59" t="s">
        <v>2</v>
      </c>
      <c r="D1" s="59" t="s">
        <v>3</v>
      </c>
      <c r="E1" s="59" t="s">
        <v>4</v>
      </c>
      <c r="F1" s="51"/>
    </row>
    <row r="2" spans="1:6" ht="28.5">
      <c r="A2" s="55" t="s">
        <v>5</v>
      </c>
      <c r="B2" s="57" t="s">
        <v>6</v>
      </c>
      <c r="C2" s="56" t="s">
        <v>7</v>
      </c>
      <c r="D2" s="56"/>
      <c r="E2" s="58">
        <v>44921</v>
      </c>
      <c r="F2" s="51"/>
    </row>
    <row r="3" spans="1:6">
      <c r="A3" s="61" t="s">
        <v>8</v>
      </c>
      <c r="B3" s="53" t="s">
        <v>9</v>
      </c>
      <c r="C3" s="52" t="s">
        <v>10</v>
      </c>
      <c r="D3" s="52"/>
      <c r="E3" s="54">
        <v>44997</v>
      </c>
      <c r="F3" s="51"/>
    </row>
    <row r="4" spans="1:6" ht="28.5">
      <c r="A4" s="61"/>
      <c r="B4" s="62" t="s">
        <v>11</v>
      </c>
      <c r="C4" s="52" t="s">
        <v>12</v>
      </c>
      <c r="D4" s="52"/>
      <c r="E4" s="54">
        <v>45056</v>
      </c>
      <c r="F4" s="51"/>
    </row>
    <row r="5" spans="1:6">
      <c r="A5" s="61"/>
      <c r="B5" s="62" t="s">
        <v>13</v>
      </c>
      <c r="C5" s="52" t="s">
        <v>12</v>
      </c>
      <c r="D5" s="52"/>
      <c r="E5" s="54">
        <v>45070</v>
      </c>
      <c r="F5" s="51"/>
    </row>
    <row r="6" spans="1:6" ht="42.75">
      <c r="A6" s="61"/>
      <c r="B6" s="62" t="s">
        <v>14</v>
      </c>
      <c r="C6" s="52" t="s">
        <v>12</v>
      </c>
      <c r="D6" s="52"/>
      <c r="E6" s="54">
        <v>45135</v>
      </c>
      <c r="F6" s="51"/>
    </row>
    <row r="7" spans="1:6">
      <c r="A7" s="61"/>
      <c r="B7" s="53" t="s">
        <v>15</v>
      </c>
      <c r="C7" s="52" t="s">
        <v>12</v>
      </c>
      <c r="D7" s="52"/>
      <c r="E7" s="54">
        <v>45147</v>
      </c>
      <c r="F7" s="51"/>
    </row>
    <row r="8" spans="1:6" ht="28.5">
      <c r="A8" s="61"/>
      <c r="B8" s="62" t="s">
        <v>16</v>
      </c>
      <c r="C8" s="52" t="s">
        <v>12</v>
      </c>
      <c r="D8" s="52"/>
      <c r="E8" s="54">
        <v>45148</v>
      </c>
      <c r="F8" s="51"/>
    </row>
    <row r="9" spans="1:6">
      <c r="A9" s="61"/>
      <c r="B9" s="53" t="s">
        <v>17</v>
      </c>
      <c r="C9" s="52" t="s">
        <v>12</v>
      </c>
      <c r="D9" s="52"/>
      <c r="E9" s="54">
        <v>45268</v>
      </c>
      <c r="F9" s="51"/>
    </row>
    <row r="10" spans="1:6">
      <c r="A10" s="61"/>
      <c r="B10" s="53" t="s">
        <v>18</v>
      </c>
      <c r="C10" s="52" t="s">
        <v>12</v>
      </c>
      <c r="D10" s="52"/>
      <c r="E10" s="54">
        <v>45387</v>
      </c>
      <c r="F10" s="51"/>
    </row>
    <row r="11" spans="1:6">
      <c r="A11" s="61"/>
      <c r="B11" s="53" t="s">
        <v>19</v>
      </c>
      <c r="C11" s="52" t="s">
        <v>12</v>
      </c>
      <c r="D11" s="52"/>
      <c r="E11" s="54">
        <v>45447</v>
      </c>
      <c r="F11" s="51"/>
    </row>
    <row r="12" spans="1:6">
      <c r="A12" s="61"/>
      <c r="B12" s="53" t="s">
        <v>20</v>
      </c>
      <c r="C12" s="52" t="s">
        <v>21</v>
      </c>
      <c r="D12" s="52"/>
      <c r="E12" s="54">
        <v>45463</v>
      </c>
      <c r="F12" s="51"/>
    </row>
    <row r="13" spans="1:6">
      <c r="A13" s="61"/>
      <c r="B13" s="53" t="s">
        <v>22</v>
      </c>
      <c r="C13" s="52" t="s">
        <v>12</v>
      </c>
      <c r="D13" s="52"/>
      <c r="E13" s="54">
        <v>45594</v>
      </c>
      <c r="F13" s="51"/>
    </row>
    <row r="14" spans="1:6">
      <c r="A14" s="61"/>
      <c r="B14" s="53" t="s">
        <v>23</v>
      </c>
      <c r="C14" s="52" t="s">
        <v>12</v>
      </c>
      <c r="D14" s="52"/>
      <c r="E14" s="54">
        <v>45610</v>
      </c>
      <c r="F14" s="51"/>
    </row>
    <row r="15" spans="1:6">
      <c r="A15" s="61"/>
      <c r="B15" s="53" t="s">
        <v>24</v>
      </c>
      <c r="C15" s="52" t="s">
        <v>12</v>
      </c>
      <c r="D15" s="52"/>
      <c r="E15" s="54">
        <v>45611</v>
      </c>
      <c r="F15" s="51"/>
    </row>
    <row r="16" spans="1:6">
      <c r="A16" s="61"/>
      <c r="B16" s="53" t="s">
        <v>25</v>
      </c>
      <c r="C16" s="52" t="s">
        <v>12</v>
      </c>
      <c r="D16" s="52"/>
      <c r="E16" s="54">
        <v>45786</v>
      </c>
      <c r="F16" s="51"/>
    </row>
    <row r="17" spans="1:6">
      <c r="A17" s="61"/>
      <c r="B17" s="53"/>
      <c r="C17" s="52"/>
      <c r="D17" s="52"/>
      <c r="E17" s="52"/>
      <c r="F17" s="5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20"/>
  <sheetViews>
    <sheetView workbookViewId="0">
      <selection activeCell="A21" sqref="A21"/>
    </sheetView>
  </sheetViews>
  <sheetFormatPr defaultColWidth="8.75" defaultRowHeight="14.25"/>
  <cols>
    <col min="1" max="1" width="37.25" style="44" bestFit="1" customWidth="1"/>
    <col min="2" max="2" width="29" style="44" bestFit="1" customWidth="1"/>
    <col min="3" max="3" width="8.375" style="45" bestFit="1" customWidth="1"/>
    <col min="4" max="4" width="8.75" style="45" bestFit="1" customWidth="1"/>
    <col min="5" max="5" width="7.375" style="45" bestFit="1" customWidth="1"/>
    <col min="6" max="6" width="11.75" style="45" customWidth="1"/>
    <col min="7" max="16384" width="8.75" style="46"/>
  </cols>
  <sheetData>
    <row r="1" spans="1:6">
      <c r="A1" s="47" t="s">
        <v>26</v>
      </c>
      <c r="B1" s="47" t="s">
        <v>27</v>
      </c>
      <c r="C1" s="48" t="s">
        <v>28</v>
      </c>
      <c r="D1" s="48" t="s">
        <v>29</v>
      </c>
      <c r="E1" s="48" t="s">
        <v>30</v>
      </c>
      <c r="F1" s="48" t="s">
        <v>31</v>
      </c>
    </row>
    <row r="2" spans="1:6">
      <c r="A2" s="44" t="s">
        <v>32</v>
      </c>
      <c r="B2" s="44" t="s">
        <v>33</v>
      </c>
      <c r="C2" s="45" t="s">
        <v>34</v>
      </c>
      <c r="D2" s="45" t="s">
        <v>35</v>
      </c>
      <c r="E2" s="45">
        <f t="shared" ref="E2:E3" si="0">HEX2DEC(SUBSTITUTE(D2,"0x",""))-HEX2DEC(SUBSTITUTE(C2,"0x",""))+1</f>
        <v>50</v>
      </c>
    </row>
    <row r="3" spans="1:6">
      <c r="A3" s="44" t="s">
        <v>36</v>
      </c>
      <c r="B3" s="44" t="s">
        <v>33</v>
      </c>
      <c r="C3" s="45" t="s">
        <v>37</v>
      </c>
      <c r="D3" s="45" t="s">
        <v>38</v>
      </c>
      <c r="E3" s="45">
        <f t="shared" si="0"/>
        <v>7</v>
      </c>
    </row>
    <row r="4" spans="1:6">
      <c r="A4" s="44" t="s">
        <v>39</v>
      </c>
      <c r="B4" s="44" t="s">
        <v>40</v>
      </c>
      <c r="C4" s="45" t="s">
        <v>41</v>
      </c>
      <c r="D4" s="45" t="s">
        <v>42</v>
      </c>
      <c r="E4" s="45">
        <f t="shared" ref="E4:E7" si="1">HEX2DEC(SUBSTITUTE(D4,"0x",""))-HEX2DEC(SUBSTITUTE(C4,"0x",""))+1</f>
        <v>570</v>
      </c>
    </row>
    <row r="5" spans="1:6">
      <c r="A5" s="44" t="s">
        <v>43</v>
      </c>
      <c r="B5" s="44" t="s">
        <v>40</v>
      </c>
      <c r="C5" s="45" t="s">
        <v>44</v>
      </c>
      <c r="D5" s="45" t="s">
        <v>45</v>
      </c>
      <c r="E5" s="45">
        <f t="shared" si="1"/>
        <v>186</v>
      </c>
    </row>
    <row r="6" spans="1:6">
      <c r="A6" s="44" t="s">
        <v>46</v>
      </c>
      <c r="B6" s="44" t="s">
        <v>47</v>
      </c>
      <c r="C6" s="45" t="s">
        <v>48</v>
      </c>
      <c r="D6" s="45" t="s">
        <v>49</v>
      </c>
      <c r="E6" s="45">
        <f t="shared" si="1"/>
        <v>32</v>
      </c>
    </row>
    <row r="7" spans="1:6">
      <c r="A7" s="44" t="s">
        <v>50</v>
      </c>
      <c r="B7" s="44" t="s">
        <v>47</v>
      </c>
      <c r="C7" s="45" t="s">
        <v>51</v>
      </c>
      <c r="D7" s="45" t="s">
        <v>52</v>
      </c>
      <c r="E7" s="45">
        <f t="shared" si="1"/>
        <v>16</v>
      </c>
    </row>
    <row r="8" spans="1:6">
      <c r="A8" s="44" t="s">
        <v>53</v>
      </c>
      <c r="B8" s="44" t="s">
        <v>47</v>
      </c>
      <c r="C8" s="45" t="s">
        <v>54</v>
      </c>
      <c r="D8" s="45" t="s">
        <v>55</v>
      </c>
      <c r="E8" s="45">
        <f t="shared" ref="E8" si="2">HEX2DEC(SUBSTITUTE(D8,"0x",""))-HEX2DEC(SUBSTITUTE(C8,"0x",""))+1</f>
        <v>96</v>
      </c>
    </row>
    <row r="9" spans="1:6">
      <c r="A9" s="44" t="s">
        <v>56</v>
      </c>
      <c r="B9" s="44" t="s">
        <v>57</v>
      </c>
      <c r="C9" s="45" t="s">
        <v>58</v>
      </c>
      <c r="D9" s="45" t="s">
        <v>59</v>
      </c>
      <c r="E9" s="45">
        <f t="shared" ref="E9:E10" si="3">HEX2DEC(SUBSTITUTE(D9,"0x",""))-HEX2DEC(SUBSTITUTE(C9,"0x",""))+1</f>
        <v>123</v>
      </c>
    </row>
    <row r="10" spans="1:6">
      <c r="A10" s="44" t="s">
        <v>60</v>
      </c>
      <c r="B10" s="44" t="s">
        <v>57</v>
      </c>
      <c r="C10" s="45" t="s">
        <v>61</v>
      </c>
      <c r="D10" s="45" t="s">
        <v>62</v>
      </c>
      <c r="E10" s="45">
        <f t="shared" si="3"/>
        <v>80</v>
      </c>
    </row>
    <row r="11" spans="1:6">
      <c r="A11" s="44" t="s">
        <v>63</v>
      </c>
      <c r="B11" s="44" t="s">
        <v>40</v>
      </c>
      <c r="C11" s="45" t="s">
        <v>64</v>
      </c>
      <c r="D11" s="45" t="s">
        <v>65</v>
      </c>
      <c r="E11" s="45">
        <f t="shared" ref="E11:E16" si="4">HEX2DEC(SUBSTITUTE(D11,"0x",""))-HEX2DEC(SUBSTITUTE(C11,"0x",""))+1</f>
        <v>127</v>
      </c>
    </row>
    <row r="12" spans="1:6">
      <c r="A12" s="44" t="s">
        <v>66</v>
      </c>
      <c r="B12" s="44" t="s">
        <v>40</v>
      </c>
      <c r="C12" s="45" t="s">
        <v>67</v>
      </c>
      <c r="D12" s="45" t="s">
        <v>68</v>
      </c>
      <c r="E12" s="45">
        <f t="shared" si="4"/>
        <v>524</v>
      </c>
    </row>
    <row r="13" spans="1:6">
      <c r="A13" s="44" t="s">
        <v>69</v>
      </c>
      <c r="B13" s="44" t="s">
        <v>40</v>
      </c>
      <c r="C13" s="45" t="s">
        <v>70</v>
      </c>
      <c r="D13" s="45" t="s">
        <v>71</v>
      </c>
      <c r="E13" s="45">
        <f t="shared" si="4"/>
        <v>127</v>
      </c>
    </row>
    <row r="14" spans="1:6">
      <c r="A14" s="44" t="s">
        <v>72</v>
      </c>
      <c r="B14" s="44" t="s">
        <v>40</v>
      </c>
      <c r="C14" s="45" t="s">
        <v>73</v>
      </c>
      <c r="D14" s="45" t="s">
        <v>74</v>
      </c>
      <c r="E14" s="45">
        <f t="shared" si="4"/>
        <v>12</v>
      </c>
    </row>
    <row r="15" spans="1:6">
      <c r="A15" s="44" t="s">
        <v>75</v>
      </c>
      <c r="B15" s="44" t="s">
        <v>33</v>
      </c>
      <c r="C15" s="45" t="s">
        <v>76</v>
      </c>
      <c r="D15" s="45" t="s">
        <v>77</v>
      </c>
      <c r="E15" s="45">
        <f t="shared" si="4"/>
        <v>40</v>
      </c>
    </row>
    <row r="16" spans="1:6">
      <c r="A16" s="44" t="s">
        <v>78</v>
      </c>
      <c r="B16" s="44" t="s">
        <v>33</v>
      </c>
      <c r="C16" s="45" t="s">
        <v>79</v>
      </c>
      <c r="D16" s="45" t="s">
        <v>80</v>
      </c>
      <c r="E16" s="45">
        <f t="shared" si="4"/>
        <v>41</v>
      </c>
    </row>
    <row r="17" spans="1:5">
      <c r="A17" s="44" t="s">
        <v>81</v>
      </c>
      <c r="B17" s="44" t="s">
        <v>82</v>
      </c>
      <c r="C17" s="45" t="s">
        <v>83</v>
      </c>
      <c r="D17" s="45" t="s">
        <v>84</v>
      </c>
      <c r="E17" s="45">
        <f t="shared" ref="E17" si="5">HEX2DEC(SUBSTITUTE(D17,"0x",""))-HEX2DEC(SUBSTITUTE(C17,"0x",""))+1</f>
        <v>6</v>
      </c>
    </row>
    <row r="18" spans="1:5">
      <c r="A18" s="44" t="s">
        <v>85</v>
      </c>
      <c r="B18" s="44" t="s">
        <v>82</v>
      </c>
      <c r="C18" s="45" t="s">
        <v>86</v>
      </c>
      <c r="D18" s="45" t="s">
        <v>87</v>
      </c>
      <c r="E18" s="45">
        <f>HEX2DEC(SUBSTITUTE(D18,"0x",""))-HEX2DEC(SUBSTITUTE(C18,"0x",""))+1</f>
        <v>48</v>
      </c>
    </row>
    <row r="19" spans="1:5">
      <c r="A19" s="44" t="s">
        <v>88</v>
      </c>
      <c r="B19" s="44" t="s">
        <v>89</v>
      </c>
      <c r="C19" s="45" t="s">
        <v>90</v>
      </c>
      <c r="D19" s="45" t="s">
        <v>91</v>
      </c>
      <c r="E19" s="45">
        <f>HEX2DEC(SUBSTITUTE(D19,"0x",""))-HEX2DEC(SUBSTITUTE(C19,"0x",""))+1</f>
        <v>3</v>
      </c>
    </row>
    <row r="20" spans="1:5">
      <c r="A20" s="44" t="s">
        <v>92</v>
      </c>
      <c r="B20" s="44" t="s">
        <v>89</v>
      </c>
      <c r="C20" s="45" t="s">
        <v>93</v>
      </c>
      <c r="D20" s="45" t="s">
        <v>94</v>
      </c>
      <c r="E20" s="45">
        <f t="shared" ref="E20" si="6">HEX2DEC(SUBSTITUTE(D20,"0x",""))-HEX2DEC(SUBSTITUTE(C20,"0x",""))+1</f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6"/>
  <sheetViews>
    <sheetView workbookViewId="0">
      <pane ySplit="1" topLeftCell="A19" activePane="bottomLeft" state="frozen"/>
      <selection pane="bottomLeft" activeCell="H34" sqref="H34"/>
    </sheetView>
  </sheetViews>
  <sheetFormatPr defaultColWidth="9" defaultRowHeight="14.25"/>
  <cols>
    <col min="1" max="1" width="20.25" style="2" bestFit="1" customWidth="1"/>
    <col min="2" max="2" width="10.375" style="2" customWidth="1"/>
    <col min="3" max="3" width="10.75" style="2" bestFit="1" customWidth="1"/>
    <col min="4" max="4" width="7.25" style="2" customWidth="1"/>
    <col min="5" max="5" width="12" style="2" bestFit="1" customWidth="1"/>
    <col min="6" max="6" width="1.75" style="2" customWidth="1"/>
    <col min="7" max="7" width="11.25" style="2" bestFit="1" customWidth="1"/>
    <col min="8" max="8" width="41.125" style="2" customWidth="1"/>
    <col min="9" max="9" width="11.75" style="2" bestFit="1" customWidth="1"/>
    <col min="10" max="10" width="5.25" style="2" bestFit="1" customWidth="1"/>
    <col min="11" max="11" width="5.25" style="9" bestFit="1" customWidth="1"/>
    <col min="12" max="12" width="31.75" style="2" customWidth="1"/>
    <col min="13" max="13" width="16.875" style="2" customWidth="1"/>
    <col min="14" max="14" width="22" style="1" customWidth="1"/>
    <col min="15" max="15" width="19.25" style="2" bestFit="1" customWidth="1"/>
    <col min="16" max="16384" width="9" style="2"/>
  </cols>
  <sheetData>
    <row r="1" spans="1:16" s="4" customFormat="1">
      <c r="A1" s="3" t="s">
        <v>95</v>
      </c>
      <c r="B1" s="3"/>
      <c r="C1" s="3" t="s">
        <v>96</v>
      </c>
      <c r="D1" s="3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7" t="s">
        <v>102</v>
      </c>
      <c r="L1" s="7" t="s">
        <v>103</v>
      </c>
      <c r="M1" s="3" t="s">
        <v>104</v>
      </c>
      <c r="N1" s="3" t="s">
        <v>105</v>
      </c>
      <c r="O1" s="3" t="s">
        <v>106</v>
      </c>
      <c r="P1" s="3"/>
    </row>
    <row r="2" spans="1:16" s="6" customFormat="1">
      <c r="A2" s="39" t="s">
        <v>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">
      <c r="A3" s="9" t="str">
        <f t="shared" ref="A3:C3" si="0">"0x"&amp;DEC2HEX(E3,4)</f>
        <v>0x1000</v>
      </c>
      <c r="B3" s="9"/>
      <c r="C3" s="9" t="str">
        <f t="shared" si="0"/>
        <v>0x1000</v>
      </c>
      <c r="D3" s="9"/>
      <c r="E3" s="9">
        <v>4096</v>
      </c>
      <c r="F3" s="9"/>
      <c r="G3" s="9">
        <f>E3+K3-1</f>
        <v>4096</v>
      </c>
      <c r="H3" s="9" t="s">
        <v>107</v>
      </c>
      <c r="I3" s="9" t="s">
        <v>108</v>
      </c>
      <c r="J3" s="9" t="s">
        <v>109</v>
      </c>
      <c r="K3" s="9">
        <v>1</v>
      </c>
      <c r="L3" s="9" t="s">
        <v>110</v>
      </c>
      <c r="M3" s="9">
        <v>0</v>
      </c>
      <c r="N3" s="9"/>
    </row>
    <row r="4" spans="1:16">
      <c r="A4" s="9" t="str">
        <f t="shared" ref="A4:A35" si="1">"0x"&amp;DEC2HEX(E4,4)</f>
        <v>0x1001</v>
      </c>
      <c r="B4" s="9"/>
      <c r="C4" s="9" t="str">
        <f t="shared" ref="C4:C35" si="2">"0x"&amp;DEC2HEX(G4,4)</f>
        <v>0x1001</v>
      </c>
      <c r="D4" s="9"/>
      <c r="E4" s="9">
        <f>G3+1</f>
        <v>4097</v>
      </c>
      <c r="F4" s="9"/>
      <c r="G4" s="9">
        <f>E4+K4-1</f>
        <v>4097</v>
      </c>
      <c r="H4" s="9" t="s">
        <v>111</v>
      </c>
      <c r="I4" s="9" t="s">
        <v>112</v>
      </c>
      <c r="J4" s="9" t="s">
        <v>113</v>
      </c>
      <c r="K4" s="9">
        <v>1</v>
      </c>
      <c r="L4" s="9" t="s">
        <v>114</v>
      </c>
      <c r="M4" s="9">
        <v>19200</v>
      </c>
      <c r="N4" s="9"/>
    </row>
    <row r="5" spans="1:16" ht="28.5">
      <c r="A5" s="9" t="str">
        <f t="shared" si="1"/>
        <v>0x1002</v>
      </c>
      <c r="B5" s="9"/>
      <c r="C5" s="9" t="str">
        <f t="shared" si="2"/>
        <v>0x1002</v>
      </c>
      <c r="D5" s="9"/>
      <c r="E5" s="9">
        <f t="shared" ref="E5:E35" si="3">G4+1</f>
        <v>4098</v>
      </c>
      <c r="F5" s="9"/>
      <c r="G5" s="9">
        <f t="shared" ref="G5:G35" si="4">E5+K5-1</f>
        <v>4098</v>
      </c>
      <c r="H5" s="9" t="s">
        <v>115</v>
      </c>
      <c r="I5" s="9" t="s">
        <v>108</v>
      </c>
      <c r="J5" s="9" t="s">
        <v>109</v>
      </c>
      <c r="K5" s="9">
        <v>1</v>
      </c>
      <c r="L5" s="10" t="s">
        <v>116</v>
      </c>
      <c r="M5" s="9">
        <v>0</v>
      </c>
      <c r="N5" s="9"/>
    </row>
    <row r="6" spans="1:16" ht="28.5">
      <c r="A6" s="9" t="str">
        <f t="shared" si="1"/>
        <v>0x1003</v>
      </c>
      <c r="B6" s="9"/>
      <c r="C6" s="9" t="str">
        <f t="shared" si="2"/>
        <v>0x1003</v>
      </c>
      <c r="D6" s="9"/>
      <c r="E6" s="9">
        <f t="shared" si="3"/>
        <v>4099</v>
      </c>
      <c r="F6" s="9"/>
      <c r="G6" s="9">
        <f t="shared" si="4"/>
        <v>4099</v>
      </c>
      <c r="H6" s="9" t="s">
        <v>117</v>
      </c>
      <c r="I6" s="9" t="s">
        <v>108</v>
      </c>
      <c r="J6" s="9" t="s">
        <v>109</v>
      </c>
      <c r="K6" s="9">
        <v>1</v>
      </c>
      <c r="L6" s="10" t="s">
        <v>118</v>
      </c>
      <c r="M6" s="9">
        <v>0</v>
      </c>
      <c r="N6" s="10"/>
    </row>
    <row r="7" spans="1:16" ht="28.5">
      <c r="A7" s="9" t="str">
        <f t="shared" si="1"/>
        <v>0x1004</v>
      </c>
      <c r="B7" s="9"/>
      <c r="C7" s="9" t="str">
        <f t="shared" si="2"/>
        <v>0x1004</v>
      </c>
      <c r="D7" s="9"/>
      <c r="E7" s="9">
        <f t="shared" si="3"/>
        <v>4100</v>
      </c>
      <c r="F7" s="9"/>
      <c r="G7" s="9">
        <f t="shared" si="4"/>
        <v>4100</v>
      </c>
      <c r="H7" s="10" t="s">
        <v>119</v>
      </c>
      <c r="I7" s="9" t="s">
        <v>108</v>
      </c>
      <c r="J7" s="9" t="s">
        <v>109</v>
      </c>
      <c r="K7" s="9">
        <v>1</v>
      </c>
      <c r="L7" s="9" t="s">
        <v>120</v>
      </c>
      <c r="M7" s="9"/>
      <c r="N7" s="9" t="s">
        <v>121</v>
      </c>
    </row>
    <row r="8" spans="1:16" ht="28.5">
      <c r="A8" s="9" t="str">
        <f t="shared" si="1"/>
        <v>0x1005</v>
      </c>
      <c r="B8" s="9"/>
      <c r="C8" s="9" t="str">
        <f t="shared" si="2"/>
        <v>0x1005</v>
      </c>
      <c r="D8" s="9"/>
      <c r="E8" s="9">
        <f t="shared" si="3"/>
        <v>4101</v>
      </c>
      <c r="F8" s="9"/>
      <c r="G8" s="9">
        <f t="shared" si="4"/>
        <v>4101</v>
      </c>
      <c r="H8" s="10" t="s">
        <v>122</v>
      </c>
      <c r="I8" s="9" t="s">
        <v>108</v>
      </c>
      <c r="J8" s="9" t="s">
        <v>109</v>
      </c>
      <c r="K8" s="9">
        <v>1</v>
      </c>
      <c r="L8" s="9" t="s">
        <v>120</v>
      </c>
      <c r="M8" s="9"/>
      <c r="N8" s="9"/>
    </row>
    <row r="9" spans="1:16" ht="28.5">
      <c r="A9" s="9" t="str">
        <f t="shared" si="1"/>
        <v>0x1006</v>
      </c>
      <c r="B9" s="9"/>
      <c r="C9" s="9" t="str">
        <f t="shared" si="2"/>
        <v>0x1006</v>
      </c>
      <c r="D9" s="9"/>
      <c r="E9" s="9">
        <f t="shared" si="3"/>
        <v>4102</v>
      </c>
      <c r="F9" s="9"/>
      <c r="G9" s="9">
        <f t="shared" si="4"/>
        <v>4102</v>
      </c>
      <c r="H9" s="10" t="s">
        <v>123</v>
      </c>
      <c r="I9" s="9" t="s">
        <v>108</v>
      </c>
      <c r="J9" s="9" t="s">
        <v>109</v>
      </c>
      <c r="K9" s="9">
        <v>1</v>
      </c>
      <c r="L9" s="9" t="s">
        <v>120</v>
      </c>
      <c r="M9" s="9"/>
      <c r="N9" s="9" t="s">
        <v>124</v>
      </c>
    </row>
    <row r="10" spans="1:16" ht="28.5">
      <c r="A10" s="9" t="str">
        <f t="shared" si="1"/>
        <v>0x1007</v>
      </c>
      <c r="B10" s="9"/>
      <c r="C10" s="9" t="str">
        <f t="shared" si="2"/>
        <v>0x1007</v>
      </c>
      <c r="D10" s="9"/>
      <c r="E10" s="9">
        <f t="shared" si="3"/>
        <v>4103</v>
      </c>
      <c r="F10" s="9"/>
      <c r="G10" s="9">
        <f t="shared" si="4"/>
        <v>4103</v>
      </c>
      <c r="H10" s="10" t="s">
        <v>125</v>
      </c>
      <c r="I10" s="9" t="s">
        <v>108</v>
      </c>
      <c r="J10" s="9" t="s">
        <v>109</v>
      </c>
      <c r="K10" s="9">
        <v>1</v>
      </c>
      <c r="L10" s="9" t="s">
        <v>120</v>
      </c>
      <c r="M10" s="9"/>
      <c r="N10" s="9"/>
    </row>
    <row r="11" spans="1:16" ht="28.5">
      <c r="A11" s="9" t="str">
        <f t="shared" si="1"/>
        <v>0x1008</v>
      </c>
      <c r="B11" s="9"/>
      <c r="C11" s="9" t="str">
        <f t="shared" si="2"/>
        <v>0x1008</v>
      </c>
      <c r="D11" s="9"/>
      <c r="E11" s="9">
        <f t="shared" si="3"/>
        <v>4104</v>
      </c>
      <c r="F11" s="9"/>
      <c r="G11" s="9">
        <f t="shared" si="4"/>
        <v>4104</v>
      </c>
      <c r="H11" s="10" t="s">
        <v>126</v>
      </c>
      <c r="I11" s="9" t="s">
        <v>108</v>
      </c>
      <c r="J11" s="9" t="s">
        <v>109</v>
      </c>
      <c r="K11" s="9">
        <v>1</v>
      </c>
      <c r="L11" s="9" t="s">
        <v>120</v>
      </c>
      <c r="M11" s="9"/>
      <c r="N11" s="9" t="s">
        <v>127</v>
      </c>
    </row>
    <row r="12" spans="1:16" ht="28.5">
      <c r="A12" s="9" t="str">
        <f t="shared" si="1"/>
        <v>0x1009</v>
      </c>
      <c r="B12" s="9"/>
      <c r="C12" s="9" t="str">
        <f t="shared" si="2"/>
        <v>0x1009</v>
      </c>
      <c r="D12" s="9"/>
      <c r="E12" s="9">
        <f t="shared" si="3"/>
        <v>4105</v>
      </c>
      <c r="F12" s="9"/>
      <c r="G12" s="9">
        <f t="shared" si="4"/>
        <v>4105</v>
      </c>
      <c r="H12" s="10" t="s">
        <v>128</v>
      </c>
      <c r="I12" s="9" t="s">
        <v>108</v>
      </c>
      <c r="J12" s="9" t="s">
        <v>109</v>
      </c>
      <c r="K12" s="9">
        <v>1</v>
      </c>
      <c r="L12" s="9" t="s">
        <v>120</v>
      </c>
      <c r="M12" s="9"/>
      <c r="N12" s="9"/>
    </row>
    <row r="13" spans="1:16" ht="28.5">
      <c r="A13" s="9" t="str">
        <f t="shared" si="1"/>
        <v>0x100A</v>
      </c>
      <c r="B13" s="9"/>
      <c r="C13" s="9" t="str">
        <f t="shared" si="2"/>
        <v>0x100A</v>
      </c>
      <c r="D13" s="9"/>
      <c r="E13" s="9">
        <f t="shared" si="3"/>
        <v>4106</v>
      </c>
      <c r="F13" s="9"/>
      <c r="G13" s="9">
        <f t="shared" si="4"/>
        <v>4106</v>
      </c>
      <c r="H13" s="10" t="s">
        <v>129</v>
      </c>
      <c r="I13" s="9" t="s">
        <v>108</v>
      </c>
      <c r="J13" s="9" t="s">
        <v>109</v>
      </c>
      <c r="K13" s="9">
        <v>1</v>
      </c>
      <c r="L13" s="9" t="s">
        <v>120</v>
      </c>
      <c r="M13" s="9"/>
      <c r="N13" s="9" t="s">
        <v>130</v>
      </c>
    </row>
    <row r="14" spans="1:16" ht="28.5">
      <c r="A14" s="9" t="str">
        <f t="shared" si="1"/>
        <v>0x100B</v>
      </c>
      <c r="B14" s="9"/>
      <c r="C14" s="9" t="str">
        <f t="shared" si="2"/>
        <v>0x100B</v>
      </c>
      <c r="D14" s="9"/>
      <c r="E14" s="9">
        <f t="shared" si="3"/>
        <v>4107</v>
      </c>
      <c r="F14" s="9"/>
      <c r="G14" s="9">
        <f t="shared" si="4"/>
        <v>4107</v>
      </c>
      <c r="H14" s="10" t="s">
        <v>131</v>
      </c>
      <c r="I14" s="9" t="s">
        <v>108</v>
      </c>
      <c r="J14" s="9" t="s">
        <v>109</v>
      </c>
      <c r="K14" s="9">
        <v>1</v>
      </c>
      <c r="L14" s="9" t="s">
        <v>120</v>
      </c>
      <c r="M14" s="9"/>
      <c r="N14" s="9"/>
    </row>
    <row r="15" spans="1:16" ht="28.5">
      <c r="A15" s="9" t="str">
        <f t="shared" si="1"/>
        <v>0x100C</v>
      </c>
      <c r="B15" s="9"/>
      <c r="C15" s="9" t="str">
        <f t="shared" si="2"/>
        <v>0x100C</v>
      </c>
      <c r="D15" s="9"/>
      <c r="E15" s="9">
        <f t="shared" si="3"/>
        <v>4108</v>
      </c>
      <c r="F15" s="9"/>
      <c r="G15" s="9">
        <f t="shared" si="4"/>
        <v>4108</v>
      </c>
      <c r="H15" s="10" t="s">
        <v>132</v>
      </c>
      <c r="I15" s="9" t="s">
        <v>108</v>
      </c>
      <c r="J15" s="9" t="s">
        <v>109</v>
      </c>
      <c r="K15" s="9">
        <v>1</v>
      </c>
      <c r="L15" s="9" t="s">
        <v>120</v>
      </c>
      <c r="M15" s="9"/>
      <c r="N15" s="9" t="s">
        <v>133</v>
      </c>
    </row>
    <row r="16" spans="1:16" ht="28.5">
      <c r="A16" s="9" t="str">
        <f t="shared" si="1"/>
        <v>0x100D</v>
      </c>
      <c r="B16" s="9"/>
      <c r="C16" s="9" t="str">
        <f t="shared" si="2"/>
        <v>0x100D</v>
      </c>
      <c r="D16" s="9"/>
      <c r="E16" s="9">
        <f t="shared" si="3"/>
        <v>4109</v>
      </c>
      <c r="F16" s="9"/>
      <c r="G16" s="9">
        <f t="shared" si="4"/>
        <v>4109</v>
      </c>
      <c r="H16" s="10" t="s">
        <v>134</v>
      </c>
      <c r="I16" s="9" t="s">
        <v>108</v>
      </c>
      <c r="J16" s="9" t="s">
        <v>109</v>
      </c>
      <c r="K16" s="9">
        <v>1</v>
      </c>
      <c r="L16" s="9" t="s">
        <v>120</v>
      </c>
      <c r="M16" s="9"/>
      <c r="N16" s="9"/>
    </row>
    <row r="17" spans="1:14" ht="28.5">
      <c r="A17" s="9" t="str">
        <f t="shared" si="1"/>
        <v>0x100E</v>
      </c>
      <c r="B17" s="9"/>
      <c r="C17" s="9" t="str">
        <f t="shared" si="2"/>
        <v>0x100E</v>
      </c>
      <c r="D17" s="9"/>
      <c r="E17" s="9">
        <f t="shared" si="3"/>
        <v>4110</v>
      </c>
      <c r="F17" s="9"/>
      <c r="G17" s="9">
        <f t="shared" si="4"/>
        <v>4110</v>
      </c>
      <c r="H17" s="9" t="s">
        <v>135</v>
      </c>
      <c r="I17" s="9" t="s">
        <v>108</v>
      </c>
      <c r="J17" s="9" t="s">
        <v>109</v>
      </c>
      <c r="K17" s="9">
        <v>1</v>
      </c>
      <c r="L17" s="10" t="s">
        <v>136</v>
      </c>
      <c r="M17" s="9">
        <v>1</v>
      </c>
      <c r="N17" s="9">
        <v>1</v>
      </c>
    </row>
    <row r="18" spans="1:14" ht="28.5">
      <c r="A18" s="9" t="str">
        <f t="shared" si="1"/>
        <v>0x100F</v>
      </c>
      <c r="B18" s="9"/>
      <c r="C18" s="9" t="str">
        <f t="shared" si="2"/>
        <v>0x100F</v>
      </c>
      <c r="D18" s="9"/>
      <c r="E18" s="9">
        <f t="shared" si="3"/>
        <v>4111</v>
      </c>
      <c r="F18" s="9"/>
      <c r="G18" s="9">
        <f t="shared" si="4"/>
        <v>4111</v>
      </c>
      <c r="H18" s="9" t="s">
        <v>137</v>
      </c>
      <c r="I18" s="9" t="s">
        <v>108</v>
      </c>
      <c r="J18" s="9" t="s">
        <v>109</v>
      </c>
      <c r="K18" s="9">
        <v>1</v>
      </c>
      <c r="L18" s="10" t="s">
        <v>138</v>
      </c>
      <c r="M18" s="9">
        <v>1</v>
      </c>
      <c r="N18" s="9">
        <v>1</v>
      </c>
    </row>
    <row r="19" spans="1:14" ht="28.5">
      <c r="A19" s="9" t="str">
        <f t="shared" si="1"/>
        <v>0x1010</v>
      </c>
      <c r="B19" s="9"/>
      <c r="C19" s="9" t="str">
        <f t="shared" si="2"/>
        <v>0x1010</v>
      </c>
      <c r="D19" s="9"/>
      <c r="E19" s="9">
        <f t="shared" si="3"/>
        <v>4112</v>
      </c>
      <c r="F19" s="9"/>
      <c r="G19" s="9">
        <f t="shared" si="4"/>
        <v>4112</v>
      </c>
      <c r="H19" s="9" t="s">
        <v>139</v>
      </c>
      <c r="I19" s="9" t="s">
        <v>108</v>
      </c>
      <c r="J19" s="9" t="s">
        <v>109</v>
      </c>
      <c r="K19" s="9">
        <v>1</v>
      </c>
      <c r="L19" s="10" t="s">
        <v>138</v>
      </c>
      <c r="M19" s="9">
        <v>1</v>
      </c>
      <c r="N19" s="9">
        <v>1</v>
      </c>
    </row>
    <row r="20" spans="1:14">
      <c r="A20" s="9" t="str">
        <f t="shared" si="1"/>
        <v>0x1011</v>
      </c>
      <c r="B20" s="9"/>
      <c r="C20" s="9" t="str">
        <f t="shared" si="2"/>
        <v>0x1011</v>
      </c>
      <c r="D20" s="9"/>
      <c r="E20" s="9">
        <f t="shared" si="3"/>
        <v>4113</v>
      </c>
      <c r="F20" s="9"/>
      <c r="G20" s="9">
        <f t="shared" si="4"/>
        <v>4113</v>
      </c>
      <c r="H20" s="9" t="s">
        <v>140</v>
      </c>
      <c r="I20" s="9" t="s">
        <v>108</v>
      </c>
      <c r="J20" s="9" t="s">
        <v>109</v>
      </c>
      <c r="K20" s="9">
        <v>1</v>
      </c>
      <c r="L20" s="10" t="s">
        <v>141</v>
      </c>
      <c r="M20" s="9">
        <v>502</v>
      </c>
      <c r="N20" s="9">
        <v>502</v>
      </c>
    </row>
    <row r="21" spans="1:14">
      <c r="A21" s="9" t="str">
        <f t="shared" si="1"/>
        <v>0x1012</v>
      </c>
      <c r="B21" s="9"/>
      <c r="C21" s="9" t="str">
        <f t="shared" si="2"/>
        <v>0x1012</v>
      </c>
      <c r="D21" s="9"/>
      <c r="E21" s="9">
        <f t="shared" si="3"/>
        <v>4114</v>
      </c>
      <c r="F21" s="9"/>
      <c r="G21" s="9">
        <f t="shared" si="4"/>
        <v>4114</v>
      </c>
      <c r="H21" s="9" t="s">
        <v>142</v>
      </c>
      <c r="I21" s="9" t="s">
        <v>108</v>
      </c>
      <c r="J21" s="9" t="s">
        <v>109</v>
      </c>
      <c r="K21" s="9">
        <v>1</v>
      </c>
      <c r="L21" s="9" t="s">
        <v>143</v>
      </c>
      <c r="M21" s="9">
        <v>1000</v>
      </c>
      <c r="N21" s="9"/>
    </row>
    <row r="22" spans="1:14">
      <c r="A22" s="9" t="str">
        <f t="shared" si="1"/>
        <v>0x1013</v>
      </c>
      <c r="B22" s="9"/>
      <c r="C22" s="9" t="str">
        <f t="shared" si="2"/>
        <v>0x1013</v>
      </c>
      <c r="D22" s="9"/>
      <c r="E22" s="9">
        <f t="shared" si="3"/>
        <v>4115</v>
      </c>
      <c r="F22" s="9"/>
      <c r="G22" s="9">
        <f t="shared" si="4"/>
        <v>4115</v>
      </c>
      <c r="H22" s="9" t="s">
        <v>144</v>
      </c>
      <c r="I22" s="9" t="s">
        <v>108</v>
      </c>
      <c r="J22" s="9" t="s">
        <v>109</v>
      </c>
      <c r="K22" s="9">
        <v>1</v>
      </c>
      <c r="L22" s="9" t="s">
        <v>143</v>
      </c>
      <c r="M22" s="9"/>
      <c r="N22" s="9"/>
    </row>
    <row r="23" spans="1:14">
      <c r="A23" s="9" t="str">
        <f t="shared" si="1"/>
        <v>0x1014</v>
      </c>
      <c r="B23" s="9"/>
      <c r="C23" s="9" t="str">
        <f t="shared" si="2"/>
        <v>0x1014</v>
      </c>
      <c r="D23" s="9"/>
      <c r="E23" s="9">
        <f t="shared" si="3"/>
        <v>4116</v>
      </c>
      <c r="F23" s="9"/>
      <c r="G23" s="9">
        <f t="shared" si="4"/>
        <v>4116</v>
      </c>
      <c r="H23" s="9" t="s">
        <v>145</v>
      </c>
      <c r="I23" s="9" t="s">
        <v>108</v>
      </c>
      <c r="J23" s="9" t="s">
        <v>109</v>
      </c>
      <c r="K23" s="9">
        <v>1</v>
      </c>
      <c r="L23" s="10" t="s">
        <v>146</v>
      </c>
      <c r="M23" s="9">
        <v>50</v>
      </c>
      <c r="N23" s="9"/>
    </row>
    <row r="24" spans="1:14">
      <c r="A24" s="9" t="str">
        <f t="shared" si="1"/>
        <v>0x1015</v>
      </c>
      <c r="B24" s="9"/>
      <c r="C24" s="9" t="str">
        <f t="shared" si="2"/>
        <v>0x1015</v>
      </c>
      <c r="D24" s="9"/>
      <c r="E24" s="9">
        <f t="shared" si="3"/>
        <v>4117</v>
      </c>
      <c r="F24" s="9"/>
      <c r="G24" s="9">
        <f t="shared" si="4"/>
        <v>4117</v>
      </c>
      <c r="H24" s="9" t="s">
        <v>147</v>
      </c>
      <c r="I24" s="9" t="s">
        <v>108</v>
      </c>
      <c r="J24" s="9" t="s">
        <v>109</v>
      </c>
      <c r="K24" s="9">
        <v>1</v>
      </c>
      <c r="L24" s="10" t="s">
        <v>148</v>
      </c>
      <c r="M24" s="9">
        <v>75</v>
      </c>
      <c r="N24" s="9"/>
    </row>
    <row r="25" spans="1:14" ht="57">
      <c r="A25" s="9" t="str">
        <f t="shared" si="1"/>
        <v>0x1016</v>
      </c>
      <c r="B25" s="9"/>
      <c r="C25" s="9" t="str">
        <f t="shared" si="2"/>
        <v>0x1016</v>
      </c>
      <c r="D25" s="9"/>
      <c r="E25" s="9">
        <f t="shared" si="3"/>
        <v>4118</v>
      </c>
      <c r="F25" s="9"/>
      <c r="G25" s="9">
        <f t="shared" si="4"/>
        <v>4118</v>
      </c>
      <c r="H25" s="9" t="s">
        <v>149</v>
      </c>
      <c r="I25" s="9" t="s">
        <v>108</v>
      </c>
      <c r="J25" s="9" t="s">
        <v>109</v>
      </c>
      <c r="K25" s="9">
        <v>1</v>
      </c>
      <c r="L25" s="10" t="s">
        <v>150</v>
      </c>
      <c r="M25" s="9">
        <v>1</v>
      </c>
      <c r="N25" s="10"/>
    </row>
    <row r="26" spans="1:14">
      <c r="A26" s="9" t="str">
        <f t="shared" si="1"/>
        <v>0x1017</v>
      </c>
      <c r="B26" s="9"/>
      <c r="C26" s="9" t="str">
        <f t="shared" si="2"/>
        <v>0x1017</v>
      </c>
      <c r="D26" s="9"/>
      <c r="E26" s="9">
        <f t="shared" si="3"/>
        <v>4119</v>
      </c>
      <c r="F26" s="9"/>
      <c r="G26" s="9">
        <f t="shared" si="4"/>
        <v>4119</v>
      </c>
      <c r="H26" s="9" t="s">
        <v>151</v>
      </c>
      <c r="I26" s="9" t="s">
        <v>108</v>
      </c>
      <c r="J26" s="9" t="s">
        <v>109</v>
      </c>
      <c r="K26" s="9">
        <v>1</v>
      </c>
      <c r="L26" s="9" t="s">
        <v>152</v>
      </c>
      <c r="M26" s="9">
        <v>15</v>
      </c>
      <c r="N26" s="9"/>
    </row>
    <row r="27" spans="1:14" s="20" customFormat="1">
      <c r="A27" s="9" t="str">
        <f t="shared" si="1"/>
        <v>0x1018</v>
      </c>
      <c r="B27" s="9"/>
      <c r="C27" s="9" t="str">
        <f t="shared" si="2"/>
        <v>0x1018</v>
      </c>
      <c r="D27" s="29"/>
      <c r="E27" s="9">
        <f t="shared" si="3"/>
        <v>4120</v>
      </c>
      <c r="F27" s="9"/>
      <c r="G27" s="9">
        <f t="shared" si="4"/>
        <v>4120</v>
      </c>
      <c r="H27" s="9" t="s">
        <v>153</v>
      </c>
      <c r="I27" s="9" t="s">
        <v>108</v>
      </c>
      <c r="J27" s="9" t="s">
        <v>109</v>
      </c>
      <c r="K27" s="9">
        <v>1</v>
      </c>
      <c r="L27" s="9" t="s">
        <v>152</v>
      </c>
      <c r="M27" s="9">
        <v>1</v>
      </c>
      <c r="N27" s="29"/>
    </row>
    <row r="28" spans="1:14" ht="81.75" customHeight="1">
      <c r="A28" s="63" t="str">
        <f t="shared" si="1"/>
        <v>0x1019</v>
      </c>
      <c r="B28" s="63"/>
      <c r="C28" s="63" t="str">
        <f t="shared" si="2"/>
        <v>0x1019</v>
      </c>
      <c r="D28" s="63"/>
      <c r="E28" s="63">
        <f t="shared" si="3"/>
        <v>4121</v>
      </c>
      <c r="F28" s="63"/>
      <c r="G28" s="63">
        <f t="shared" si="4"/>
        <v>4121</v>
      </c>
      <c r="H28" s="63" t="s">
        <v>154</v>
      </c>
      <c r="I28" s="63" t="s">
        <v>108</v>
      </c>
      <c r="J28" s="63" t="s">
        <v>109</v>
      </c>
      <c r="K28" s="63">
        <v>1</v>
      </c>
      <c r="L28" s="64" t="s">
        <v>155</v>
      </c>
      <c r="M28" s="63">
        <v>0</v>
      </c>
      <c r="N28" s="9"/>
    </row>
    <row r="29" spans="1:14" ht="101.25">
      <c r="A29" s="63" t="str">
        <f t="shared" si="1"/>
        <v>0x101A</v>
      </c>
      <c r="B29" s="63"/>
      <c r="C29" s="63" t="str">
        <f t="shared" si="2"/>
        <v>0x101A</v>
      </c>
      <c r="D29" s="63"/>
      <c r="E29" s="63">
        <f t="shared" si="3"/>
        <v>4122</v>
      </c>
      <c r="F29" s="63"/>
      <c r="G29" s="63">
        <f t="shared" si="4"/>
        <v>4122</v>
      </c>
      <c r="H29" s="63" t="s">
        <v>156</v>
      </c>
      <c r="I29" s="63" t="s">
        <v>108</v>
      </c>
      <c r="J29" s="63" t="s">
        <v>109</v>
      </c>
      <c r="K29" s="63">
        <v>1</v>
      </c>
      <c r="L29" s="64" t="s">
        <v>157</v>
      </c>
      <c r="M29" s="63">
        <v>0</v>
      </c>
    </row>
    <row r="30" spans="1:14" ht="40.5">
      <c r="A30" s="9" t="str">
        <f t="shared" si="1"/>
        <v>0x101B</v>
      </c>
      <c r="B30" s="9"/>
      <c r="C30" s="9" t="str">
        <f t="shared" si="2"/>
        <v>0x101B</v>
      </c>
      <c r="D30" s="8"/>
      <c r="E30" s="9">
        <f t="shared" si="3"/>
        <v>4123</v>
      </c>
      <c r="F30" s="9"/>
      <c r="G30" s="9">
        <f t="shared" si="4"/>
        <v>4123</v>
      </c>
      <c r="H30" s="9" t="s">
        <v>158</v>
      </c>
      <c r="I30" s="9" t="s">
        <v>108</v>
      </c>
      <c r="J30" s="9" t="s">
        <v>109</v>
      </c>
      <c r="K30" s="9">
        <v>1</v>
      </c>
      <c r="L30" s="10" t="s">
        <v>159</v>
      </c>
      <c r="M30" s="9">
        <v>0</v>
      </c>
      <c r="N30" s="10">
        <v>0</v>
      </c>
    </row>
    <row r="31" spans="1:14" ht="40.5">
      <c r="A31" s="9" t="str">
        <f t="shared" si="1"/>
        <v>0x101C</v>
      </c>
      <c r="B31" s="9"/>
      <c r="C31" s="9" t="str">
        <f t="shared" si="2"/>
        <v>0x101C</v>
      </c>
      <c r="D31" s="9"/>
      <c r="E31" s="9">
        <f t="shared" si="3"/>
        <v>4124</v>
      </c>
      <c r="F31" s="9"/>
      <c r="G31" s="9">
        <f t="shared" si="4"/>
        <v>4124</v>
      </c>
      <c r="H31" s="9" t="s">
        <v>160</v>
      </c>
      <c r="I31" s="9" t="s">
        <v>108</v>
      </c>
      <c r="J31" s="9" t="s">
        <v>109</v>
      </c>
      <c r="K31" s="9">
        <v>1</v>
      </c>
      <c r="L31" s="10" t="s">
        <v>161</v>
      </c>
      <c r="M31" s="9">
        <v>0</v>
      </c>
      <c r="N31" s="9"/>
    </row>
    <row r="32" spans="1:14" ht="40.5">
      <c r="A32" s="9" t="str">
        <f t="shared" si="1"/>
        <v>0x101D</v>
      </c>
      <c r="B32" s="9"/>
      <c r="C32" s="9" t="str">
        <f t="shared" si="2"/>
        <v>0x101D</v>
      </c>
      <c r="D32" s="9"/>
      <c r="E32" s="9">
        <f t="shared" si="3"/>
        <v>4125</v>
      </c>
      <c r="F32" s="9"/>
      <c r="G32" s="9">
        <f t="shared" si="4"/>
        <v>4125</v>
      </c>
      <c r="H32" s="9" t="s">
        <v>162</v>
      </c>
      <c r="I32" s="9" t="s">
        <v>108</v>
      </c>
      <c r="J32" s="9" t="s">
        <v>109</v>
      </c>
      <c r="K32" s="9">
        <v>1</v>
      </c>
      <c r="L32" s="10" t="s">
        <v>163</v>
      </c>
      <c r="M32" s="9">
        <v>0</v>
      </c>
      <c r="N32" s="9"/>
    </row>
    <row r="33" spans="1:14" ht="40.5">
      <c r="A33" s="9" t="str">
        <f t="shared" si="1"/>
        <v>0x101E</v>
      </c>
      <c r="B33" s="9"/>
      <c r="C33" s="9" t="str">
        <f t="shared" si="2"/>
        <v>0x101E</v>
      </c>
      <c r="D33" s="9"/>
      <c r="E33" s="9">
        <f t="shared" si="3"/>
        <v>4126</v>
      </c>
      <c r="F33" s="9"/>
      <c r="G33" s="9">
        <f t="shared" si="4"/>
        <v>4126</v>
      </c>
      <c r="H33" s="9" t="s">
        <v>164</v>
      </c>
      <c r="I33" s="9" t="s">
        <v>108</v>
      </c>
      <c r="J33" s="9" t="s">
        <v>109</v>
      </c>
      <c r="K33" s="9">
        <v>1</v>
      </c>
      <c r="L33" s="10" t="s">
        <v>163</v>
      </c>
      <c r="M33" s="9">
        <v>0</v>
      </c>
      <c r="N33" s="9"/>
    </row>
    <row r="34" spans="1:14" ht="28.5">
      <c r="A34" s="9" t="str">
        <f t="shared" si="1"/>
        <v>0x101F</v>
      </c>
      <c r="B34" s="9"/>
      <c r="C34" s="9" t="str">
        <f t="shared" si="2"/>
        <v>0x101F</v>
      </c>
      <c r="D34" s="9"/>
      <c r="E34" s="9">
        <f t="shared" si="3"/>
        <v>4127</v>
      </c>
      <c r="F34" s="9"/>
      <c r="G34" s="9">
        <f t="shared" si="4"/>
        <v>4127</v>
      </c>
      <c r="H34" s="9" t="s">
        <v>165</v>
      </c>
      <c r="I34" s="9" t="s">
        <v>108</v>
      </c>
      <c r="J34" s="9" t="s">
        <v>109</v>
      </c>
      <c r="K34" s="9">
        <v>1</v>
      </c>
      <c r="L34" s="10" t="s">
        <v>163</v>
      </c>
      <c r="M34" s="9">
        <v>0</v>
      </c>
      <c r="N34" s="9"/>
    </row>
    <row r="35" spans="1:14" ht="28.5">
      <c r="A35" s="9" t="str">
        <f t="shared" si="1"/>
        <v>0x1020</v>
      </c>
      <c r="B35" s="9"/>
      <c r="C35" s="9" t="str">
        <f t="shared" si="2"/>
        <v>0x1020</v>
      </c>
      <c r="D35" s="9"/>
      <c r="E35" s="9">
        <f t="shared" si="3"/>
        <v>4128</v>
      </c>
      <c r="F35" s="9"/>
      <c r="G35" s="9">
        <f t="shared" si="4"/>
        <v>4128</v>
      </c>
      <c r="H35" s="9" t="s">
        <v>166</v>
      </c>
      <c r="I35" s="9" t="s">
        <v>108</v>
      </c>
      <c r="J35" s="9" t="s">
        <v>109</v>
      </c>
      <c r="K35" s="9">
        <v>1</v>
      </c>
      <c r="L35" s="10" t="s">
        <v>163</v>
      </c>
      <c r="M35" s="9">
        <v>0</v>
      </c>
      <c r="N35" s="9"/>
    </row>
    <row r="36" spans="1:14" ht="28.5">
      <c r="A36" s="9" t="str">
        <f t="shared" ref="A36:A48" si="5">"0x"&amp;DEC2HEX(E36,4)</f>
        <v>0x1021</v>
      </c>
      <c r="B36" s="9"/>
      <c r="C36" s="9" t="str">
        <f t="shared" ref="C36:C48" si="6">"0x"&amp;DEC2HEX(G36,4)</f>
        <v>0x1021</v>
      </c>
      <c r="D36" s="9"/>
      <c r="E36" s="9">
        <f t="shared" ref="E36:E41" si="7">G35+1</f>
        <v>4129</v>
      </c>
      <c r="F36" s="9"/>
      <c r="G36" s="9">
        <f t="shared" ref="G36:G37" si="8">E36+K36-1</f>
        <v>4129</v>
      </c>
      <c r="H36" s="9" t="s">
        <v>167</v>
      </c>
      <c r="I36" s="9" t="s">
        <v>108</v>
      </c>
      <c r="J36" s="9" t="s">
        <v>109</v>
      </c>
      <c r="K36" s="9">
        <v>1</v>
      </c>
      <c r="L36" s="10" t="s">
        <v>168</v>
      </c>
      <c r="M36" s="9">
        <v>0</v>
      </c>
    </row>
    <row r="37" spans="1:14">
      <c r="A37" s="9" t="str">
        <f t="shared" si="5"/>
        <v>0x1022</v>
      </c>
      <c r="B37" s="9"/>
      <c r="C37" s="9" t="str">
        <f t="shared" si="6"/>
        <v>0x1022</v>
      </c>
      <c r="D37" s="9"/>
      <c r="E37" s="9">
        <f t="shared" si="7"/>
        <v>4130</v>
      </c>
      <c r="F37" s="9"/>
      <c r="G37" s="9">
        <f t="shared" si="8"/>
        <v>4130</v>
      </c>
      <c r="H37" s="9" t="s">
        <v>169</v>
      </c>
      <c r="I37" s="9" t="s">
        <v>170</v>
      </c>
      <c r="J37" s="9" t="s">
        <v>109</v>
      </c>
      <c r="K37" s="9">
        <v>1</v>
      </c>
      <c r="L37" s="9" t="s">
        <v>171</v>
      </c>
      <c r="M37" s="9">
        <v>0</v>
      </c>
      <c r="N37" s="8"/>
    </row>
    <row r="38" spans="1:14">
      <c r="A38" s="9" t="str">
        <f t="shared" si="5"/>
        <v>0x1023</v>
      </c>
      <c r="B38" s="9"/>
      <c r="C38" s="9" t="str">
        <f t="shared" si="6"/>
        <v>0x1023</v>
      </c>
      <c r="D38" s="9"/>
      <c r="E38" s="9">
        <f t="shared" si="7"/>
        <v>4131</v>
      </c>
      <c r="F38" s="9"/>
      <c r="G38" s="9">
        <f>E38+K39-1</f>
        <v>4131</v>
      </c>
      <c r="H38" s="9" t="s">
        <v>172</v>
      </c>
      <c r="I38" s="9" t="s">
        <v>108</v>
      </c>
      <c r="J38" s="9" t="s">
        <v>173</v>
      </c>
      <c r="K38" s="9">
        <v>1</v>
      </c>
      <c r="L38" s="9" t="s">
        <v>174</v>
      </c>
      <c r="M38" s="9">
        <v>0</v>
      </c>
      <c r="N38" s="8"/>
    </row>
    <row r="39" spans="1:14">
      <c r="A39" s="9" t="str">
        <f t="shared" si="5"/>
        <v>0x1024</v>
      </c>
      <c r="B39" s="9"/>
      <c r="C39" s="9" t="str">
        <f t="shared" si="6"/>
        <v>0x1024</v>
      </c>
      <c r="D39" s="9"/>
      <c r="E39" s="9">
        <f t="shared" si="7"/>
        <v>4132</v>
      </c>
      <c r="F39" s="9"/>
      <c r="G39" s="9">
        <f>E39+K40-1</f>
        <v>4132</v>
      </c>
      <c r="H39" s="9" t="s">
        <v>175</v>
      </c>
      <c r="I39" s="9" t="s">
        <v>108</v>
      </c>
      <c r="J39" s="9" t="s">
        <v>173</v>
      </c>
      <c r="K39" s="9">
        <v>1</v>
      </c>
      <c r="M39" s="9"/>
    </row>
    <row r="40" spans="1:14">
      <c r="A40" s="9" t="str">
        <f t="shared" si="5"/>
        <v>0x1025</v>
      </c>
      <c r="B40" s="9"/>
      <c r="C40" s="9" t="str">
        <f t="shared" si="6"/>
        <v>0x1025</v>
      </c>
      <c r="D40" s="9"/>
      <c r="E40" s="9">
        <f t="shared" si="7"/>
        <v>4133</v>
      </c>
      <c r="F40" s="9"/>
      <c r="G40" s="9">
        <f>E40+K41-1</f>
        <v>4133</v>
      </c>
      <c r="H40" s="9" t="s">
        <v>176</v>
      </c>
      <c r="I40" s="9" t="s">
        <v>170</v>
      </c>
      <c r="J40" s="9" t="s">
        <v>173</v>
      </c>
      <c r="K40" s="9">
        <v>1</v>
      </c>
      <c r="M40" s="9"/>
    </row>
    <row r="41" spans="1:14" ht="28.5">
      <c r="A41" s="9" t="str">
        <f t="shared" si="5"/>
        <v>0x1026</v>
      </c>
      <c r="B41" s="9"/>
      <c r="C41" s="9" t="str">
        <f t="shared" si="6"/>
        <v>0x1026</v>
      </c>
      <c r="D41" s="9"/>
      <c r="E41" s="9">
        <f t="shared" si="7"/>
        <v>4134</v>
      </c>
      <c r="F41" s="9"/>
      <c r="G41" s="9">
        <f>E41+K42-1</f>
        <v>4134</v>
      </c>
      <c r="H41" s="9" t="s">
        <v>177</v>
      </c>
      <c r="I41" s="9" t="s">
        <v>108</v>
      </c>
      <c r="J41" s="9" t="s">
        <v>109</v>
      </c>
      <c r="K41" s="9">
        <v>1</v>
      </c>
      <c r="L41" s="10" t="s">
        <v>163</v>
      </c>
      <c r="M41" s="9"/>
      <c r="N41" s="9"/>
    </row>
    <row r="42" spans="1:14" ht="28.5">
      <c r="A42" s="9" t="str">
        <f t="shared" si="5"/>
        <v>0x1027</v>
      </c>
      <c r="B42" s="9"/>
      <c r="C42" s="9" t="str">
        <f t="shared" si="6"/>
        <v>0x1027</v>
      </c>
      <c r="D42" s="9"/>
      <c r="E42" s="9">
        <f>G41+1</f>
        <v>4135</v>
      </c>
      <c r="F42" s="9"/>
      <c r="G42" s="9">
        <f>E42+K38-1</f>
        <v>4135</v>
      </c>
      <c r="H42" s="9" t="s">
        <v>178</v>
      </c>
      <c r="I42" s="9" t="s">
        <v>108</v>
      </c>
      <c r="J42" s="9" t="s">
        <v>109</v>
      </c>
      <c r="K42" s="9">
        <v>1</v>
      </c>
      <c r="L42" s="10" t="s">
        <v>168</v>
      </c>
      <c r="M42" s="9"/>
      <c r="N42" s="9"/>
    </row>
    <row r="43" spans="1:14">
      <c r="A43" s="9" t="str">
        <f t="shared" si="5"/>
        <v>0x1028</v>
      </c>
      <c r="B43" s="9"/>
      <c r="C43" s="9" t="str">
        <f t="shared" si="6"/>
        <v>0x1028</v>
      </c>
      <c r="D43" s="9"/>
      <c r="E43" s="9">
        <f t="shared" ref="E43:E48" si="9">G42+1</f>
        <v>4136</v>
      </c>
      <c r="F43" s="9"/>
      <c r="G43" s="9">
        <f t="shared" ref="G43:G48" si="10">E43+K43-1</f>
        <v>4136</v>
      </c>
      <c r="H43" s="9" t="s">
        <v>179</v>
      </c>
      <c r="I43" s="9" t="s">
        <v>108</v>
      </c>
      <c r="J43" s="9" t="s">
        <v>109</v>
      </c>
      <c r="K43" s="9">
        <v>1</v>
      </c>
      <c r="L43" s="9" t="s">
        <v>146</v>
      </c>
      <c r="M43" s="9">
        <v>50</v>
      </c>
      <c r="N43" s="9"/>
    </row>
    <row r="44" spans="1:14">
      <c r="A44" s="9" t="str">
        <f t="shared" si="5"/>
        <v>0x1029</v>
      </c>
      <c r="B44" s="9"/>
      <c r="C44" s="9" t="str">
        <f t="shared" si="6"/>
        <v>0x1029</v>
      </c>
      <c r="D44" s="9"/>
      <c r="E44" s="9">
        <f t="shared" si="9"/>
        <v>4137</v>
      </c>
      <c r="F44" s="9"/>
      <c r="G44" s="9">
        <f t="shared" si="10"/>
        <v>4137</v>
      </c>
      <c r="H44" s="9" t="s">
        <v>180</v>
      </c>
      <c r="I44" s="9" t="s">
        <v>108</v>
      </c>
      <c r="J44" s="9" t="s">
        <v>109</v>
      </c>
      <c r="K44" s="9">
        <v>1</v>
      </c>
      <c r="L44" s="9" t="s">
        <v>148</v>
      </c>
      <c r="M44" s="9">
        <v>75</v>
      </c>
      <c r="N44" s="9"/>
    </row>
    <row r="45" spans="1:14" ht="15.75">
      <c r="A45" s="9" t="str">
        <f t="shared" si="5"/>
        <v>0x102A</v>
      </c>
      <c r="B45" s="9"/>
      <c r="C45" s="9" t="str">
        <f t="shared" si="6"/>
        <v>0x102A</v>
      </c>
      <c r="D45" s="9"/>
      <c r="E45" s="9">
        <f t="shared" si="9"/>
        <v>4138</v>
      </c>
      <c r="F45" s="9"/>
      <c r="G45" s="9">
        <f t="shared" si="10"/>
        <v>4138</v>
      </c>
      <c r="H45" s="9" t="s">
        <v>181</v>
      </c>
      <c r="I45" s="9" t="s">
        <v>108</v>
      </c>
      <c r="J45" s="9" t="s">
        <v>173</v>
      </c>
      <c r="K45" s="9">
        <v>1</v>
      </c>
      <c r="L45" s="9"/>
      <c r="M45" s="9"/>
      <c r="N45" s="9"/>
    </row>
    <row r="46" spans="1:14">
      <c r="A46" s="9" t="str">
        <f t="shared" si="5"/>
        <v>0x102B</v>
      </c>
      <c r="B46" s="9"/>
      <c r="C46" s="9" t="str">
        <f t="shared" si="6"/>
        <v>0x102B</v>
      </c>
      <c r="D46" s="9"/>
      <c r="E46" s="9">
        <f t="shared" si="9"/>
        <v>4139</v>
      </c>
      <c r="F46" s="9"/>
      <c r="G46" s="9">
        <f t="shared" si="10"/>
        <v>4139</v>
      </c>
      <c r="H46" s="9" t="s">
        <v>182</v>
      </c>
      <c r="I46" s="9" t="s">
        <v>108</v>
      </c>
      <c r="J46" s="9" t="s">
        <v>173</v>
      </c>
      <c r="K46" s="9">
        <v>1</v>
      </c>
      <c r="L46" s="9"/>
      <c r="M46" s="9"/>
      <c r="N46" s="9"/>
    </row>
    <row r="47" spans="1:14" ht="40.5">
      <c r="A47" s="9" t="str">
        <f t="shared" si="5"/>
        <v>0x102C</v>
      </c>
      <c r="B47" s="9"/>
      <c r="C47" s="9" t="str">
        <f t="shared" si="6"/>
        <v>0x102C</v>
      </c>
      <c r="D47" s="9"/>
      <c r="E47" s="9">
        <f t="shared" si="9"/>
        <v>4140</v>
      </c>
      <c r="F47" s="9"/>
      <c r="G47" s="9">
        <f t="shared" si="10"/>
        <v>4140</v>
      </c>
      <c r="H47" s="9" t="s">
        <v>183</v>
      </c>
      <c r="I47" s="9" t="s">
        <v>108</v>
      </c>
      <c r="J47" s="9" t="s">
        <v>109</v>
      </c>
      <c r="K47" s="9">
        <v>1</v>
      </c>
      <c r="L47" s="10" t="s">
        <v>163</v>
      </c>
      <c r="M47" s="9">
        <v>0</v>
      </c>
      <c r="N47" s="9"/>
    </row>
    <row r="48" spans="1:14" ht="40.5">
      <c r="A48" s="9" t="str">
        <f t="shared" si="5"/>
        <v>0x102D</v>
      </c>
      <c r="B48" s="9"/>
      <c r="C48" s="9" t="str">
        <f t="shared" si="6"/>
        <v>0x102D</v>
      </c>
      <c r="D48" s="9"/>
      <c r="E48" s="9">
        <f t="shared" si="9"/>
        <v>4141</v>
      </c>
      <c r="F48" s="9"/>
      <c r="G48" s="9">
        <f t="shared" si="10"/>
        <v>4141</v>
      </c>
      <c r="H48" s="9" t="s">
        <v>184</v>
      </c>
      <c r="I48" s="9" t="s">
        <v>108</v>
      </c>
      <c r="J48" s="9" t="s">
        <v>109</v>
      </c>
      <c r="K48" s="9">
        <v>1</v>
      </c>
      <c r="L48" s="10" t="s">
        <v>185</v>
      </c>
      <c r="M48" s="9">
        <v>0</v>
      </c>
      <c r="N48" s="9"/>
    </row>
    <row r="49" spans="1:15" ht="21">
      <c r="A49" s="9" t="str">
        <f t="shared" ref="A49:A55" si="11">"0x"&amp;DEC2HEX(E49,4)</f>
        <v>0x102E</v>
      </c>
      <c r="B49" s="9"/>
      <c r="C49" s="9" t="str">
        <f t="shared" ref="C49:C52" si="12">"0x"&amp;DEC2HEX(G49,4)</f>
        <v>0x102E</v>
      </c>
      <c r="D49" s="9"/>
      <c r="E49" s="9">
        <f t="shared" ref="E49:E52" si="13">G48+1</f>
        <v>4142</v>
      </c>
      <c r="F49" s="9"/>
      <c r="G49" s="9">
        <f t="shared" ref="G49:G52" si="14">E49+K49-1</f>
        <v>4142</v>
      </c>
      <c r="H49" s="9" t="s">
        <v>186</v>
      </c>
      <c r="I49" s="9" t="s">
        <v>108</v>
      </c>
      <c r="J49" s="9" t="s">
        <v>109</v>
      </c>
      <c r="K49" s="9">
        <v>1</v>
      </c>
      <c r="L49" s="10" t="s">
        <v>187</v>
      </c>
      <c r="M49" s="9">
        <v>0</v>
      </c>
      <c r="N49" s="9"/>
    </row>
    <row r="50" spans="1:15" ht="21">
      <c r="A50" s="9" t="str">
        <f t="shared" si="11"/>
        <v>0x102F</v>
      </c>
      <c r="B50" s="9"/>
      <c r="C50" s="9" t="str">
        <f t="shared" si="12"/>
        <v>0x102F</v>
      </c>
      <c r="D50" s="9"/>
      <c r="E50" s="9">
        <f t="shared" si="13"/>
        <v>4143</v>
      </c>
      <c r="F50" s="9"/>
      <c r="G50" s="9">
        <f t="shared" si="14"/>
        <v>4143</v>
      </c>
      <c r="H50" s="9" t="s">
        <v>188</v>
      </c>
      <c r="I50" s="9" t="s">
        <v>108</v>
      </c>
      <c r="J50" s="9" t="s">
        <v>109</v>
      </c>
      <c r="K50" s="9">
        <v>1</v>
      </c>
      <c r="L50" s="10" t="s">
        <v>187</v>
      </c>
      <c r="M50" s="9">
        <v>0</v>
      </c>
      <c r="N50" s="9"/>
    </row>
    <row r="51" spans="1:15" ht="21">
      <c r="A51" s="9" t="str">
        <f t="shared" si="11"/>
        <v>0x1030</v>
      </c>
      <c r="B51" s="9"/>
      <c r="C51" s="9" t="str">
        <f t="shared" si="12"/>
        <v>0x1030</v>
      </c>
      <c r="D51" s="9"/>
      <c r="E51" s="9">
        <f t="shared" si="13"/>
        <v>4144</v>
      </c>
      <c r="F51" s="9"/>
      <c r="G51" s="9">
        <f t="shared" si="14"/>
        <v>4144</v>
      </c>
      <c r="H51" s="9" t="s">
        <v>189</v>
      </c>
      <c r="I51" s="9" t="s">
        <v>108</v>
      </c>
      <c r="J51" s="9" t="s">
        <v>109</v>
      </c>
      <c r="K51" s="9">
        <v>1</v>
      </c>
      <c r="L51" s="10" t="s">
        <v>187</v>
      </c>
      <c r="M51" s="9">
        <v>0</v>
      </c>
      <c r="N51" s="9"/>
    </row>
    <row r="52" spans="1:15" ht="21">
      <c r="A52" s="9" t="str">
        <f t="shared" si="11"/>
        <v>0x1031</v>
      </c>
      <c r="B52" s="9"/>
      <c r="C52" s="9" t="str">
        <f t="shared" si="12"/>
        <v>0x1031</v>
      </c>
      <c r="D52" s="9"/>
      <c r="E52" s="9">
        <f t="shared" si="13"/>
        <v>4145</v>
      </c>
      <c r="F52" s="9"/>
      <c r="G52" s="9">
        <f t="shared" si="14"/>
        <v>4145</v>
      </c>
      <c r="H52" s="9" t="s">
        <v>190</v>
      </c>
      <c r="I52" s="9" t="s">
        <v>108</v>
      </c>
      <c r="J52" s="9" t="s">
        <v>109</v>
      </c>
      <c r="K52" s="9">
        <v>1</v>
      </c>
      <c r="L52" s="10" t="s">
        <v>187</v>
      </c>
      <c r="M52" s="9">
        <v>0</v>
      </c>
      <c r="N52" s="9"/>
    </row>
    <row r="53" spans="1:15" ht="99" customHeight="1">
      <c r="A53" s="63" t="str">
        <f t="shared" ref="A53" si="15">"0x"&amp;DEC2HEX(E53,4)</f>
        <v>0x1032</v>
      </c>
      <c r="B53" s="63"/>
      <c r="C53" s="63" t="str">
        <f t="shared" ref="C53" si="16">"0x"&amp;DEC2HEX(G53,4)</f>
        <v>0x1033</v>
      </c>
      <c r="D53" s="63"/>
      <c r="E53" s="63">
        <f t="shared" ref="E53" si="17">G52+1</f>
        <v>4146</v>
      </c>
      <c r="F53" s="63"/>
      <c r="G53" s="63">
        <f>E53+K53-1</f>
        <v>4147</v>
      </c>
      <c r="H53" s="63" t="s">
        <v>191</v>
      </c>
      <c r="I53" s="63" t="s">
        <v>108</v>
      </c>
      <c r="J53" s="63" t="s">
        <v>109</v>
      </c>
      <c r="K53" s="63">
        <v>2</v>
      </c>
      <c r="L53" s="64" t="s">
        <v>192</v>
      </c>
      <c r="M53" s="10" t="s">
        <v>193</v>
      </c>
      <c r="N53" s="9"/>
      <c r="O53" s="9" t="s">
        <v>194</v>
      </c>
    </row>
    <row r="54" spans="1:15" ht="60.75">
      <c r="A54" s="63" t="str">
        <f t="shared" ref="A54" si="18">"0x"&amp;DEC2HEX(E54,4)</f>
        <v>0x1034</v>
      </c>
      <c r="B54" s="63"/>
      <c r="C54" s="63" t="str">
        <f t="shared" ref="C54" si="19">"0x"&amp;DEC2HEX(G54,4)</f>
        <v>0x1034</v>
      </c>
      <c r="D54" s="63"/>
      <c r="E54" s="63">
        <f t="shared" ref="E54" si="20">G53+1</f>
        <v>4148</v>
      </c>
      <c r="F54" s="63"/>
      <c r="G54" s="63">
        <f t="shared" ref="G54" si="21">E54+K54-1</f>
        <v>4148</v>
      </c>
      <c r="H54" s="63" t="s">
        <v>195</v>
      </c>
      <c r="I54" s="63" t="s">
        <v>108</v>
      </c>
      <c r="J54" s="63" t="s">
        <v>109</v>
      </c>
      <c r="K54" s="63">
        <v>1</v>
      </c>
      <c r="L54" s="64" t="s">
        <v>196</v>
      </c>
      <c r="M54" s="9"/>
      <c r="N54" s="9"/>
    </row>
    <row r="55" spans="1:1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5">
      <c r="A56" s="1"/>
      <c r="K56" s="2"/>
    </row>
    <row r="57" spans="1:15" s="18" customFormat="1">
      <c r="A57" s="39" t="s">
        <v>197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</row>
    <row r="58" spans="1:15">
      <c r="A58" s="9" t="str">
        <f t="shared" ref="A58:A64" si="22">"0x"&amp;DEC2HEX(E58,4)</f>
        <v>0x103F</v>
      </c>
      <c r="B58" s="9"/>
      <c r="C58" s="9" t="str">
        <f t="shared" ref="C58:C64" si="23">"0x"&amp;DEC2HEX(G58,4)</f>
        <v>0x103F</v>
      </c>
      <c r="D58" s="9"/>
      <c r="E58" s="9">
        <v>4159</v>
      </c>
      <c r="F58" s="9"/>
      <c r="G58" s="9">
        <f t="shared" ref="G58:G59" si="24">E58+K58-1</f>
        <v>4159</v>
      </c>
      <c r="H58" s="9" t="s">
        <v>198</v>
      </c>
      <c r="I58" s="9" t="s">
        <v>108</v>
      </c>
      <c r="J58" s="9" t="s">
        <v>109</v>
      </c>
      <c r="K58" s="9">
        <v>1</v>
      </c>
      <c r="L58" s="9" t="s">
        <v>199</v>
      </c>
      <c r="M58" s="9">
        <v>0</v>
      </c>
      <c r="N58" s="9"/>
    </row>
    <row r="59" spans="1:15">
      <c r="A59" s="9" t="str">
        <f t="shared" si="22"/>
        <v>0x1040</v>
      </c>
      <c r="B59" s="9"/>
      <c r="C59" s="9" t="str">
        <f t="shared" si="23"/>
        <v>0x1040</v>
      </c>
      <c r="D59" s="9"/>
      <c r="E59" s="9">
        <f t="shared" ref="E59" si="25">G58+1</f>
        <v>4160</v>
      </c>
      <c r="F59" s="9"/>
      <c r="G59" s="9">
        <f t="shared" si="24"/>
        <v>4160</v>
      </c>
      <c r="H59" s="9" t="s">
        <v>200</v>
      </c>
      <c r="I59" s="9" t="s">
        <v>108</v>
      </c>
      <c r="J59" s="9" t="s">
        <v>109</v>
      </c>
      <c r="K59" s="9">
        <v>1</v>
      </c>
      <c r="L59" s="9" t="s">
        <v>201</v>
      </c>
      <c r="M59" s="9">
        <v>2000</v>
      </c>
      <c r="N59" s="9"/>
    </row>
    <row r="60" spans="1:15">
      <c r="A60" s="9" t="str">
        <f t="shared" si="22"/>
        <v>0x1041</v>
      </c>
      <c r="B60" s="9"/>
      <c r="C60" s="9" t="str">
        <f t="shared" si="23"/>
        <v>0x1041</v>
      </c>
      <c r="D60" s="9"/>
      <c r="E60" s="9">
        <f t="shared" ref="E60:E64" si="26">G59+1</f>
        <v>4161</v>
      </c>
      <c r="F60" s="9"/>
      <c r="G60" s="9">
        <f t="shared" ref="G60:G64" si="27">E60+K60-1</f>
        <v>4161</v>
      </c>
      <c r="H60" s="9" t="s">
        <v>202</v>
      </c>
      <c r="I60" s="9" t="s">
        <v>108</v>
      </c>
      <c r="J60" s="9" t="s">
        <v>109</v>
      </c>
      <c r="K60" s="9">
        <v>1</v>
      </c>
      <c r="L60" s="9" t="s">
        <v>203</v>
      </c>
      <c r="M60" s="9">
        <v>1</v>
      </c>
      <c r="N60" s="9"/>
    </row>
    <row r="61" spans="1:15">
      <c r="A61" s="9" t="str">
        <f t="shared" si="22"/>
        <v>0x1042</v>
      </c>
      <c r="B61" s="9"/>
      <c r="C61" s="9" t="str">
        <f t="shared" si="23"/>
        <v>0x1042</v>
      </c>
      <c r="D61" s="9"/>
      <c r="E61" s="9">
        <f t="shared" si="26"/>
        <v>4162</v>
      </c>
      <c r="F61" s="9"/>
      <c r="G61" s="9">
        <f t="shared" si="27"/>
        <v>4162</v>
      </c>
      <c r="H61" s="9" t="s">
        <v>204</v>
      </c>
      <c r="I61" s="9" t="s">
        <v>108</v>
      </c>
      <c r="J61" s="9" t="s">
        <v>109</v>
      </c>
      <c r="K61" s="9">
        <v>1</v>
      </c>
      <c r="L61" s="9" t="s">
        <v>205</v>
      </c>
      <c r="M61" s="9">
        <v>1</v>
      </c>
      <c r="N61" s="9"/>
    </row>
    <row r="62" spans="1:15">
      <c r="A62" s="9" t="str">
        <f t="shared" si="22"/>
        <v>0x1043</v>
      </c>
      <c r="B62" s="9"/>
      <c r="C62" s="9" t="str">
        <f t="shared" si="23"/>
        <v>0x1043</v>
      </c>
      <c r="D62" s="9"/>
      <c r="E62" s="9">
        <f t="shared" si="26"/>
        <v>4163</v>
      </c>
      <c r="F62" s="9"/>
      <c r="G62" s="9">
        <f t="shared" si="27"/>
        <v>4163</v>
      </c>
      <c r="H62" s="9" t="s">
        <v>206</v>
      </c>
      <c r="I62" s="9" t="s">
        <v>108</v>
      </c>
      <c r="J62" s="9" t="s">
        <v>109</v>
      </c>
      <c r="K62" s="9">
        <v>1</v>
      </c>
      <c r="L62" s="9" t="s">
        <v>207</v>
      </c>
      <c r="M62" s="9">
        <v>0</v>
      </c>
      <c r="N62" s="9"/>
    </row>
    <row r="63" spans="1:15">
      <c r="A63" s="9" t="str">
        <f t="shared" si="22"/>
        <v>0x1044</v>
      </c>
      <c r="B63" s="9"/>
      <c r="C63" s="9" t="str">
        <f t="shared" si="23"/>
        <v>0x1044</v>
      </c>
      <c r="D63" s="9"/>
      <c r="E63" s="9">
        <f t="shared" si="26"/>
        <v>4164</v>
      </c>
      <c r="F63" s="9"/>
      <c r="G63" s="9">
        <f t="shared" si="27"/>
        <v>4164</v>
      </c>
      <c r="H63" s="9" t="s">
        <v>208</v>
      </c>
      <c r="I63" s="9" t="s">
        <v>108</v>
      </c>
      <c r="J63" s="9" t="s">
        <v>109</v>
      </c>
      <c r="K63" s="9">
        <v>1</v>
      </c>
      <c r="L63" s="9" t="s">
        <v>209</v>
      </c>
      <c r="M63" s="9">
        <v>0</v>
      </c>
      <c r="N63" s="9"/>
    </row>
    <row r="64" spans="1:15">
      <c r="A64" s="9" t="str">
        <f t="shared" si="22"/>
        <v>0x1045</v>
      </c>
      <c r="B64" s="9"/>
      <c r="C64" s="9" t="str">
        <f t="shared" si="23"/>
        <v>0x1045</v>
      </c>
      <c r="D64" s="9"/>
      <c r="E64" s="9">
        <f t="shared" si="26"/>
        <v>4165</v>
      </c>
      <c r="F64" s="9"/>
      <c r="G64" s="9">
        <f t="shared" si="27"/>
        <v>4165</v>
      </c>
      <c r="H64" s="9" t="s">
        <v>210</v>
      </c>
      <c r="I64" s="9" t="s">
        <v>108</v>
      </c>
      <c r="J64" s="9" t="s">
        <v>109</v>
      </c>
      <c r="K64" s="9">
        <v>1</v>
      </c>
      <c r="L64" s="9" t="s">
        <v>209</v>
      </c>
      <c r="M64" s="9">
        <v>0</v>
      </c>
      <c r="N64" s="9"/>
    </row>
    <row r="68" spans="1:15">
      <c r="A68" s="41" t="s">
        <v>211</v>
      </c>
      <c r="K68" s="2"/>
    </row>
    <row r="69" spans="1:15">
      <c r="A69" s="1" t="str">
        <f>"0x"&amp;DEC2HEX(E69,4)</f>
        <v>0x6B00</v>
      </c>
      <c r="C69" s="9" t="str">
        <f t="shared" ref="C69:C101" si="28">"0x"&amp;DEC2HEX(G69,4)</f>
        <v>0x6B00</v>
      </c>
      <c r="E69" s="2">
        <v>27392</v>
      </c>
      <c r="G69" s="9">
        <f t="shared" ref="G69:G101" si="29">E69+K69-1</f>
        <v>27392</v>
      </c>
      <c r="H69" s="2" t="s">
        <v>212</v>
      </c>
      <c r="I69" s="2" t="s">
        <v>213</v>
      </c>
      <c r="J69" s="2" t="s">
        <v>214</v>
      </c>
      <c r="K69" s="2">
        <v>1</v>
      </c>
      <c r="N69" s="1">
        <v>80</v>
      </c>
    </row>
    <row r="70" spans="1:15">
      <c r="A70" s="1" t="str">
        <f t="shared" ref="A70:A101" si="30">"0x"&amp;DEC2HEX(E70,4)</f>
        <v>0x6B01</v>
      </c>
      <c r="C70" s="9" t="str">
        <f t="shared" si="28"/>
        <v>0x6B01</v>
      </c>
      <c r="E70" s="2">
        <f>E69+K69</f>
        <v>27393</v>
      </c>
      <c r="G70" s="9">
        <f t="shared" si="29"/>
        <v>27393</v>
      </c>
      <c r="H70" s="2" t="s">
        <v>215</v>
      </c>
      <c r="I70" s="2" t="s">
        <v>213</v>
      </c>
      <c r="J70" s="2" t="s">
        <v>113</v>
      </c>
      <c r="K70" s="2">
        <v>1</v>
      </c>
      <c r="N70" s="1" t="s">
        <v>51</v>
      </c>
      <c r="O70" s="2" t="s">
        <v>216</v>
      </c>
    </row>
    <row r="71" spans="1:15">
      <c r="A71" s="1" t="str">
        <f t="shared" si="30"/>
        <v>0x6B02</v>
      </c>
      <c r="C71" s="9" t="str">
        <f t="shared" si="28"/>
        <v>0x6B02</v>
      </c>
      <c r="E71" s="2">
        <f t="shared" ref="E71:E101" si="31">E70+K70</f>
        <v>27394</v>
      </c>
      <c r="G71" s="9">
        <f t="shared" si="29"/>
        <v>27394</v>
      </c>
      <c r="H71" s="2" t="s">
        <v>217</v>
      </c>
      <c r="I71" s="2" t="s">
        <v>213</v>
      </c>
      <c r="J71" s="2" t="s">
        <v>113</v>
      </c>
      <c r="K71" s="2">
        <v>1</v>
      </c>
      <c r="N71" s="1" t="s">
        <v>218</v>
      </c>
      <c r="O71" s="2" t="s">
        <v>219</v>
      </c>
    </row>
    <row r="72" spans="1:15">
      <c r="A72" s="1" t="str">
        <f t="shared" si="30"/>
        <v>0x6B03</v>
      </c>
      <c r="C72" s="9" t="str">
        <f t="shared" si="28"/>
        <v>0x6B03</v>
      </c>
      <c r="E72" s="2">
        <f t="shared" si="31"/>
        <v>27395</v>
      </c>
      <c r="G72" s="9">
        <f t="shared" si="29"/>
        <v>27395</v>
      </c>
      <c r="H72" s="2" t="s">
        <v>220</v>
      </c>
      <c r="I72" s="2" t="s">
        <v>213</v>
      </c>
      <c r="J72" s="2" t="s">
        <v>113</v>
      </c>
      <c r="K72" s="2">
        <v>1</v>
      </c>
      <c r="N72" s="1" t="s">
        <v>221</v>
      </c>
      <c r="O72" s="2" t="s">
        <v>222</v>
      </c>
    </row>
    <row r="73" spans="1:15">
      <c r="A73" s="1" t="str">
        <f t="shared" si="30"/>
        <v>0x6B04</v>
      </c>
      <c r="C73" s="9" t="str">
        <f t="shared" si="28"/>
        <v>0x6B04</v>
      </c>
      <c r="E73" s="2">
        <f t="shared" si="31"/>
        <v>27396</v>
      </c>
      <c r="G73" s="9">
        <f t="shared" si="29"/>
        <v>27396</v>
      </c>
      <c r="H73" s="2" t="s">
        <v>223</v>
      </c>
      <c r="I73" s="2" t="s">
        <v>213</v>
      </c>
      <c r="J73" s="2" t="s">
        <v>113</v>
      </c>
      <c r="K73" s="2">
        <v>1</v>
      </c>
      <c r="N73" s="1" t="s">
        <v>224</v>
      </c>
      <c r="O73" s="2" t="s">
        <v>225</v>
      </c>
    </row>
    <row r="74" spans="1:15">
      <c r="A74" s="1" t="str">
        <f t="shared" si="30"/>
        <v>0x6B05</v>
      </c>
      <c r="C74" s="9" t="str">
        <f t="shared" si="28"/>
        <v>0x6B05</v>
      </c>
      <c r="E74" s="2">
        <f t="shared" si="31"/>
        <v>27397</v>
      </c>
      <c r="G74" s="9">
        <f t="shared" si="29"/>
        <v>27397</v>
      </c>
      <c r="H74" s="2" t="s">
        <v>226</v>
      </c>
      <c r="I74" s="2" t="s">
        <v>213</v>
      </c>
      <c r="J74" s="2" t="s">
        <v>113</v>
      </c>
      <c r="K74" s="2">
        <v>1</v>
      </c>
      <c r="N74" s="1" t="s">
        <v>227</v>
      </c>
      <c r="O74" s="2" t="s">
        <v>228</v>
      </c>
    </row>
    <row r="75" spans="1:15">
      <c r="A75" s="1" t="str">
        <f t="shared" si="30"/>
        <v>0x6B06</v>
      </c>
      <c r="C75" s="9" t="str">
        <f t="shared" si="28"/>
        <v>0x6B06</v>
      </c>
      <c r="E75" s="2">
        <f t="shared" si="31"/>
        <v>27398</v>
      </c>
      <c r="G75" s="9">
        <f t="shared" si="29"/>
        <v>27398</v>
      </c>
      <c r="H75" s="2" t="s">
        <v>229</v>
      </c>
      <c r="I75" s="2" t="s">
        <v>213</v>
      </c>
      <c r="J75" s="2" t="s">
        <v>113</v>
      </c>
      <c r="K75" s="2">
        <v>1</v>
      </c>
      <c r="N75" s="1" t="s">
        <v>230</v>
      </c>
      <c r="O75" s="2" t="s">
        <v>231</v>
      </c>
    </row>
    <row r="76" spans="1:15">
      <c r="A76" s="1" t="str">
        <f t="shared" si="30"/>
        <v>0x6B07</v>
      </c>
      <c r="C76" s="9" t="str">
        <f t="shared" si="28"/>
        <v>0x6B07</v>
      </c>
      <c r="E76" s="2">
        <f t="shared" si="31"/>
        <v>27399</v>
      </c>
      <c r="G76" s="9">
        <f t="shared" si="29"/>
        <v>27399</v>
      </c>
      <c r="H76" s="2" t="s">
        <v>232</v>
      </c>
      <c r="I76" s="2" t="s">
        <v>213</v>
      </c>
      <c r="J76" s="2" t="s">
        <v>113</v>
      </c>
      <c r="K76" s="2">
        <v>1</v>
      </c>
      <c r="N76" s="1" t="s">
        <v>233</v>
      </c>
      <c r="O76" s="2" t="s">
        <v>234</v>
      </c>
    </row>
    <row r="77" spans="1:15">
      <c r="A77" s="1" t="str">
        <f t="shared" si="30"/>
        <v>0x6B08</v>
      </c>
      <c r="C77" s="9" t="str">
        <f t="shared" si="28"/>
        <v>0x6B08</v>
      </c>
      <c r="E77" s="2">
        <f t="shared" si="31"/>
        <v>27400</v>
      </c>
      <c r="G77" s="9">
        <f t="shared" si="29"/>
        <v>27400</v>
      </c>
      <c r="H77" s="2" t="s">
        <v>235</v>
      </c>
      <c r="I77" s="2" t="s">
        <v>213</v>
      </c>
      <c r="J77" s="2" t="s">
        <v>113</v>
      </c>
      <c r="K77" s="2">
        <v>1</v>
      </c>
      <c r="N77" s="1" t="s">
        <v>236</v>
      </c>
      <c r="O77" s="2" t="s">
        <v>237</v>
      </c>
    </row>
    <row r="78" spans="1:15">
      <c r="A78" s="1" t="str">
        <f t="shared" si="30"/>
        <v>0x6B09</v>
      </c>
      <c r="C78" s="9" t="str">
        <f t="shared" si="28"/>
        <v>0x6B09</v>
      </c>
      <c r="E78" s="2">
        <f t="shared" si="31"/>
        <v>27401</v>
      </c>
      <c r="G78" s="9">
        <f t="shared" si="29"/>
        <v>27401</v>
      </c>
      <c r="H78" s="2" t="s">
        <v>238</v>
      </c>
      <c r="I78" s="2" t="s">
        <v>213</v>
      </c>
      <c r="J78" s="2" t="s">
        <v>113</v>
      </c>
      <c r="K78" s="2">
        <v>1</v>
      </c>
      <c r="N78" s="1" t="s">
        <v>239</v>
      </c>
      <c r="O78" s="2" t="s">
        <v>240</v>
      </c>
    </row>
    <row r="79" spans="1:15">
      <c r="A79" s="1" t="str">
        <f t="shared" si="30"/>
        <v>0x6B0A</v>
      </c>
      <c r="C79" s="9" t="str">
        <f t="shared" si="28"/>
        <v>0x6B0A</v>
      </c>
      <c r="E79" s="2">
        <f t="shared" si="31"/>
        <v>27402</v>
      </c>
      <c r="G79" s="9">
        <f t="shared" si="29"/>
        <v>27402</v>
      </c>
      <c r="H79" s="2" t="s">
        <v>241</v>
      </c>
      <c r="I79" s="2" t="s">
        <v>213</v>
      </c>
      <c r="J79" s="2" t="s">
        <v>113</v>
      </c>
      <c r="K79" s="2">
        <v>1</v>
      </c>
      <c r="N79" s="1" t="s">
        <v>242</v>
      </c>
      <c r="O79" s="2" t="s">
        <v>243</v>
      </c>
    </row>
    <row r="80" spans="1:15">
      <c r="A80" s="1" t="str">
        <f t="shared" si="30"/>
        <v>0x6B0B</v>
      </c>
      <c r="C80" s="9" t="str">
        <f t="shared" si="28"/>
        <v>0x6B0B</v>
      </c>
      <c r="E80" s="2">
        <f t="shared" si="31"/>
        <v>27403</v>
      </c>
      <c r="G80" s="9">
        <f t="shared" si="29"/>
        <v>27403</v>
      </c>
      <c r="H80" s="2" t="s">
        <v>244</v>
      </c>
      <c r="I80" s="2" t="s">
        <v>213</v>
      </c>
      <c r="J80" s="2" t="s">
        <v>113</v>
      </c>
      <c r="K80" s="2">
        <v>1</v>
      </c>
      <c r="N80" s="1" t="s">
        <v>245</v>
      </c>
      <c r="O80" s="2" t="s">
        <v>246</v>
      </c>
    </row>
    <row r="81" spans="1:15">
      <c r="A81" s="1" t="str">
        <f t="shared" si="30"/>
        <v>0x6B0C</v>
      </c>
      <c r="C81" s="9" t="str">
        <f t="shared" si="28"/>
        <v>0x6B0C</v>
      </c>
      <c r="E81" s="2">
        <f t="shared" si="31"/>
        <v>27404</v>
      </c>
      <c r="G81" s="9">
        <f t="shared" si="29"/>
        <v>27404</v>
      </c>
      <c r="H81" s="2" t="s">
        <v>247</v>
      </c>
      <c r="I81" s="2" t="s">
        <v>213</v>
      </c>
      <c r="J81" s="2" t="s">
        <v>113</v>
      </c>
      <c r="K81" s="2">
        <v>1</v>
      </c>
      <c r="N81" s="1" t="s">
        <v>248</v>
      </c>
      <c r="O81" s="2" t="s">
        <v>249</v>
      </c>
    </row>
    <row r="82" spans="1:15">
      <c r="A82" s="1" t="str">
        <f t="shared" si="30"/>
        <v>0x6B0D</v>
      </c>
      <c r="C82" s="9" t="str">
        <f t="shared" si="28"/>
        <v>0x6B0D</v>
      </c>
      <c r="E82" s="2">
        <f t="shared" si="31"/>
        <v>27405</v>
      </c>
      <c r="G82" s="9">
        <f t="shared" si="29"/>
        <v>27405</v>
      </c>
      <c r="H82" s="2" t="s">
        <v>250</v>
      </c>
      <c r="I82" s="2" t="s">
        <v>213</v>
      </c>
      <c r="J82" s="2" t="s">
        <v>113</v>
      </c>
      <c r="K82" s="2">
        <v>1</v>
      </c>
      <c r="N82" s="1" t="s">
        <v>251</v>
      </c>
      <c r="O82" s="2" t="s">
        <v>252</v>
      </c>
    </row>
    <row r="83" spans="1:15">
      <c r="A83" s="1" t="str">
        <f t="shared" si="30"/>
        <v>0x6B0E</v>
      </c>
      <c r="C83" s="9" t="str">
        <f t="shared" si="28"/>
        <v>0x6B0E</v>
      </c>
      <c r="E83" s="2">
        <f t="shared" si="31"/>
        <v>27406</v>
      </c>
      <c r="G83" s="9">
        <f t="shared" si="29"/>
        <v>27406</v>
      </c>
      <c r="H83" s="2" t="s">
        <v>253</v>
      </c>
      <c r="I83" s="2" t="s">
        <v>213</v>
      </c>
      <c r="J83" s="2" t="s">
        <v>113</v>
      </c>
      <c r="K83" s="2">
        <v>1</v>
      </c>
      <c r="N83" s="1" t="s">
        <v>254</v>
      </c>
      <c r="O83" s="2" t="s">
        <v>255</v>
      </c>
    </row>
    <row r="84" spans="1:15">
      <c r="A84" s="1" t="str">
        <f t="shared" si="30"/>
        <v>0x6B0F</v>
      </c>
      <c r="C84" s="9" t="str">
        <f t="shared" si="28"/>
        <v>0x6B0F</v>
      </c>
      <c r="E84" s="2">
        <f t="shared" si="31"/>
        <v>27407</v>
      </c>
      <c r="G84" s="9">
        <f t="shared" si="29"/>
        <v>27407</v>
      </c>
      <c r="H84" s="2" t="s">
        <v>256</v>
      </c>
      <c r="I84" s="2" t="s">
        <v>213</v>
      </c>
      <c r="J84" s="2" t="s">
        <v>113</v>
      </c>
      <c r="K84" s="2">
        <v>1</v>
      </c>
      <c r="N84" s="1" t="s">
        <v>257</v>
      </c>
      <c r="O84" s="2" t="s">
        <v>258</v>
      </c>
    </row>
    <row r="85" spans="1:15">
      <c r="A85" s="1" t="str">
        <f t="shared" si="30"/>
        <v>0x6B10</v>
      </c>
      <c r="C85" s="9" t="str">
        <f t="shared" si="28"/>
        <v>0x6B10</v>
      </c>
      <c r="E85" s="2">
        <f t="shared" si="31"/>
        <v>27408</v>
      </c>
      <c r="G85" s="9">
        <f t="shared" si="29"/>
        <v>27408</v>
      </c>
      <c r="H85" s="2" t="s">
        <v>259</v>
      </c>
      <c r="I85" s="2" t="s">
        <v>213</v>
      </c>
      <c r="J85" s="2" t="s">
        <v>113</v>
      </c>
      <c r="K85" s="2">
        <v>1</v>
      </c>
      <c r="N85" s="1" t="s">
        <v>52</v>
      </c>
      <c r="O85" s="2" t="s">
        <v>260</v>
      </c>
    </row>
    <row r="86" spans="1:15">
      <c r="A86" s="1" t="str">
        <f t="shared" si="30"/>
        <v>0x6B11</v>
      </c>
      <c r="C86" s="9" t="str">
        <f t="shared" si="28"/>
        <v>0x6B11</v>
      </c>
      <c r="E86" s="2">
        <f t="shared" si="31"/>
        <v>27409</v>
      </c>
      <c r="G86" s="9">
        <f t="shared" si="29"/>
        <v>27409</v>
      </c>
      <c r="H86" s="2" t="s">
        <v>261</v>
      </c>
      <c r="I86" s="2" t="s">
        <v>213</v>
      </c>
      <c r="J86" s="2" t="s">
        <v>113</v>
      </c>
      <c r="K86" s="2">
        <v>1</v>
      </c>
      <c r="N86" s="1" t="s">
        <v>54</v>
      </c>
      <c r="O86" s="2" t="s">
        <v>262</v>
      </c>
    </row>
    <row r="87" spans="1:15">
      <c r="A87" s="1" t="str">
        <f t="shared" si="30"/>
        <v>0x6B12</v>
      </c>
      <c r="C87" s="9" t="str">
        <f t="shared" si="28"/>
        <v>0x6B12</v>
      </c>
      <c r="E87" s="2">
        <f t="shared" si="31"/>
        <v>27410</v>
      </c>
      <c r="G87" s="9">
        <f t="shared" si="29"/>
        <v>27410</v>
      </c>
      <c r="H87" s="2" t="s">
        <v>263</v>
      </c>
      <c r="I87" s="2" t="s">
        <v>213</v>
      </c>
      <c r="J87" s="2" t="s">
        <v>113</v>
      </c>
      <c r="K87" s="2">
        <v>1</v>
      </c>
      <c r="N87" s="1" t="s">
        <v>264</v>
      </c>
    </row>
    <row r="88" spans="1:15">
      <c r="A88" s="1" t="str">
        <f t="shared" si="30"/>
        <v>0x6B13</v>
      </c>
      <c r="C88" s="9" t="str">
        <f t="shared" si="28"/>
        <v>0x6B13</v>
      </c>
      <c r="E88" s="2">
        <f t="shared" si="31"/>
        <v>27411</v>
      </c>
      <c r="G88" s="9">
        <f t="shared" si="29"/>
        <v>27411</v>
      </c>
      <c r="H88" s="2" t="s">
        <v>265</v>
      </c>
      <c r="I88" s="2" t="s">
        <v>213</v>
      </c>
      <c r="J88" s="2" t="s">
        <v>113</v>
      </c>
      <c r="K88" s="2">
        <v>1</v>
      </c>
      <c r="N88" s="1" t="s">
        <v>266</v>
      </c>
      <c r="O88" s="2" t="s">
        <v>267</v>
      </c>
    </row>
    <row r="89" spans="1:15">
      <c r="A89" s="1" t="str">
        <f t="shared" si="30"/>
        <v>0x6B14</v>
      </c>
      <c r="C89" s="9" t="str">
        <f t="shared" si="28"/>
        <v>0x6B14</v>
      </c>
      <c r="E89" s="2">
        <f t="shared" si="31"/>
        <v>27412</v>
      </c>
      <c r="G89" s="9">
        <f t="shared" si="29"/>
        <v>27412</v>
      </c>
      <c r="H89" s="2" t="s">
        <v>268</v>
      </c>
      <c r="I89" s="2" t="s">
        <v>213</v>
      </c>
      <c r="J89" s="2" t="s">
        <v>113</v>
      </c>
      <c r="K89" s="2">
        <v>1</v>
      </c>
      <c r="N89" s="1" t="s">
        <v>269</v>
      </c>
    </row>
    <row r="90" spans="1:15">
      <c r="A90" s="1" t="str">
        <f t="shared" si="30"/>
        <v>0x6B15</v>
      </c>
      <c r="C90" s="9" t="str">
        <f t="shared" si="28"/>
        <v>0x6B15</v>
      </c>
      <c r="E90" s="2">
        <f t="shared" si="31"/>
        <v>27413</v>
      </c>
      <c r="G90" s="9">
        <f t="shared" si="29"/>
        <v>27413</v>
      </c>
      <c r="H90" s="2" t="s">
        <v>270</v>
      </c>
      <c r="I90" s="2" t="s">
        <v>213</v>
      </c>
      <c r="J90" s="2" t="s">
        <v>113</v>
      </c>
      <c r="K90" s="2">
        <v>1</v>
      </c>
      <c r="N90" s="1" t="s">
        <v>271</v>
      </c>
      <c r="O90" s="2" t="s">
        <v>272</v>
      </c>
    </row>
    <row r="91" spans="1:15">
      <c r="A91" s="1" t="str">
        <f t="shared" si="30"/>
        <v>0x6B16</v>
      </c>
      <c r="C91" s="9" t="str">
        <f t="shared" si="28"/>
        <v>0x6B16</v>
      </c>
      <c r="E91" s="2">
        <f t="shared" si="31"/>
        <v>27414</v>
      </c>
      <c r="G91" s="9">
        <f t="shared" si="29"/>
        <v>27414</v>
      </c>
      <c r="H91" s="2" t="s">
        <v>273</v>
      </c>
      <c r="I91" s="2" t="s">
        <v>213</v>
      </c>
      <c r="J91" s="2" t="s">
        <v>113</v>
      </c>
      <c r="K91" s="2">
        <v>1</v>
      </c>
      <c r="N91" s="1" t="s">
        <v>274</v>
      </c>
    </row>
    <row r="92" spans="1:15">
      <c r="A92" s="1" t="str">
        <f t="shared" si="30"/>
        <v>0x6B17</v>
      </c>
      <c r="C92" s="9" t="str">
        <f t="shared" si="28"/>
        <v>0x6B17</v>
      </c>
      <c r="E92" s="2">
        <f t="shared" si="31"/>
        <v>27415</v>
      </c>
      <c r="G92" s="9">
        <f t="shared" si="29"/>
        <v>27415</v>
      </c>
      <c r="H92" s="2" t="s">
        <v>275</v>
      </c>
      <c r="I92" s="2" t="s">
        <v>213</v>
      </c>
      <c r="J92" s="2" t="s">
        <v>113</v>
      </c>
      <c r="K92" s="2">
        <v>1</v>
      </c>
      <c r="N92" s="1" t="s">
        <v>276</v>
      </c>
      <c r="O92" s="2" t="s">
        <v>277</v>
      </c>
    </row>
    <row r="93" spans="1:15">
      <c r="A93" s="1" t="str">
        <f t="shared" si="30"/>
        <v>0x6B18</v>
      </c>
      <c r="C93" s="9" t="str">
        <f t="shared" si="28"/>
        <v>0x6B18</v>
      </c>
      <c r="E93" s="2">
        <f t="shared" si="31"/>
        <v>27416</v>
      </c>
      <c r="G93" s="9">
        <f t="shared" si="29"/>
        <v>27416</v>
      </c>
      <c r="H93" s="2" t="s">
        <v>278</v>
      </c>
      <c r="I93" s="2" t="s">
        <v>213</v>
      </c>
      <c r="J93" s="2" t="s">
        <v>113</v>
      </c>
      <c r="K93" s="2">
        <v>1</v>
      </c>
      <c r="N93" s="1" t="s">
        <v>279</v>
      </c>
    </row>
    <row r="94" spans="1:15">
      <c r="A94" s="1" t="str">
        <f t="shared" si="30"/>
        <v>0x6B19</v>
      </c>
      <c r="C94" s="9" t="str">
        <f t="shared" si="28"/>
        <v>0x6B19</v>
      </c>
      <c r="E94" s="2">
        <f t="shared" si="31"/>
        <v>27417</v>
      </c>
      <c r="G94" s="9">
        <f t="shared" si="29"/>
        <v>27417</v>
      </c>
      <c r="H94" s="2" t="s">
        <v>280</v>
      </c>
      <c r="I94" s="2" t="s">
        <v>213</v>
      </c>
      <c r="J94" s="2" t="s">
        <v>113</v>
      </c>
      <c r="K94" s="2">
        <v>1</v>
      </c>
      <c r="N94" s="1" t="s">
        <v>281</v>
      </c>
      <c r="O94" s="2" t="s">
        <v>282</v>
      </c>
    </row>
    <row r="95" spans="1:15">
      <c r="A95" s="1" t="str">
        <f t="shared" si="30"/>
        <v>0x6B1A</v>
      </c>
      <c r="C95" s="9" t="str">
        <f t="shared" si="28"/>
        <v>0x6B1A</v>
      </c>
      <c r="E95" s="2">
        <f t="shared" si="31"/>
        <v>27418</v>
      </c>
      <c r="G95" s="9">
        <f t="shared" si="29"/>
        <v>27418</v>
      </c>
      <c r="H95" s="2" t="s">
        <v>283</v>
      </c>
      <c r="I95" s="2" t="s">
        <v>213</v>
      </c>
      <c r="J95" s="2" t="s">
        <v>113</v>
      </c>
      <c r="K95" s="2">
        <v>1</v>
      </c>
      <c r="N95" s="1" t="s">
        <v>284</v>
      </c>
    </row>
    <row r="96" spans="1:15">
      <c r="A96" s="1" t="str">
        <f t="shared" si="30"/>
        <v>0x6B1B</v>
      </c>
      <c r="C96" s="9" t="str">
        <f t="shared" si="28"/>
        <v>0x6B1B</v>
      </c>
      <c r="E96" s="2">
        <f t="shared" si="31"/>
        <v>27419</v>
      </c>
      <c r="G96" s="9">
        <f t="shared" si="29"/>
        <v>27419</v>
      </c>
      <c r="H96" s="2" t="s">
        <v>285</v>
      </c>
      <c r="I96" s="2" t="s">
        <v>213</v>
      </c>
      <c r="J96" s="2" t="s">
        <v>113</v>
      </c>
      <c r="K96" s="2">
        <v>1</v>
      </c>
      <c r="N96" s="1" t="s">
        <v>286</v>
      </c>
      <c r="O96" s="2" t="s">
        <v>287</v>
      </c>
    </row>
    <row r="97" spans="1:15">
      <c r="A97" s="1" t="str">
        <f t="shared" si="30"/>
        <v>0x6B1C</v>
      </c>
      <c r="C97" s="9" t="str">
        <f t="shared" si="28"/>
        <v>0x6B1C</v>
      </c>
      <c r="E97" s="2">
        <f t="shared" si="31"/>
        <v>27420</v>
      </c>
      <c r="G97" s="9">
        <f t="shared" si="29"/>
        <v>27420</v>
      </c>
      <c r="H97" s="2" t="s">
        <v>288</v>
      </c>
      <c r="I97" s="2" t="s">
        <v>213</v>
      </c>
      <c r="J97" s="2" t="s">
        <v>113</v>
      </c>
      <c r="K97" s="2">
        <v>1</v>
      </c>
      <c r="N97" s="1" t="s">
        <v>289</v>
      </c>
    </row>
    <row r="98" spans="1:15">
      <c r="A98" s="1" t="str">
        <f t="shared" si="30"/>
        <v>0x6B1D</v>
      </c>
      <c r="C98" s="9" t="str">
        <f t="shared" si="28"/>
        <v>0x6B1D</v>
      </c>
      <c r="E98" s="2">
        <f t="shared" si="31"/>
        <v>27421</v>
      </c>
      <c r="G98" s="9">
        <f t="shared" si="29"/>
        <v>27421</v>
      </c>
      <c r="H98" s="2" t="s">
        <v>290</v>
      </c>
      <c r="I98" s="2" t="s">
        <v>213</v>
      </c>
      <c r="J98" s="2" t="s">
        <v>113</v>
      </c>
      <c r="K98" s="2">
        <v>1</v>
      </c>
      <c r="N98" s="1" t="s">
        <v>291</v>
      </c>
      <c r="O98" s="2" t="s">
        <v>292</v>
      </c>
    </row>
    <row r="99" spans="1:15">
      <c r="A99" s="1" t="str">
        <f t="shared" si="30"/>
        <v>0x6B1E</v>
      </c>
      <c r="C99" s="9" t="str">
        <f t="shared" si="28"/>
        <v>0x6B1E</v>
      </c>
      <c r="E99" s="2">
        <f t="shared" si="31"/>
        <v>27422</v>
      </c>
      <c r="G99" s="9">
        <f t="shared" si="29"/>
        <v>27422</v>
      </c>
      <c r="H99" s="2" t="s">
        <v>293</v>
      </c>
      <c r="I99" s="2" t="s">
        <v>213</v>
      </c>
      <c r="J99" s="2" t="s">
        <v>113</v>
      </c>
      <c r="K99" s="2">
        <v>1</v>
      </c>
      <c r="N99" s="1" t="s">
        <v>294</v>
      </c>
    </row>
    <row r="100" spans="1:15">
      <c r="A100" s="1" t="str">
        <f t="shared" si="30"/>
        <v>0x6B1F</v>
      </c>
      <c r="C100" s="9" t="str">
        <f t="shared" si="28"/>
        <v>0x6B1F</v>
      </c>
      <c r="E100" s="2">
        <f t="shared" si="31"/>
        <v>27423</v>
      </c>
      <c r="G100" s="9">
        <f t="shared" si="29"/>
        <v>27423</v>
      </c>
      <c r="H100" s="2" t="s">
        <v>295</v>
      </c>
      <c r="I100" s="2" t="s">
        <v>213</v>
      </c>
      <c r="J100" s="2" t="s">
        <v>113</v>
      </c>
      <c r="K100" s="2">
        <v>1</v>
      </c>
      <c r="N100" s="1" t="s">
        <v>296</v>
      </c>
      <c r="O100" s="2" t="s">
        <v>297</v>
      </c>
    </row>
    <row r="101" spans="1:15">
      <c r="A101" s="1" t="str">
        <f t="shared" si="30"/>
        <v>0x6B20</v>
      </c>
      <c r="C101" s="9" t="str">
        <f t="shared" si="28"/>
        <v>0x6B20</v>
      </c>
      <c r="E101" s="2">
        <f t="shared" si="31"/>
        <v>27424</v>
      </c>
      <c r="G101" s="9">
        <f t="shared" si="29"/>
        <v>27424</v>
      </c>
      <c r="H101" s="2" t="s">
        <v>298</v>
      </c>
      <c r="I101" s="2" t="s">
        <v>213</v>
      </c>
      <c r="J101" s="2" t="s">
        <v>113</v>
      </c>
      <c r="K101" s="2">
        <v>1</v>
      </c>
      <c r="N101" s="1" t="s">
        <v>299</v>
      </c>
    </row>
    <row r="102" spans="1:15">
      <c r="A102" s="1" t="str">
        <f t="shared" ref="A102:A109" si="32">"0x"&amp;DEC2HEX(E102,4)</f>
        <v>0x6B21</v>
      </c>
      <c r="C102" s="9" t="str">
        <f t="shared" ref="C102:C109" si="33">"0x"&amp;DEC2HEX(G102,4)</f>
        <v>0x6B21</v>
      </c>
      <c r="E102" s="2">
        <f t="shared" ref="E102:E109" si="34">E101+K101</f>
        <v>27425</v>
      </c>
      <c r="G102" s="9">
        <f t="shared" ref="G102:G109" si="35">E102+K102-1</f>
        <v>27425</v>
      </c>
      <c r="H102" s="2" t="s">
        <v>300</v>
      </c>
      <c r="I102" s="2" t="s">
        <v>213</v>
      </c>
      <c r="J102" s="2" t="s">
        <v>113</v>
      </c>
      <c r="K102" s="2">
        <v>1</v>
      </c>
      <c r="N102" s="1" t="s">
        <v>301</v>
      </c>
      <c r="O102" s="2" t="s">
        <v>302</v>
      </c>
    </row>
    <row r="103" spans="1:15">
      <c r="A103" s="1" t="str">
        <f t="shared" si="32"/>
        <v>0x6B22</v>
      </c>
      <c r="C103" s="9" t="str">
        <f t="shared" si="33"/>
        <v>0x6B22</v>
      </c>
      <c r="E103" s="2">
        <f t="shared" si="34"/>
        <v>27426</v>
      </c>
      <c r="G103" s="9">
        <f t="shared" si="35"/>
        <v>27426</v>
      </c>
      <c r="H103" s="2" t="s">
        <v>303</v>
      </c>
      <c r="I103" s="2" t="s">
        <v>213</v>
      </c>
      <c r="J103" s="2" t="s">
        <v>113</v>
      </c>
      <c r="K103" s="2">
        <v>1</v>
      </c>
      <c r="N103" s="1" t="s">
        <v>304</v>
      </c>
    </row>
    <row r="104" spans="1:15">
      <c r="A104" s="1" t="str">
        <f t="shared" si="32"/>
        <v>0x6B23</v>
      </c>
      <c r="C104" s="9" t="str">
        <f t="shared" si="33"/>
        <v>0x6B23</v>
      </c>
      <c r="E104" s="2">
        <f t="shared" si="34"/>
        <v>27427</v>
      </c>
      <c r="G104" s="9">
        <f t="shared" si="35"/>
        <v>27427</v>
      </c>
      <c r="H104" s="2" t="s">
        <v>305</v>
      </c>
      <c r="I104" s="2" t="s">
        <v>213</v>
      </c>
      <c r="J104" s="2" t="s">
        <v>113</v>
      </c>
      <c r="K104" s="2">
        <v>1</v>
      </c>
      <c r="N104" s="1" t="s">
        <v>306</v>
      </c>
      <c r="O104" s="2" t="s">
        <v>307</v>
      </c>
    </row>
    <row r="105" spans="1:15">
      <c r="A105" s="1" t="str">
        <f t="shared" si="32"/>
        <v>0x6B24</v>
      </c>
      <c r="C105" s="9" t="str">
        <f t="shared" si="33"/>
        <v>0x6B24</v>
      </c>
      <c r="E105" s="2">
        <f t="shared" si="34"/>
        <v>27428</v>
      </c>
      <c r="G105" s="9">
        <f t="shared" si="35"/>
        <v>27428</v>
      </c>
      <c r="H105" s="2" t="s">
        <v>308</v>
      </c>
      <c r="I105" s="2" t="s">
        <v>213</v>
      </c>
      <c r="J105" s="2" t="s">
        <v>113</v>
      </c>
      <c r="K105" s="2">
        <v>1</v>
      </c>
      <c r="N105" s="1" t="s">
        <v>309</v>
      </c>
    </row>
    <row r="106" spans="1:15">
      <c r="A106" s="1" t="str">
        <f t="shared" si="32"/>
        <v>0x6B25</v>
      </c>
      <c r="C106" s="9" t="str">
        <f t="shared" si="33"/>
        <v>0x6B25</v>
      </c>
      <c r="E106" s="2">
        <f t="shared" si="34"/>
        <v>27429</v>
      </c>
      <c r="G106" s="9">
        <f t="shared" si="35"/>
        <v>27429</v>
      </c>
      <c r="H106" s="2" t="s">
        <v>310</v>
      </c>
      <c r="I106" s="2" t="s">
        <v>213</v>
      </c>
      <c r="J106" s="2" t="s">
        <v>113</v>
      </c>
      <c r="K106" s="2">
        <v>1</v>
      </c>
      <c r="N106" s="1" t="s">
        <v>311</v>
      </c>
      <c r="O106" s="2" t="s">
        <v>312</v>
      </c>
    </row>
    <row r="107" spans="1:15">
      <c r="A107" s="1" t="str">
        <f t="shared" si="32"/>
        <v>0x6B26</v>
      </c>
      <c r="C107" s="9" t="str">
        <f t="shared" si="33"/>
        <v>0x6B26</v>
      </c>
      <c r="E107" s="2">
        <f t="shared" si="34"/>
        <v>27430</v>
      </c>
      <c r="G107" s="9">
        <f t="shared" si="35"/>
        <v>27430</v>
      </c>
      <c r="H107" s="2" t="s">
        <v>313</v>
      </c>
      <c r="I107" s="2" t="s">
        <v>213</v>
      </c>
      <c r="J107" s="2" t="s">
        <v>113</v>
      </c>
      <c r="K107" s="2">
        <v>1</v>
      </c>
      <c r="N107" s="1" t="s">
        <v>314</v>
      </c>
    </row>
    <row r="108" spans="1:15">
      <c r="A108" s="1" t="str">
        <f t="shared" si="32"/>
        <v>0x6B27</v>
      </c>
      <c r="C108" s="9" t="str">
        <f t="shared" si="33"/>
        <v>0x6B27</v>
      </c>
      <c r="E108" s="2">
        <f t="shared" si="34"/>
        <v>27431</v>
      </c>
      <c r="G108" s="9">
        <f t="shared" si="35"/>
        <v>27431</v>
      </c>
      <c r="H108" s="2" t="s">
        <v>315</v>
      </c>
      <c r="I108" s="2" t="s">
        <v>213</v>
      </c>
      <c r="J108" s="2" t="s">
        <v>113</v>
      </c>
      <c r="K108" s="2">
        <v>1</v>
      </c>
      <c r="N108" s="1" t="s">
        <v>316</v>
      </c>
      <c r="O108" s="2" t="s">
        <v>317</v>
      </c>
    </row>
    <row r="109" spans="1:15">
      <c r="A109" s="1" t="str">
        <f t="shared" si="32"/>
        <v>0x6B28</v>
      </c>
      <c r="C109" s="9" t="str">
        <f t="shared" si="33"/>
        <v>0x6B28</v>
      </c>
      <c r="E109" s="2">
        <f t="shared" si="34"/>
        <v>27432</v>
      </c>
      <c r="G109" s="9">
        <f t="shared" si="35"/>
        <v>27432</v>
      </c>
      <c r="H109" s="2" t="s">
        <v>318</v>
      </c>
      <c r="I109" s="2" t="s">
        <v>213</v>
      </c>
      <c r="J109" s="2" t="s">
        <v>113</v>
      </c>
      <c r="K109" s="2">
        <v>1</v>
      </c>
      <c r="N109" s="1" t="s">
        <v>319</v>
      </c>
    </row>
    <row r="116" spans="1:14">
      <c r="A116" s="41" t="s">
        <v>320</v>
      </c>
      <c r="C116" s="9"/>
    </row>
    <row r="117" spans="1:14">
      <c r="A117" s="1" t="str">
        <f t="shared" ref="A117:A148" si="36">"0x"&amp;DEC2HEX(E117,4)</f>
        <v>0x6A00</v>
      </c>
      <c r="C117" s="9" t="str">
        <f t="shared" ref="C117:C143" si="37">"0x"&amp;DEC2HEX(G117,4)</f>
        <v>0x6A00</v>
      </c>
      <c r="E117" s="2">
        <v>27136</v>
      </c>
      <c r="G117" s="9">
        <f t="shared" ref="G117:G148" si="38">E117+K117-1</f>
        <v>27136</v>
      </c>
      <c r="H117" s="2" t="s">
        <v>215</v>
      </c>
      <c r="J117" s="2" t="s">
        <v>214</v>
      </c>
      <c r="K117" s="2">
        <v>1</v>
      </c>
      <c r="N117" s="19"/>
    </row>
    <row r="118" spans="1:14">
      <c r="A118" s="1" t="str">
        <f t="shared" si="36"/>
        <v>0x6A01</v>
      </c>
      <c r="C118" s="9" t="str">
        <f t="shared" si="37"/>
        <v>0x6A01</v>
      </c>
      <c r="E118" s="2">
        <f t="shared" ref="E118:E148" si="39">E117+K117</f>
        <v>27137</v>
      </c>
      <c r="G118" s="9">
        <f t="shared" si="38"/>
        <v>27137</v>
      </c>
      <c r="H118" s="2" t="s">
        <v>217</v>
      </c>
      <c r="J118" s="2" t="s">
        <v>214</v>
      </c>
      <c r="K118" s="2">
        <v>1</v>
      </c>
      <c r="N118" s="19"/>
    </row>
    <row r="119" spans="1:14">
      <c r="A119" s="1" t="str">
        <f t="shared" si="36"/>
        <v>0x6A02</v>
      </c>
      <c r="C119" s="9" t="str">
        <f t="shared" si="37"/>
        <v>0x6A02</v>
      </c>
      <c r="E119" s="2">
        <f t="shared" si="39"/>
        <v>27138</v>
      </c>
      <c r="G119" s="9">
        <f t="shared" si="38"/>
        <v>27138</v>
      </c>
      <c r="H119" s="2" t="s">
        <v>220</v>
      </c>
      <c r="J119" s="2" t="s">
        <v>214</v>
      </c>
      <c r="K119" s="2">
        <v>1</v>
      </c>
      <c r="N119" s="19"/>
    </row>
    <row r="120" spans="1:14">
      <c r="A120" s="1" t="str">
        <f t="shared" si="36"/>
        <v>0x6A03</v>
      </c>
      <c r="C120" s="9" t="str">
        <f t="shared" si="37"/>
        <v>0x6A03</v>
      </c>
      <c r="E120" s="2">
        <f t="shared" si="39"/>
        <v>27139</v>
      </c>
      <c r="G120" s="9">
        <f t="shared" si="38"/>
        <v>27139</v>
      </c>
      <c r="H120" s="2" t="s">
        <v>223</v>
      </c>
      <c r="J120" s="2" t="s">
        <v>214</v>
      </c>
      <c r="K120" s="2">
        <v>1</v>
      </c>
      <c r="N120" s="19"/>
    </row>
    <row r="121" spans="1:14">
      <c r="A121" s="1" t="str">
        <f t="shared" si="36"/>
        <v>0x6A04</v>
      </c>
      <c r="C121" s="9" t="str">
        <f t="shared" si="37"/>
        <v>0x6A04</v>
      </c>
      <c r="E121" s="2">
        <f t="shared" si="39"/>
        <v>27140</v>
      </c>
      <c r="G121" s="9">
        <f t="shared" si="38"/>
        <v>27140</v>
      </c>
      <c r="H121" s="2" t="s">
        <v>226</v>
      </c>
      <c r="J121" s="2" t="s">
        <v>214</v>
      </c>
      <c r="K121" s="2">
        <v>1</v>
      </c>
      <c r="N121" s="19">
        <v>0</v>
      </c>
    </row>
    <row r="122" spans="1:14">
      <c r="A122" s="1" t="str">
        <f t="shared" si="36"/>
        <v>0x6A05</v>
      </c>
      <c r="C122" s="9" t="str">
        <f t="shared" si="37"/>
        <v>0x6A05</v>
      </c>
      <c r="E122" s="2">
        <f t="shared" si="39"/>
        <v>27141</v>
      </c>
      <c r="G122" s="9">
        <f t="shared" si="38"/>
        <v>27141</v>
      </c>
      <c r="H122" s="2" t="s">
        <v>229</v>
      </c>
      <c r="J122" s="2" t="s">
        <v>214</v>
      </c>
      <c r="K122" s="2">
        <v>1</v>
      </c>
      <c r="N122" s="19">
        <v>0</v>
      </c>
    </row>
    <row r="123" spans="1:14">
      <c r="A123" s="1" t="str">
        <f t="shared" si="36"/>
        <v>0x6A06</v>
      </c>
      <c r="C123" s="9" t="str">
        <f t="shared" si="37"/>
        <v>0x6A06</v>
      </c>
      <c r="E123" s="2">
        <f t="shared" si="39"/>
        <v>27142</v>
      </c>
      <c r="G123" s="9">
        <f t="shared" si="38"/>
        <v>27142</v>
      </c>
      <c r="H123" s="2" t="s">
        <v>232</v>
      </c>
      <c r="J123" s="2" t="s">
        <v>214</v>
      </c>
      <c r="K123" s="2">
        <v>1</v>
      </c>
      <c r="N123" s="19">
        <v>0</v>
      </c>
    </row>
    <row r="124" spans="1:14">
      <c r="A124" s="1" t="str">
        <f t="shared" si="36"/>
        <v>0x6A07</v>
      </c>
      <c r="C124" s="9" t="str">
        <f t="shared" si="37"/>
        <v>0x6A07</v>
      </c>
      <c r="E124" s="2">
        <f t="shared" si="39"/>
        <v>27143</v>
      </c>
      <c r="G124" s="9">
        <f t="shared" si="38"/>
        <v>27143</v>
      </c>
      <c r="H124" s="2" t="s">
        <v>235</v>
      </c>
      <c r="J124" s="2" t="s">
        <v>214</v>
      </c>
      <c r="K124" s="2">
        <v>1</v>
      </c>
      <c r="N124" s="19">
        <v>0</v>
      </c>
    </row>
    <row r="125" spans="1:14">
      <c r="A125" s="1" t="str">
        <f>"0x"&amp;DEC2HEX(E125,4)</f>
        <v>0x6A08</v>
      </c>
      <c r="C125" s="9" t="str">
        <f t="shared" si="37"/>
        <v>0x6A08</v>
      </c>
      <c r="E125" s="2">
        <f t="shared" si="39"/>
        <v>27144</v>
      </c>
      <c r="G125" s="9">
        <f t="shared" si="38"/>
        <v>27144</v>
      </c>
      <c r="H125" s="2" t="s">
        <v>238</v>
      </c>
      <c r="J125" s="2" t="s">
        <v>214</v>
      </c>
      <c r="K125" s="2">
        <v>1</v>
      </c>
      <c r="N125" s="19">
        <v>0</v>
      </c>
    </row>
    <row r="126" spans="1:14">
      <c r="A126" s="1" t="str">
        <f t="shared" si="36"/>
        <v>0x6A09</v>
      </c>
      <c r="C126" s="9" t="str">
        <f t="shared" si="37"/>
        <v>0x6A09</v>
      </c>
      <c r="E126" s="2">
        <f t="shared" si="39"/>
        <v>27145</v>
      </c>
      <c r="G126" s="9">
        <f t="shared" si="38"/>
        <v>27145</v>
      </c>
      <c r="H126" s="2" t="s">
        <v>241</v>
      </c>
      <c r="J126" s="2" t="s">
        <v>214</v>
      </c>
      <c r="K126" s="2">
        <v>1</v>
      </c>
      <c r="N126" s="19">
        <v>0</v>
      </c>
    </row>
    <row r="127" spans="1:14">
      <c r="A127" s="1" t="str">
        <f t="shared" si="36"/>
        <v>0x6A0A</v>
      </c>
      <c r="C127" s="9" t="str">
        <f t="shared" si="37"/>
        <v>0x6A0A</v>
      </c>
      <c r="E127" s="2">
        <f t="shared" si="39"/>
        <v>27146</v>
      </c>
      <c r="G127" s="9">
        <f t="shared" si="38"/>
        <v>27146</v>
      </c>
      <c r="H127" s="2" t="s">
        <v>244</v>
      </c>
      <c r="J127" s="2" t="s">
        <v>214</v>
      </c>
      <c r="K127" s="2">
        <v>1</v>
      </c>
      <c r="N127" s="19">
        <v>0</v>
      </c>
    </row>
    <row r="128" spans="1:14">
      <c r="A128" s="1" t="str">
        <f t="shared" si="36"/>
        <v>0x6A0B</v>
      </c>
      <c r="C128" s="9" t="str">
        <f t="shared" si="37"/>
        <v>0x6A0B</v>
      </c>
      <c r="E128" s="2">
        <f t="shared" si="39"/>
        <v>27147</v>
      </c>
      <c r="G128" s="9">
        <f t="shared" si="38"/>
        <v>27147</v>
      </c>
      <c r="H128" s="2" t="s">
        <v>247</v>
      </c>
      <c r="J128" s="2" t="s">
        <v>214</v>
      </c>
      <c r="K128" s="2">
        <v>1</v>
      </c>
      <c r="N128" s="19">
        <v>0</v>
      </c>
    </row>
    <row r="129" spans="1:14">
      <c r="A129" s="1" t="str">
        <f t="shared" si="36"/>
        <v>0x6A0C</v>
      </c>
      <c r="C129" s="9" t="str">
        <f t="shared" si="37"/>
        <v>0x6A0C</v>
      </c>
      <c r="E129" s="2">
        <f t="shared" si="39"/>
        <v>27148</v>
      </c>
      <c r="G129" s="9">
        <f t="shared" si="38"/>
        <v>27148</v>
      </c>
      <c r="H129" s="2" t="s">
        <v>250</v>
      </c>
      <c r="J129" s="2" t="s">
        <v>214</v>
      </c>
      <c r="K129" s="2">
        <v>1</v>
      </c>
      <c r="N129" s="19">
        <v>0</v>
      </c>
    </row>
    <row r="130" spans="1:14">
      <c r="A130" s="1" t="str">
        <f t="shared" si="36"/>
        <v>0x6A0D</v>
      </c>
      <c r="C130" s="9" t="str">
        <f t="shared" si="37"/>
        <v>0x6A0D</v>
      </c>
      <c r="E130" s="2">
        <f t="shared" si="39"/>
        <v>27149</v>
      </c>
      <c r="G130" s="9">
        <f t="shared" si="38"/>
        <v>27149</v>
      </c>
      <c r="H130" s="2" t="s">
        <v>253</v>
      </c>
      <c r="J130" s="2" t="s">
        <v>214</v>
      </c>
      <c r="K130" s="2">
        <v>1</v>
      </c>
      <c r="N130" s="19">
        <v>0</v>
      </c>
    </row>
    <row r="131" spans="1:14">
      <c r="A131" s="1" t="str">
        <f t="shared" si="36"/>
        <v>0x6A0E</v>
      </c>
      <c r="C131" s="9" t="str">
        <f t="shared" si="37"/>
        <v>0x6A0E</v>
      </c>
      <c r="E131" s="2">
        <f t="shared" si="39"/>
        <v>27150</v>
      </c>
      <c r="G131" s="9">
        <f t="shared" si="38"/>
        <v>27150</v>
      </c>
      <c r="H131" s="2" t="s">
        <v>256</v>
      </c>
      <c r="J131" s="2" t="s">
        <v>214</v>
      </c>
      <c r="K131" s="2">
        <v>1</v>
      </c>
      <c r="N131" s="19">
        <v>0</v>
      </c>
    </row>
    <row r="132" spans="1:14">
      <c r="A132" s="1" t="str">
        <f t="shared" si="36"/>
        <v>0x6A0F</v>
      </c>
      <c r="C132" s="9" t="str">
        <f t="shared" si="37"/>
        <v>0x6A0F</v>
      </c>
      <c r="E132" s="2">
        <f t="shared" si="39"/>
        <v>27151</v>
      </c>
      <c r="G132" s="9">
        <f t="shared" si="38"/>
        <v>27151</v>
      </c>
      <c r="H132" s="2" t="s">
        <v>259</v>
      </c>
      <c r="J132" s="2" t="s">
        <v>214</v>
      </c>
      <c r="K132" s="2">
        <v>1</v>
      </c>
      <c r="N132" s="19">
        <v>0</v>
      </c>
    </row>
    <row r="133" spans="1:14">
      <c r="A133" s="1" t="str">
        <f t="shared" si="36"/>
        <v>0x6A10</v>
      </c>
      <c r="C133" s="9" t="str">
        <f t="shared" si="37"/>
        <v>0x6A10</v>
      </c>
      <c r="E133" s="2">
        <f t="shared" si="39"/>
        <v>27152</v>
      </c>
      <c r="G133" s="9">
        <f t="shared" si="38"/>
        <v>27152</v>
      </c>
      <c r="H133" s="2" t="s">
        <v>261</v>
      </c>
      <c r="J133" s="2" t="s">
        <v>214</v>
      </c>
      <c r="K133" s="2">
        <v>1</v>
      </c>
      <c r="N133" s="19">
        <v>0</v>
      </c>
    </row>
    <row r="134" spans="1:14">
      <c r="A134" s="1" t="str">
        <f t="shared" si="36"/>
        <v>0x6A11</v>
      </c>
      <c r="C134" s="9" t="str">
        <f t="shared" si="37"/>
        <v>0x6A11</v>
      </c>
      <c r="E134" s="2">
        <f t="shared" si="39"/>
        <v>27153</v>
      </c>
      <c r="G134" s="9">
        <f t="shared" si="38"/>
        <v>27153</v>
      </c>
      <c r="H134" s="2" t="s">
        <v>263</v>
      </c>
      <c r="J134" s="2" t="s">
        <v>214</v>
      </c>
      <c r="K134" s="2">
        <v>1</v>
      </c>
      <c r="N134" s="19">
        <v>0</v>
      </c>
    </row>
    <row r="135" spans="1:14">
      <c r="A135" s="1" t="str">
        <f t="shared" si="36"/>
        <v>0x6A12</v>
      </c>
      <c r="C135" s="9" t="str">
        <f t="shared" si="37"/>
        <v>0x6A12</v>
      </c>
      <c r="E135" s="2">
        <f t="shared" si="39"/>
        <v>27154</v>
      </c>
      <c r="G135" s="9">
        <f t="shared" si="38"/>
        <v>27154</v>
      </c>
      <c r="H135" s="2" t="s">
        <v>265</v>
      </c>
      <c r="J135" s="2" t="s">
        <v>214</v>
      </c>
      <c r="K135" s="2">
        <v>1</v>
      </c>
      <c r="N135" s="19">
        <v>0</v>
      </c>
    </row>
    <row r="136" spans="1:14">
      <c r="A136" s="1" t="str">
        <f t="shared" si="36"/>
        <v>0x6A13</v>
      </c>
      <c r="C136" s="9" t="str">
        <f t="shared" si="37"/>
        <v>0x6A13</v>
      </c>
      <c r="E136" s="2">
        <f t="shared" si="39"/>
        <v>27155</v>
      </c>
      <c r="G136" s="9">
        <f t="shared" si="38"/>
        <v>27155</v>
      </c>
      <c r="H136" s="2" t="s">
        <v>268</v>
      </c>
      <c r="J136" s="2" t="s">
        <v>214</v>
      </c>
      <c r="K136" s="2">
        <v>1</v>
      </c>
      <c r="N136" s="19">
        <v>0</v>
      </c>
    </row>
    <row r="137" spans="1:14">
      <c r="A137" s="1" t="str">
        <f t="shared" si="36"/>
        <v>0x6A14</v>
      </c>
      <c r="C137" s="9" t="str">
        <f t="shared" si="37"/>
        <v>0x6A14</v>
      </c>
      <c r="E137" s="2">
        <f t="shared" si="39"/>
        <v>27156</v>
      </c>
      <c r="G137" s="9">
        <f t="shared" si="38"/>
        <v>27156</v>
      </c>
      <c r="H137" s="2" t="s">
        <v>270</v>
      </c>
      <c r="J137" s="2" t="s">
        <v>214</v>
      </c>
      <c r="K137" s="2">
        <v>1</v>
      </c>
      <c r="N137" s="19">
        <v>0</v>
      </c>
    </row>
    <row r="138" spans="1:14">
      <c r="A138" s="1" t="str">
        <f t="shared" si="36"/>
        <v>0x6A15</v>
      </c>
      <c r="C138" s="9" t="str">
        <f t="shared" si="37"/>
        <v>0x6A15</v>
      </c>
      <c r="E138" s="2">
        <f t="shared" si="39"/>
        <v>27157</v>
      </c>
      <c r="G138" s="9">
        <f t="shared" si="38"/>
        <v>27157</v>
      </c>
      <c r="H138" s="2" t="s">
        <v>273</v>
      </c>
      <c r="J138" s="2" t="s">
        <v>214</v>
      </c>
      <c r="K138" s="2">
        <v>1</v>
      </c>
      <c r="N138" s="19">
        <v>0</v>
      </c>
    </row>
    <row r="139" spans="1:14">
      <c r="A139" s="1" t="str">
        <f t="shared" si="36"/>
        <v>0x6A16</v>
      </c>
      <c r="C139" s="9" t="str">
        <f t="shared" si="37"/>
        <v>0x6A16</v>
      </c>
      <c r="E139" s="2">
        <f t="shared" si="39"/>
        <v>27158</v>
      </c>
      <c r="G139" s="9">
        <f t="shared" si="38"/>
        <v>27158</v>
      </c>
      <c r="H139" s="2" t="s">
        <v>275</v>
      </c>
      <c r="J139" s="2" t="s">
        <v>214</v>
      </c>
      <c r="K139" s="2">
        <v>1</v>
      </c>
      <c r="N139" s="19">
        <v>0</v>
      </c>
    </row>
    <row r="140" spans="1:14">
      <c r="A140" s="1" t="str">
        <f t="shared" si="36"/>
        <v>0x6A17</v>
      </c>
      <c r="C140" s="9" t="str">
        <f t="shared" si="37"/>
        <v>0x6A17</v>
      </c>
      <c r="E140" s="2">
        <f t="shared" si="39"/>
        <v>27159</v>
      </c>
      <c r="G140" s="9">
        <f t="shared" si="38"/>
        <v>27159</v>
      </c>
      <c r="H140" s="2" t="s">
        <v>278</v>
      </c>
      <c r="J140" s="2" t="s">
        <v>214</v>
      </c>
      <c r="K140" s="2">
        <v>1</v>
      </c>
      <c r="N140" s="19">
        <v>0</v>
      </c>
    </row>
    <row r="141" spans="1:14">
      <c r="A141" s="1" t="str">
        <f t="shared" si="36"/>
        <v>0x6A18</v>
      </c>
      <c r="C141" s="9" t="str">
        <f t="shared" si="37"/>
        <v>0x6A18</v>
      </c>
      <c r="E141" s="2">
        <f t="shared" si="39"/>
        <v>27160</v>
      </c>
      <c r="G141" s="9">
        <f t="shared" si="38"/>
        <v>27160</v>
      </c>
      <c r="H141" s="2" t="s">
        <v>280</v>
      </c>
      <c r="J141" s="2" t="s">
        <v>214</v>
      </c>
      <c r="K141" s="2">
        <v>1</v>
      </c>
      <c r="N141" s="19">
        <v>0</v>
      </c>
    </row>
    <row r="142" spans="1:14">
      <c r="A142" s="1" t="str">
        <f t="shared" si="36"/>
        <v>0x6A19</v>
      </c>
      <c r="C142" s="9" t="str">
        <f t="shared" si="37"/>
        <v>0x6A19</v>
      </c>
      <c r="E142" s="2">
        <f t="shared" si="39"/>
        <v>27161</v>
      </c>
      <c r="G142" s="9">
        <f t="shared" si="38"/>
        <v>27161</v>
      </c>
      <c r="H142" s="2" t="s">
        <v>283</v>
      </c>
      <c r="J142" s="2" t="s">
        <v>214</v>
      </c>
      <c r="K142" s="2">
        <v>1</v>
      </c>
      <c r="N142" s="19">
        <v>0</v>
      </c>
    </row>
    <row r="143" spans="1:14">
      <c r="A143" s="1" t="str">
        <f t="shared" si="36"/>
        <v>0x6A1A</v>
      </c>
      <c r="C143" s="9" t="str">
        <f t="shared" si="37"/>
        <v>0x6A1A</v>
      </c>
      <c r="E143" s="2">
        <f t="shared" si="39"/>
        <v>27162</v>
      </c>
      <c r="G143" s="9">
        <f t="shared" si="38"/>
        <v>27162</v>
      </c>
      <c r="H143" s="2" t="s">
        <v>285</v>
      </c>
      <c r="J143" s="2" t="s">
        <v>214</v>
      </c>
      <c r="K143" s="2">
        <v>1</v>
      </c>
      <c r="N143" s="19">
        <v>0</v>
      </c>
    </row>
    <row r="144" spans="1:14">
      <c r="A144" s="1" t="str">
        <f t="shared" si="36"/>
        <v>0x6A1B</v>
      </c>
      <c r="C144" s="9" t="str">
        <f t="shared" ref="C144:C148" si="40">"0x"&amp;DEC2HEX(G144,4)</f>
        <v>0x6A1B</v>
      </c>
      <c r="E144" s="2">
        <f t="shared" si="39"/>
        <v>27163</v>
      </c>
      <c r="G144" s="9">
        <f t="shared" si="38"/>
        <v>27163</v>
      </c>
      <c r="H144" s="2" t="s">
        <v>288</v>
      </c>
      <c r="J144" s="2" t="s">
        <v>214</v>
      </c>
      <c r="K144" s="2">
        <v>1</v>
      </c>
      <c r="N144" s="19">
        <v>0</v>
      </c>
    </row>
    <row r="145" spans="1:14">
      <c r="A145" s="1" t="str">
        <f t="shared" si="36"/>
        <v>0x6A1C</v>
      </c>
      <c r="C145" s="9" t="str">
        <f t="shared" si="40"/>
        <v>0x6A1C</v>
      </c>
      <c r="E145" s="2">
        <f t="shared" si="39"/>
        <v>27164</v>
      </c>
      <c r="G145" s="9">
        <f t="shared" si="38"/>
        <v>27164</v>
      </c>
      <c r="H145" s="2" t="s">
        <v>290</v>
      </c>
      <c r="J145" s="2" t="s">
        <v>214</v>
      </c>
      <c r="K145" s="2">
        <v>1</v>
      </c>
      <c r="N145" s="19">
        <v>0</v>
      </c>
    </row>
    <row r="146" spans="1:14">
      <c r="A146" s="1" t="str">
        <f t="shared" si="36"/>
        <v>0x6A1D</v>
      </c>
      <c r="C146" s="9" t="str">
        <f t="shared" si="40"/>
        <v>0x6A1D</v>
      </c>
      <c r="E146" s="2">
        <f t="shared" si="39"/>
        <v>27165</v>
      </c>
      <c r="G146" s="9">
        <f t="shared" si="38"/>
        <v>27165</v>
      </c>
      <c r="H146" s="2" t="s">
        <v>293</v>
      </c>
      <c r="J146" s="2" t="s">
        <v>214</v>
      </c>
      <c r="K146" s="2">
        <v>1</v>
      </c>
      <c r="N146" s="19">
        <v>0</v>
      </c>
    </row>
    <row r="147" spans="1:14">
      <c r="A147" s="1" t="str">
        <f t="shared" si="36"/>
        <v>0x6A1E</v>
      </c>
      <c r="C147" s="9" t="str">
        <f t="shared" si="40"/>
        <v>0x6A1E</v>
      </c>
      <c r="E147" s="2">
        <f t="shared" si="39"/>
        <v>27166</v>
      </c>
      <c r="G147" s="9">
        <f t="shared" si="38"/>
        <v>27166</v>
      </c>
      <c r="H147" s="2" t="s">
        <v>295</v>
      </c>
      <c r="J147" s="2" t="s">
        <v>214</v>
      </c>
      <c r="K147" s="2">
        <v>1</v>
      </c>
      <c r="N147" s="19">
        <v>0</v>
      </c>
    </row>
    <row r="148" spans="1:14">
      <c r="A148" s="1" t="str">
        <f t="shared" si="36"/>
        <v>0x6A1F</v>
      </c>
      <c r="C148" s="9" t="str">
        <f t="shared" si="40"/>
        <v>0x6A1F</v>
      </c>
      <c r="E148" s="2">
        <f t="shared" si="39"/>
        <v>27167</v>
      </c>
      <c r="G148" s="9">
        <f t="shared" si="38"/>
        <v>27167</v>
      </c>
      <c r="H148" s="2" t="s">
        <v>298</v>
      </c>
      <c r="J148" s="2" t="s">
        <v>214</v>
      </c>
      <c r="K148" s="2">
        <v>1</v>
      </c>
      <c r="N148" s="19">
        <v>0</v>
      </c>
    </row>
    <row r="149" spans="1:14">
      <c r="A149" s="1" t="str">
        <f t="shared" ref="A149" si="41">"0x"&amp;DEC2HEX(E149,4)</f>
        <v>0x6A20</v>
      </c>
      <c r="C149" s="9" t="str">
        <f t="shared" ref="C149" si="42">"0x"&amp;DEC2HEX(G149,4)</f>
        <v>0x6A20</v>
      </c>
      <c r="E149" s="2">
        <f t="shared" ref="E149" si="43">E148+K148</f>
        <v>27168</v>
      </c>
      <c r="G149" s="9">
        <f t="shared" ref="G149" si="44">E149+K149-1</f>
        <v>27168</v>
      </c>
      <c r="H149" s="2" t="s">
        <v>300</v>
      </c>
      <c r="J149" s="2" t="s">
        <v>214</v>
      </c>
      <c r="K149" s="2">
        <v>1</v>
      </c>
      <c r="N149" s="19">
        <v>0</v>
      </c>
    </row>
    <row r="150" spans="1:14">
      <c r="A150" s="1" t="str">
        <f t="shared" ref="A150:A156" si="45">"0x"&amp;DEC2HEX(E150,4)</f>
        <v>0x6A21</v>
      </c>
      <c r="C150" s="9" t="str">
        <f t="shared" ref="C150:C156" si="46">"0x"&amp;DEC2HEX(G150,4)</f>
        <v>0x6A21</v>
      </c>
      <c r="E150" s="2">
        <f t="shared" ref="E150:E156" si="47">E149+K149</f>
        <v>27169</v>
      </c>
      <c r="G150" s="9">
        <f t="shared" ref="G150:G156" si="48">E150+K150-1</f>
        <v>27169</v>
      </c>
      <c r="H150" s="2" t="s">
        <v>303</v>
      </c>
      <c r="J150" s="2" t="s">
        <v>214</v>
      </c>
      <c r="K150" s="2">
        <v>1</v>
      </c>
      <c r="N150" s="19">
        <v>0</v>
      </c>
    </row>
    <row r="151" spans="1:14">
      <c r="A151" s="1" t="str">
        <f t="shared" si="45"/>
        <v>0x6A22</v>
      </c>
      <c r="C151" s="9" t="str">
        <f t="shared" si="46"/>
        <v>0x6A22</v>
      </c>
      <c r="E151" s="2">
        <f t="shared" si="47"/>
        <v>27170</v>
      </c>
      <c r="G151" s="9">
        <f t="shared" si="48"/>
        <v>27170</v>
      </c>
      <c r="H151" s="2" t="s">
        <v>305</v>
      </c>
      <c r="J151" s="2" t="s">
        <v>214</v>
      </c>
      <c r="K151" s="2">
        <v>1</v>
      </c>
      <c r="N151" s="19">
        <v>0</v>
      </c>
    </row>
    <row r="152" spans="1:14">
      <c r="A152" s="1" t="str">
        <f t="shared" si="45"/>
        <v>0x6A23</v>
      </c>
      <c r="C152" s="9" t="str">
        <f t="shared" si="46"/>
        <v>0x6A23</v>
      </c>
      <c r="E152" s="2">
        <f t="shared" si="47"/>
        <v>27171</v>
      </c>
      <c r="G152" s="9">
        <f t="shared" si="48"/>
        <v>27171</v>
      </c>
      <c r="H152" s="2" t="s">
        <v>308</v>
      </c>
      <c r="J152" s="2" t="s">
        <v>214</v>
      </c>
      <c r="K152" s="2">
        <v>1</v>
      </c>
      <c r="N152" s="19">
        <v>0</v>
      </c>
    </row>
    <row r="153" spans="1:14">
      <c r="A153" s="1" t="str">
        <f t="shared" si="45"/>
        <v>0x6A24</v>
      </c>
      <c r="C153" s="9" t="str">
        <f t="shared" si="46"/>
        <v>0x6A24</v>
      </c>
      <c r="E153" s="2">
        <f t="shared" si="47"/>
        <v>27172</v>
      </c>
      <c r="G153" s="9">
        <f t="shared" si="48"/>
        <v>27172</v>
      </c>
      <c r="H153" s="2" t="s">
        <v>310</v>
      </c>
      <c r="J153" s="2" t="s">
        <v>214</v>
      </c>
      <c r="K153" s="2">
        <v>1</v>
      </c>
      <c r="N153" s="19">
        <v>0</v>
      </c>
    </row>
    <row r="154" spans="1:14">
      <c r="A154" s="1" t="str">
        <f t="shared" si="45"/>
        <v>0x6A25</v>
      </c>
      <c r="C154" s="9" t="str">
        <f t="shared" si="46"/>
        <v>0x6A25</v>
      </c>
      <c r="E154" s="2">
        <f t="shared" si="47"/>
        <v>27173</v>
      </c>
      <c r="G154" s="9">
        <f t="shared" si="48"/>
        <v>27173</v>
      </c>
      <c r="H154" s="2" t="s">
        <v>313</v>
      </c>
      <c r="J154" s="2" t="s">
        <v>214</v>
      </c>
      <c r="K154" s="2">
        <v>1</v>
      </c>
      <c r="N154" s="19">
        <v>0</v>
      </c>
    </row>
    <row r="155" spans="1:14">
      <c r="A155" s="1" t="str">
        <f t="shared" si="45"/>
        <v>0x6A26</v>
      </c>
      <c r="C155" s="9" t="str">
        <f t="shared" si="46"/>
        <v>0x6A26</v>
      </c>
      <c r="E155" s="2">
        <f t="shared" si="47"/>
        <v>27174</v>
      </c>
      <c r="G155" s="9">
        <f t="shared" si="48"/>
        <v>27174</v>
      </c>
      <c r="H155" s="2" t="s">
        <v>315</v>
      </c>
      <c r="J155" s="2" t="s">
        <v>214</v>
      </c>
      <c r="K155" s="2">
        <v>1</v>
      </c>
      <c r="N155" s="19">
        <v>0</v>
      </c>
    </row>
    <row r="156" spans="1:14">
      <c r="A156" s="1" t="str">
        <f t="shared" si="45"/>
        <v>0x6A27</v>
      </c>
      <c r="C156" s="9" t="str">
        <f t="shared" si="46"/>
        <v>0x6A27</v>
      </c>
      <c r="E156" s="2">
        <f t="shared" si="47"/>
        <v>27175</v>
      </c>
      <c r="G156" s="9">
        <f t="shared" si="48"/>
        <v>27175</v>
      </c>
      <c r="H156" s="2" t="s">
        <v>318</v>
      </c>
      <c r="J156" s="2" t="s">
        <v>214</v>
      </c>
      <c r="K156" s="2">
        <v>1</v>
      </c>
      <c r="N156" s="1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"/>
  <sheetViews>
    <sheetView workbookViewId="0">
      <pane ySplit="1" topLeftCell="E2" activePane="bottomLeft" state="frozen"/>
      <selection pane="bottomLeft" activeCell="E15" sqref="E15"/>
    </sheetView>
  </sheetViews>
  <sheetFormatPr defaultColWidth="8.75" defaultRowHeight="14.25"/>
  <cols>
    <col min="1" max="1" width="12" style="2" customWidth="1"/>
    <col min="2" max="2" width="10.375" style="2" customWidth="1"/>
    <col min="3" max="3" width="12.75" style="2" customWidth="1"/>
    <col min="4" max="4" width="13.375" style="38" customWidth="1"/>
    <col min="5" max="5" width="26.375" style="2" customWidth="1"/>
    <col min="6" max="6" width="15.25" style="2" customWidth="1"/>
    <col min="7" max="7" width="8.75" style="2"/>
    <col min="8" max="8" width="35.75" style="2" customWidth="1"/>
    <col min="9" max="9" width="39.375" style="2" customWidth="1"/>
    <col min="10" max="10" width="18.875" style="2" customWidth="1"/>
    <col min="11" max="11" width="20.875" style="2" customWidth="1"/>
    <col min="12" max="16384" width="8.75" style="2"/>
  </cols>
  <sheetData>
    <row r="1" spans="1:20" s="17" customFormat="1">
      <c r="A1" s="16" t="s">
        <v>95</v>
      </c>
      <c r="B1" s="16" t="s">
        <v>96</v>
      </c>
      <c r="C1" s="16" t="s">
        <v>97</v>
      </c>
      <c r="D1" s="16" t="s">
        <v>98</v>
      </c>
      <c r="E1" s="28" t="s">
        <v>99</v>
      </c>
      <c r="F1" s="16" t="s">
        <v>100</v>
      </c>
      <c r="G1" s="16" t="s">
        <v>101</v>
      </c>
      <c r="H1" s="28" t="s">
        <v>102</v>
      </c>
      <c r="I1" s="16" t="s">
        <v>103</v>
      </c>
      <c r="J1" s="16" t="s">
        <v>104</v>
      </c>
      <c r="K1" s="16" t="s">
        <v>105</v>
      </c>
      <c r="L1" s="16"/>
      <c r="M1" s="16"/>
    </row>
    <row r="2" spans="1:20" s="17" customFormat="1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  <c r="L2" s="25"/>
      <c r="M2" s="25"/>
      <c r="N2" s="26"/>
      <c r="O2" s="26"/>
      <c r="P2" s="26"/>
      <c r="Q2" s="26"/>
      <c r="R2" s="26"/>
      <c r="S2" s="26"/>
      <c r="T2" s="26"/>
    </row>
    <row r="3" spans="1:20">
      <c r="A3" s="41" t="s">
        <v>321</v>
      </c>
      <c r="B3" s="1"/>
      <c r="C3" s="1"/>
      <c r="D3" s="1"/>
      <c r="E3" s="1"/>
      <c r="F3" s="1"/>
      <c r="G3" s="1"/>
      <c r="H3" s="1"/>
    </row>
    <row r="4" spans="1:20" ht="28.5">
      <c r="A4" s="1" t="str">
        <f>"0x"&amp;DEC2HEX(C4,4)</f>
        <v>0xF204</v>
      </c>
      <c r="B4" s="1"/>
      <c r="C4" s="1">
        <v>61956</v>
      </c>
      <c r="D4" s="1"/>
      <c r="E4" s="37" t="s">
        <v>322</v>
      </c>
      <c r="F4" s="1" t="s">
        <v>112</v>
      </c>
      <c r="G4" s="1" t="s">
        <v>113</v>
      </c>
      <c r="H4" s="1">
        <v>1</v>
      </c>
    </row>
    <row r="5" spans="1:20" ht="28.5">
      <c r="A5" s="1" t="str">
        <f t="shared" ref="A5:A6" si="0">"0x"&amp;DEC2HEX(C5,4)</f>
        <v>0xF205</v>
      </c>
      <c r="B5" s="1"/>
      <c r="C5" s="1">
        <f>C4+H4</f>
        <v>61957</v>
      </c>
      <c r="D5" s="1"/>
      <c r="E5" s="37" t="s">
        <v>323</v>
      </c>
      <c r="F5" s="1" t="s">
        <v>112</v>
      </c>
      <c r="G5" s="1" t="s">
        <v>113</v>
      </c>
      <c r="H5" s="1">
        <v>1</v>
      </c>
    </row>
    <row r="6" spans="1:20" ht="28.5">
      <c r="A6" s="1" t="str">
        <f t="shared" si="0"/>
        <v>0xF206</v>
      </c>
      <c r="B6" s="1"/>
      <c r="C6" s="1">
        <f t="shared" ref="C6" si="1">C5+H5</f>
        <v>61958</v>
      </c>
      <c r="D6" s="1"/>
      <c r="E6" s="37" t="s">
        <v>324</v>
      </c>
      <c r="F6" s="1" t="s">
        <v>112</v>
      </c>
      <c r="G6" s="1" t="s">
        <v>113</v>
      </c>
      <c r="H6" s="1">
        <v>1</v>
      </c>
    </row>
    <row r="7" spans="1:20">
      <c r="A7" s="1"/>
      <c r="B7" s="1"/>
      <c r="C7" s="1"/>
      <c r="D7" s="1"/>
      <c r="E7" s="1"/>
      <c r="F7" s="1"/>
      <c r="G7" s="1"/>
      <c r="H7" s="1"/>
    </row>
    <row r="8" spans="1:20">
      <c r="A8" s="1"/>
      <c r="B8" s="1"/>
      <c r="C8" s="1"/>
      <c r="D8" s="1"/>
      <c r="E8" s="1"/>
      <c r="F8" s="1"/>
      <c r="G8" s="1"/>
      <c r="H8" s="1"/>
    </row>
    <row r="9" spans="1:20">
      <c r="A9" s="1"/>
      <c r="B9" s="1"/>
      <c r="C9" s="1"/>
      <c r="D9" s="1"/>
      <c r="E9" s="1"/>
      <c r="F9" s="1"/>
      <c r="G9" s="1"/>
      <c r="H9" s="1"/>
    </row>
    <row r="10" spans="1:20">
      <c r="A10" s="41" t="s">
        <v>325</v>
      </c>
      <c r="B10" s="6"/>
      <c r="C10" s="6"/>
      <c r="D10" s="2"/>
      <c r="H10" s="9"/>
    </row>
    <row r="11" spans="1:20">
      <c r="A11" s="1" t="str">
        <f t="shared" ref="A11:A16" si="2">"0x"&amp;DEC2HEX(C11,4)</f>
        <v>0xF210</v>
      </c>
      <c r="B11" s="1" t="str">
        <f t="shared" ref="B11:B16" si="3">"0x"&amp;DEC2HEX(D11,4)</f>
        <v>0xF211</v>
      </c>
      <c r="C11" s="2">
        <v>61968</v>
      </c>
      <c r="D11" s="2">
        <f>C11+H11-1</f>
        <v>61969</v>
      </c>
      <c r="E11" s="9" t="s">
        <v>326</v>
      </c>
      <c r="F11" s="2" t="s">
        <v>327</v>
      </c>
      <c r="G11" s="1" t="s">
        <v>113</v>
      </c>
      <c r="H11" s="2">
        <v>2</v>
      </c>
      <c r="L11" s="1"/>
    </row>
    <row r="12" spans="1:20">
      <c r="A12" s="1" t="str">
        <f t="shared" si="2"/>
        <v>0xF212</v>
      </c>
      <c r="B12" s="1" t="str">
        <f t="shared" si="3"/>
        <v>0xF213</v>
      </c>
      <c r="C12" s="2">
        <f>C11+H11</f>
        <v>61970</v>
      </c>
      <c r="D12" s="2">
        <f t="shared" ref="D12:D16" si="4">C12+H12-1</f>
        <v>61971</v>
      </c>
      <c r="E12" s="9" t="s">
        <v>328</v>
      </c>
      <c r="F12" s="2" t="s">
        <v>327</v>
      </c>
      <c r="G12" s="1" t="s">
        <v>113</v>
      </c>
      <c r="H12" s="2">
        <v>2</v>
      </c>
      <c r="L12" s="1"/>
    </row>
    <row r="13" spans="1:20">
      <c r="A13" s="1" t="str">
        <f t="shared" si="2"/>
        <v>0xF214</v>
      </c>
      <c r="B13" s="1" t="str">
        <f t="shared" si="3"/>
        <v>0xF215</v>
      </c>
      <c r="C13" s="2">
        <f t="shared" ref="C13:C16" si="5">C12+H12</f>
        <v>61972</v>
      </c>
      <c r="D13" s="2">
        <f t="shared" si="4"/>
        <v>61973</v>
      </c>
      <c r="E13" s="9" t="s">
        <v>329</v>
      </c>
      <c r="F13" s="2" t="s">
        <v>327</v>
      </c>
      <c r="G13" s="1" t="s">
        <v>113</v>
      </c>
      <c r="H13" s="2">
        <v>2</v>
      </c>
      <c r="L13" s="1"/>
    </row>
    <row r="14" spans="1:20">
      <c r="A14" s="1" t="str">
        <f t="shared" si="2"/>
        <v>0xF216</v>
      </c>
      <c r="B14" s="1" t="str">
        <f t="shared" si="3"/>
        <v>0xF217</v>
      </c>
      <c r="C14" s="2">
        <f t="shared" si="5"/>
        <v>61974</v>
      </c>
      <c r="D14" s="2">
        <f t="shared" si="4"/>
        <v>61975</v>
      </c>
      <c r="E14" s="9" t="s">
        <v>330</v>
      </c>
      <c r="F14" s="2" t="s">
        <v>327</v>
      </c>
      <c r="G14" s="1" t="s">
        <v>113</v>
      </c>
      <c r="H14" s="2">
        <v>2</v>
      </c>
      <c r="L14" s="1"/>
    </row>
    <row r="15" spans="1:20">
      <c r="A15" s="1" t="str">
        <f t="shared" si="2"/>
        <v>0xF218</v>
      </c>
      <c r="B15" s="1" t="str">
        <f t="shared" si="3"/>
        <v>0xF219</v>
      </c>
      <c r="C15" s="2">
        <f t="shared" si="5"/>
        <v>61976</v>
      </c>
      <c r="D15" s="2">
        <f t="shared" si="4"/>
        <v>61977</v>
      </c>
      <c r="E15" s="9" t="s">
        <v>331</v>
      </c>
      <c r="F15" s="2" t="s">
        <v>327</v>
      </c>
      <c r="G15" s="1" t="s">
        <v>113</v>
      </c>
      <c r="H15" s="2">
        <v>2</v>
      </c>
      <c r="L15" s="1"/>
    </row>
    <row r="16" spans="1:20">
      <c r="A16" s="1" t="str">
        <f t="shared" si="2"/>
        <v>0xF21A</v>
      </c>
      <c r="B16" s="1" t="str">
        <f t="shared" si="3"/>
        <v>0xF21B</v>
      </c>
      <c r="C16" s="2">
        <f t="shared" si="5"/>
        <v>61978</v>
      </c>
      <c r="D16" s="2">
        <f t="shared" si="4"/>
        <v>61979</v>
      </c>
      <c r="E16" s="9" t="s">
        <v>332</v>
      </c>
      <c r="F16" s="2" t="s">
        <v>327</v>
      </c>
      <c r="G16" s="1" t="s">
        <v>113</v>
      </c>
      <c r="H16" s="2">
        <v>2</v>
      </c>
      <c r="L16" s="1"/>
    </row>
    <row r="17" spans="1:3" s="2" customFormat="1">
      <c r="A17" s="1"/>
      <c r="C17" s="1"/>
    </row>
  </sheetData>
  <mergeCells count="1">
    <mergeCell ref="A2:K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5"/>
  <sheetViews>
    <sheetView workbookViewId="0">
      <selection activeCell="A40" sqref="A40"/>
    </sheetView>
  </sheetViews>
  <sheetFormatPr defaultColWidth="9" defaultRowHeight="14.25"/>
  <cols>
    <col min="1" max="1" width="12.75" style="2" customWidth="1"/>
    <col min="2" max="2" width="5" style="2" customWidth="1"/>
    <col min="3" max="7" width="9" style="2"/>
    <col min="8" max="8" width="38.875" style="2" customWidth="1"/>
    <col min="9" max="9" width="15.125" style="2" customWidth="1"/>
    <col min="10" max="12" width="9" style="2"/>
    <col min="13" max="13" width="12" style="2" customWidth="1"/>
    <col min="14" max="14" width="19" style="2" customWidth="1"/>
    <col min="15" max="16384" width="9" style="2"/>
  </cols>
  <sheetData>
    <row r="1" spans="1:16" s="4" customFormat="1">
      <c r="A1" s="3" t="s">
        <v>95</v>
      </c>
      <c r="B1" s="3"/>
      <c r="C1" s="3" t="s">
        <v>96</v>
      </c>
      <c r="D1" s="12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3" t="s">
        <v>102</v>
      </c>
      <c r="L1" s="7" t="s">
        <v>103</v>
      </c>
      <c r="M1" s="3" t="s">
        <v>104</v>
      </c>
      <c r="N1" s="3" t="s">
        <v>105</v>
      </c>
      <c r="O1" s="3"/>
      <c r="P1" s="3"/>
    </row>
    <row r="3" spans="1:16" s="6" customFormat="1">
      <c r="A3" s="41" t="s">
        <v>333</v>
      </c>
    </row>
    <row r="4" spans="1:16">
      <c r="A4" s="1" t="str">
        <f>"0x"&amp;DEC2HEX(E4,4)</f>
        <v>0x4136</v>
      </c>
      <c r="C4" s="1" t="str">
        <f>"0x"&amp;DEC2HEX(G4,4)</f>
        <v>0x4137</v>
      </c>
      <c r="E4" s="2">
        <v>16694</v>
      </c>
      <c r="G4" s="2">
        <f>E4+K4-1</f>
        <v>16695</v>
      </c>
      <c r="H4" s="2" t="s">
        <v>334</v>
      </c>
      <c r="I4" s="2" t="s">
        <v>335</v>
      </c>
      <c r="J4" s="2" t="s">
        <v>173</v>
      </c>
      <c r="K4" s="2">
        <v>2</v>
      </c>
    </row>
    <row r="5" spans="1:16">
      <c r="A5" s="1" t="str">
        <f t="shared" ref="A5:A39" si="0">"0x"&amp;DEC2HEX(E5,4)</f>
        <v>0x4138</v>
      </c>
      <c r="C5" s="1" t="str">
        <f t="shared" ref="C4:C39" si="1">"0x"&amp;DEC2HEX(G5,4)</f>
        <v>0x413D</v>
      </c>
      <c r="E5" s="2">
        <f>K4+E4</f>
        <v>16696</v>
      </c>
      <c r="G5" s="2">
        <f t="shared" ref="G5:G35" si="2">E5+K5-1</f>
        <v>16701</v>
      </c>
      <c r="H5" s="2" t="s">
        <v>336</v>
      </c>
      <c r="I5" s="2" t="s">
        <v>337</v>
      </c>
      <c r="J5" s="2" t="s">
        <v>173</v>
      </c>
      <c r="K5" s="2">
        <v>6</v>
      </c>
    </row>
    <row r="6" spans="1:16">
      <c r="A6" s="1" t="str">
        <f t="shared" si="0"/>
        <v>0x413E</v>
      </c>
      <c r="C6" s="1" t="str">
        <f t="shared" si="1"/>
        <v>0x413F</v>
      </c>
      <c r="E6" s="2">
        <f t="shared" ref="E6:E35" si="3">K5+E5</f>
        <v>16702</v>
      </c>
      <c r="G6" s="2">
        <f t="shared" si="2"/>
        <v>16703</v>
      </c>
      <c r="H6" s="2" t="s">
        <v>338</v>
      </c>
      <c r="I6" s="2" t="s">
        <v>335</v>
      </c>
      <c r="J6" s="2" t="s">
        <v>173</v>
      </c>
      <c r="K6" s="2">
        <v>2</v>
      </c>
    </row>
    <row r="7" spans="1:16">
      <c r="A7" s="1" t="str">
        <f t="shared" si="0"/>
        <v>0x4140</v>
      </c>
      <c r="C7" s="1" t="str">
        <f t="shared" si="1"/>
        <v>0x4145</v>
      </c>
      <c r="E7" s="2">
        <f t="shared" si="3"/>
        <v>16704</v>
      </c>
      <c r="G7" s="2">
        <f t="shared" si="2"/>
        <v>16709</v>
      </c>
      <c r="H7" s="2" t="s">
        <v>339</v>
      </c>
      <c r="I7" s="2" t="s">
        <v>337</v>
      </c>
      <c r="J7" s="2" t="s">
        <v>173</v>
      </c>
      <c r="K7" s="2">
        <v>6</v>
      </c>
    </row>
    <row r="8" spans="1:16">
      <c r="A8" s="1" t="str">
        <f t="shared" si="0"/>
        <v>0x4146</v>
      </c>
      <c r="C8" s="1" t="str">
        <f t="shared" si="1"/>
        <v>0x4147</v>
      </c>
      <c r="E8" s="2">
        <f t="shared" si="3"/>
        <v>16710</v>
      </c>
      <c r="G8" s="2">
        <f t="shared" si="2"/>
        <v>16711</v>
      </c>
      <c r="H8" s="2" t="s">
        <v>340</v>
      </c>
      <c r="I8" s="2" t="s">
        <v>335</v>
      </c>
      <c r="J8" s="2" t="s">
        <v>173</v>
      </c>
      <c r="K8" s="2">
        <v>2</v>
      </c>
    </row>
    <row r="9" spans="1:16">
      <c r="A9" s="1" t="str">
        <f t="shared" si="0"/>
        <v>0x4148</v>
      </c>
      <c r="C9" s="1" t="str">
        <f t="shared" si="1"/>
        <v>0x414D</v>
      </c>
      <c r="E9" s="2">
        <f t="shared" si="3"/>
        <v>16712</v>
      </c>
      <c r="G9" s="2">
        <f t="shared" si="2"/>
        <v>16717</v>
      </c>
      <c r="H9" s="2" t="s">
        <v>341</v>
      </c>
      <c r="I9" s="2" t="s">
        <v>337</v>
      </c>
      <c r="J9" s="2" t="s">
        <v>173</v>
      </c>
      <c r="K9" s="2">
        <v>6</v>
      </c>
    </row>
    <row r="10" spans="1:16">
      <c r="A10" s="1" t="str">
        <f t="shared" si="0"/>
        <v>0x414E</v>
      </c>
      <c r="C10" s="1" t="str">
        <f t="shared" si="1"/>
        <v>0x414F</v>
      </c>
      <c r="E10" s="2">
        <f t="shared" si="3"/>
        <v>16718</v>
      </c>
      <c r="G10" s="2">
        <f t="shared" si="2"/>
        <v>16719</v>
      </c>
      <c r="H10" s="2" t="s">
        <v>342</v>
      </c>
      <c r="I10" s="2" t="s">
        <v>335</v>
      </c>
      <c r="J10" s="2" t="s">
        <v>173</v>
      </c>
      <c r="K10" s="2">
        <v>2</v>
      </c>
    </row>
    <row r="11" spans="1:16">
      <c r="A11" s="1" t="str">
        <f t="shared" si="0"/>
        <v>0x4150</v>
      </c>
      <c r="C11" s="1" t="str">
        <f t="shared" si="1"/>
        <v>0x4155</v>
      </c>
      <c r="E11" s="2">
        <f t="shared" si="3"/>
        <v>16720</v>
      </c>
      <c r="G11" s="2">
        <f t="shared" si="2"/>
        <v>16725</v>
      </c>
      <c r="H11" s="2" t="s">
        <v>343</v>
      </c>
      <c r="I11" s="2" t="s">
        <v>337</v>
      </c>
      <c r="J11" s="2" t="s">
        <v>173</v>
      </c>
      <c r="K11" s="2">
        <v>6</v>
      </c>
    </row>
    <row r="12" spans="1:16">
      <c r="A12" s="1" t="str">
        <f t="shared" si="0"/>
        <v>0x4156</v>
      </c>
      <c r="C12" s="1" t="str">
        <f t="shared" si="1"/>
        <v>0x4157</v>
      </c>
      <c r="E12" s="2">
        <f t="shared" si="3"/>
        <v>16726</v>
      </c>
      <c r="G12" s="2">
        <f t="shared" si="2"/>
        <v>16727</v>
      </c>
      <c r="H12" s="2" t="s">
        <v>344</v>
      </c>
      <c r="I12" s="2" t="s">
        <v>335</v>
      </c>
      <c r="J12" s="2" t="s">
        <v>173</v>
      </c>
      <c r="K12" s="2">
        <v>2</v>
      </c>
    </row>
    <row r="13" spans="1:16">
      <c r="A13" s="1" t="str">
        <f t="shared" si="0"/>
        <v>0x4158</v>
      </c>
      <c r="C13" s="1" t="str">
        <f t="shared" si="1"/>
        <v>0x415D</v>
      </c>
      <c r="E13" s="2">
        <f t="shared" si="3"/>
        <v>16728</v>
      </c>
      <c r="G13" s="2">
        <f t="shared" si="2"/>
        <v>16733</v>
      </c>
      <c r="H13" s="2" t="s">
        <v>345</v>
      </c>
      <c r="I13" s="2" t="s">
        <v>337</v>
      </c>
      <c r="J13" s="2" t="s">
        <v>173</v>
      </c>
      <c r="K13" s="2">
        <v>6</v>
      </c>
    </row>
    <row r="14" spans="1:16">
      <c r="A14" s="1" t="str">
        <f t="shared" si="0"/>
        <v>0x415E</v>
      </c>
      <c r="C14" s="1" t="str">
        <f t="shared" si="1"/>
        <v>0x415F</v>
      </c>
      <c r="E14" s="2">
        <f t="shared" si="3"/>
        <v>16734</v>
      </c>
      <c r="G14" s="2">
        <f t="shared" si="2"/>
        <v>16735</v>
      </c>
      <c r="H14" s="2" t="s">
        <v>346</v>
      </c>
      <c r="I14" s="2" t="s">
        <v>335</v>
      </c>
      <c r="J14" s="2" t="s">
        <v>173</v>
      </c>
      <c r="K14" s="2">
        <v>2</v>
      </c>
    </row>
    <row r="15" spans="1:16">
      <c r="A15" s="1" t="str">
        <f t="shared" si="0"/>
        <v>0x4160</v>
      </c>
      <c r="C15" s="1" t="str">
        <f t="shared" si="1"/>
        <v>0x4165</v>
      </c>
      <c r="E15" s="2">
        <f t="shared" si="3"/>
        <v>16736</v>
      </c>
      <c r="G15" s="2">
        <f t="shared" si="2"/>
        <v>16741</v>
      </c>
      <c r="H15" s="2" t="s">
        <v>347</v>
      </c>
      <c r="I15" s="2" t="s">
        <v>337</v>
      </c>
      <c r="J15" s="2" t="s">
        <v>173</v>
      </c>
      <c r="K15" s="2">
        <v>6</v>
      </c>
    </row>
    <row r="16" spans="1:16">
      <c r="A16" s="1" t="str">
        <f t="shared" si="0"/>
        <v>0x4166</v>
      </c>
      <c r="C16" s="1" t="str">
        <f t="shared" si="1"/>
        <v>0x4167</v>
      </c>
      <c r="E16" s="2">
        <f t="shared" si="3"/>
        <v>16742</v>
      </c>
      <c r="G16" s="2">
        <f t="shared" si="2"/>
        <v>16743</v>
      </c>
      <c r="H16" s="2" t="s">
        <v>348</v>
      </c>
      <c r="I16" s="2" t="s">
        <v>335</v>
      </c>
      <c r="J16" s="2" t="s">
        <v>173</v>
      </c>
      <c r="K16" s="2">
        <v>2</v>
      </c>
    </row>
    <row r="17" spans="1:11">
      <c r="A17" s="1" t="str">
        <f t="shared" si="0"/>
        <v>0x4168</v>
      </c>
      <c r="C17" s="1" t="str">
        <f t="shared" si="1"/>
        <v>0x416D</v>
      </c>
      <c r="E17" s="2">
        <f t="shared" si="3"/>
        <v>16744</v>
      </c>
      <c r="G17" s="2">
        <f t="shared" si="2"/>
        <v>16749</v>
      </c>
      <c r="H17" s="2" t="s">
        <v>349</v>
      </c>
      <c r="I17" s="2" t="s">
        <v>337</v>
      </c>
      <c r="J17" s="2" t="s">
        <v>173</v>
      </c>
      <c r="K17" s="2">
        <v>6</v>
      </c>
    </row>
    <row r="18" spans="1:11">
      <c r="A18" s="1" t="str">
        <f t="shared" si="0"/>
        <v>0x416E</v>
      </c>
      <c r="C18" s="1" t="str">
        <f t="shared" si="1"/>
        <v>0x416F</v>
      </c>
      <c r="E18" s="2">
        <f t="shared" si="3"/>
        <v>16750</v>
      </c>
      <c r="G18" s="2">
        <f t="shared" si="2"/>
        <v>16751</v>
      </c>
      <c r="H18" s="2" t="s">
        <v>350</v>
      </c>
      <c r="I18" s="2" t="s">
        <v>335</v>
      </c>
      <c r="J18" s="2" t="s">
        <v>173</v>
      </c>
      <c r="K18" s="2">
        <v>2</v>
      </c>
    </row>
    <row r="19" spans="1:11">
      <c r="A19" s="1" t="str">
        <f t="shared" si="0"/>
        <v>0x4170</v>
      </c>
      <c r="C19" s="1" t="str">
        <f t="shared" si="1"/>
        <v>0x4175</v>
      </c>
      <c r="E19" s="2">
        <f t="shared" si="3"/>
        <v>16752</v>
      </c>
      <c r="G19" s="2">
        <f t="shared" si="2"/>
        <v>16757</v>
      </c>
      <c r="H19" s="2" t="s">
        <v>351</v>
      </c>
      <c r="I19" s="2" t="s">
        <v>337</v>
      </c>
      <c r="J19" s="2" t="s">
        <v>173</v>
      </c>
      <c r="K19" s="2">
        <v>6</v>
      </c>
    </row>
    <row r="20" spans="1:11">
      <c r="A20" s="1" t="str">
        <f t="shared" si="0"/>
        <v>0x4176</v>
      </c>
      <c r="C20" s="1" t="str">
        <f t="shared" si="1"/>
        <v>0x4177</v>
      </c>
      <c r="E20" s="2">
        <f t="shared" si="3"/>
        <v>16758</v>
      </c>
      <c r="G20" s="2">
        <f t="shared" si="2"/>
        <v>16759</v>
      </c>
      <c r="H20" s="2" t="s">
        <v>352</v>
      </c>
      <c r="I20" s="2" t="s">
        <v>335</v>
      </c>
      <c r="J20" s="2" t="s">
        <v>173</v>
      </c>
      <c r="K20" s="2">
        <v>2</v>
      </c>
    </row>
    <row r="21" spans="1:11">
      <c r="A21" s="1" t="str">
        <f t="shared" si="0"/>
        <v>0x4178</v>
      </c>
      <c r="C21" s="1" t="str">
        <f t="shared" si="1"/>
        <v>0x417D</v>
      </c>
      <c r="E21" s="2">
        <f t="shared" si="3"/>
        <v>16760</v>
      </c>
      <c r="G21" s="2">
        <f t="shared" si="2"/>
        <v>16765</v>
      </c>
      <c r="H21" s="2" t="s">
        <v>353</v>
      </c>
      <c r="I21" s="2" t="s">
        <v>337</v>
      </c>
      <c r="J21" s="2" t="s">
        <v>173</v>
      </c>
      <c r="K21" s="2">
        <v>6</v>
      </c>
    </row>
    <row r="22" spans="1:11">
      <c r="A22" s="1" t="str">
        <f t="shared" si="0"/>
        <v>0x417E</v>
      </c>
      <c r="C22" s="1" t="str">
        <f t="shared" si="1"/>
        <v>0x417F</v>
      </c>
      <c r="E22" s="2">
        <f t="shared" si="3"/>
        <v>16766</v>
      </c>
      <c r="G22" s="2">
        <f t="shared" si="2"/>
        <v>16767</v>
      </c>
      <c r="H22" s="2" t="s">
        <v>354</v>
      </c>
      <c r="I22" s="2" t="s">
        <v>335</v>
      </c>
      <c r="J22" s="2" t="s">
        <v>173</v>
      </c>
      <c r="K22" s="2">
        <v>2</v>
      </c>
    </row>
    <row r="23" spans="1:11">
      <c r="A23" s="1" t="str">
        <f t="shared" si="0"/>
        <v>0x4180</v>
      </c>
      <c r="C23" s="1" t="str">
        <f t="shared" si="1"/>
        <v>0x4185</v>
      </c>
      <c r="E23" s="2">
        <f t="shared" si="3"/>
        <v>16768</v>
      </c>
      <c r="G23" s="2">
        <f t="shared" si="2"/>
        <v>16773</v>
      </c>
      <c r="H23" s="2" t="s">
        <v>355</v>
      </c>
      <c r="I23" s="2" t="s">
        <v>337</v>
      </c>
      <c r="J23" s="2" t="s">
        <v>173</v>
      </c>
      <c r="K23" s="2">
        <v>6</v>
      </c>
    </row>
    <row r="24" spans="1:11">
      <c r="A24" s="1" t="str">
        <f t="shared" si="0"/>
        <v>0x4186</v>
      </c>
      <c r="C24" s="1" t="str">
        <f t="shared" si="1"/>
        <v>0x4187</v>
      </c>
      <c r="E24" s="2">
        <f t="shared" si="3"/>
        <v>16774</v>
      </c>
      <c r="G24" s="2">
        <f t="shared" si="2"/>
        <v>16775</v>
      </c>
      <c r="H24" s="2" t="s">
        <v>356</v>
      </c>
      <c r="I24" s="2" t="s">
        <v>335</v>
      </c>
      <c r="J24" s="2" t="s">
        <v>173</v>
      </c>
      <c r="K24" s="2">
        <v>2</v>
      </c>
    </row>
    <row r="25" spans="1:11">
      <c r="A25" s="1" t="str">
        <f t="shared" si="0"/>
        <v>0x4188</v>
      </c>
      <c r="C25" s="1" t="str">
        <f t="shared" si="1"/>
        <v>0x418D</v>
      </c>
      <c r="E25" s="2">
        <f t="shared" si="3"/>
        <v>16776</v>
      </c>
      <c r="G25" s="2">
        <f t="shared" si="2"/>
        <v>16781</v>
      </c>
      <c r="H25" s="2" t="s">
        <v>357</v>
      </c>
      <c r="I25" s="2" t="s">
        <v>337</v>
      </c>
      <c r="J25" s="2" t="s">
        <v>173</v>
      </c>
      <c r="K25" s="2">
        <v>6</v>
      </c>
    </row>
    <row r="26" spans="1:11">
      <c r="A26" s="1" t="str">
        <f t="shared" si="0"/>
        <v>0x418E</v>
      </c>
      <c r="C26" s="1" t="str">
        <f t="shared" si="1"/>
        <v>0x418F</v>
      </c>
      <c r="E26" s="2">
        <f t="shared" si="3"/>
        <v>16782</v>
      </c>
      <c r="G26" s="2">
        <f t="shared" si="2"/>
        <v>16783</v>
      </c>
      <c r="H26" s="2" t="s">
        <v>358</v>
      </c>
      <c r="I26" s="2" t="s">
        <v>335</v>
      </c>
      <c r="J26" s="2" t="s">
        <v>173</v>
      </c>
      <c r="K26" s="2">
        <v>2</v>
      </c>
    </row>
    <row r="27" spans="1:11">
      <c r="A27" s="1" t="str">
        <f t="shared" si="0"/>
        <v>0x4190</v>
      </c>
      <c r="C27" s="1" t="str">
        <f t="shared" si="1"/>
        <v>0x4195</v>
      </c>
      <c r="E27" s="2">
        <f t="shared" si="3"/>
        <v>16784</v>
      </c>
      <c r="G27" s="2">
        <f t="shared" si="2"/>
        <v>16789</v>
      </c>
      <c r="H27" s="2" t="s">
        <v>359</v>
      </c>
      <c r="I27" s="2" t="s">
        <v>337</v>
      </c>
      <c r="J27" s="2" t="s">
        <v>173</v>
      </c>
      <c r="K27" s="2">
        <v>6</v>
      </c>
    </row>
    <row r="28" spans="1:11">
      <c r="A28" s="1" t="str">
        <f t="shared" si="0"/>
        <v>0x4196</v>
      </c>
      <c r="C28" s="1" t="str">
        <f t="shared" si="1"/>
        <v>0x4197</v>
      </c>
      <c r="E28" s="2">
        <f t="shared" si="3"/>
        <v>16790</v>
      </c>
      <c r="G28" s="2">
        <f t="shared" si="2"/>
        <v>16791</v>
      </c>
      <c r="H28" s="2" t="s">
        <v>360</v>
      </c>
      <c r="I28" s="2" t="s">
        <v>335</v>
      </c>
      <c r="J28" s="2" t="s">
        <v>173</v>
      </c>
      <c r="K28" s="2">
        <v>2</v>
      </c>
    </row>
    <row r="29" spans="1:11">
      <c r="A29" s="1" t="str">
        <f t="shared" si="0"/>
        <v>0x4198</v>
      </c>
      <c r="C29" s="1" t="str">
        <f t="shared" si="1"/>
        <v>0x419D</v>
      </c>
      <c r="E29" s="2">
        <f t="shared" si="3"/>
        <v>16792</v>
      </c>
      <c r="G29" s="2">
        <f t="shared" si="2"/>
        <v>16797</v>
      </c>
      <c r="H29" s="2" t="s">
        <v>361</v>
      </c>
      <c r="I29" s="2" t="s">
        <v>337</v>
      </c>
      <c r="J29" s="2" t="s">
        <v>173</v>
      </c>
      <c r="K29" s="2">
        <v>6</v>
      </c>
    </row>
    <row r="30" spans="1:11">
      <c r="A30" s="1" t="str">
        <f t="shared" si="0"/>
        <v>0x419E</v>
      </c>
      <c r="C30" s="1" t="str">
        <f t="shared" si="1"/>
        <v>0x419F</v>
      </c>
      <c r="E30" s="2">
        <f>K29+E29</f>
        <v>16798</v>
      </c>
      <c r="G30" s="2">
        <f t="shared" si="2"/>
        <v>16799</v>
      </c>
      <c r="H30" s="2" t="s">
        <v>362</v>
      </c>
      <c r="I30" s="2" t="s">
        <v>335</v>
      </c>
      <c r="J30" s="2" t="s">
        <v>173</v>
      </c>
      <c r="K30" s="2">
        <v>2</v>
      </c>
    </row>
    <row r="31" spans="1:11">
      <c r="A31" s="1" t="str">
        <f t="shared" si="0"/>
        <v>0x41A0</v>
      </c>
      <c r="C31" s="1" t="str">
        <f t="shared" si="1"/>
        <v>0x41A5</v>
      </c>
      <c r="E31" s="2">
        <f t="shared" si="3"/>
        <v>16800</v>
      </c>
      <c r="G31" s="2">
        <f t="shared" si="2"/>
        <v>16805</v>
      </c>
      <c r="H31" s="2" t="s">
        <v>363</v>
      </c>
      <c r="I31" s="2" t="s">
        <v>337</v>
      </c>
      <c r="J31" s="2" t="s">
        <v>173</v>
      </c>
      <c r="K31" s="2">
        <v>6</v>
      </c>
    </row>
    <row r="32" spans="1:11">
      <c r="A32" s="1" t="str">
        <f t="shared" si="0"/>
        <v>0x41A6</v>
      </c>
      <c r="C32" s="1" t="str">
        <f t="shared" si="1"/>
        <v>0x41A7</v>
      </c>
      <c r="E32" s="2">
        <f t="shared" si="3"/>
        <v>16806</v>
      </c>
      <c r="G32" s="2">
        <f t="shared" si="2"/>
        <v>16807</v>
      </c>
      <c r="H32" s="2" t="s">
        <v>364</v>
      </c>
      <c r="I32" s="2" t="s">
        <v>335</v>
      </c>
      <c r="J32" s="2" t="s">
        <v>173</v>
      </c>
      <c r="K32" s="2">
        <v>2</v>
      </c>
    </row>
    <row r="33" spans="1:16">
      <c r="A33" s="1" t="str">
        <f t="shared" si="0"/>
        <v>0x41A8</v>
      </c>
      <c r="C33" s="1" t="str">
        <f t="shared" si="1"/>
        <v>0x41AD</v>
      </c>
      <c r="E33" s="2">
        <f t="shared" si="3"/>
        <v>16808</v>
      </c>
      <c r="G33" s="2">
        <f t="shared" si="2"/>
        <v>16813</v>
      </c>
      <c r="H33" s="2" t="s">
        <v>365</v>
      </c>
      <c r="I33" s="2" t="s">
        <v>337</v>
      </c>
      <c r="J33" s="2" t="s">
        <v>173</v>
      </c>
      <c r="K33" s="2">
        <v>6</v>
      </c>
    </row>
    <row r="34" spans="1:16">
      <c r="A34" s="1" t="str">
        <f t="shared" si="0"/>
        <v>0x41AE</v>
      </c>
      <c r="C34" s="1" t="str">
        <f t="shared" si="1"/>
        <v>0x41AF</v>
      </c>
      <c r="E34" s="2">
        <f t="shared" si="3"/>
        <v>16814</v>
      </c>
      <c r="G34" s="2">
        <f t="shared" si="2"/>
        <v>16815</v>
      </c>
      <c r="H34" s="2" t="s">
        <v>366</v>
      </c>
      <c r="I34" s="2" t="s">
        <v>335</v>
      </c>
      <c r="J34" s="2" t="s">
        <v>173</v>
      </c>
      <c r="K34" s="2">
        <v>2</v>
      </c>
    </row>
    <row r="35" spans="1:16">
      <c r="A35" s="1" t="str">
        <f t="shared" si="0"/>
        <v>0x41B0</v>
      </c>
      <c r="C35" s="1" t="str">
        <f t="shared" si="1"/>
        <v>0x41B5</v>
      </c>
      <c r="E35" s="2">
        <f t="shared" si="3"/>
        <v>16816</v>
      </c>
      <c r="G35" s="2">
        <f t="shared" si="2"/>
        <v>16821</v>
      </c>
      <c r="H35" s="2" t="s">
        <v>367</v>
      </c>
      <c r="I35" s="2" t="s">
        <v>337</v>
      </c>
      <c r="J35" s="2" t="s">
        <v>173</v>
      </c>
      <c r="K35" s="2">
        <v>6</v>
      </c>
    </row>
    <row r="36" spans="1:16" ht="15.75">
      <c r="A36" s="1" t="str">
        <f t="shared" si="0"/>
        <v>0x41B6</v>
      </c>
      <c r="B36" s="65"/>
      <c r="C36" s="1" t="str">
        <f t="shared" si="1"/>
        <v>0x41B7</v>
      </c>
      <c r="D36" s="65"/>
      <c r="E36" s="65">
        <f>E35+K35</f>
        <v>16822</v>
      </c>
      <c r="F36" s="65"/>
      <c r="G36" s="65">
        <f>E36+K36-1</f>
        <v>16823</v>
      </c>
      <c r="H36" s="65" t="s">
        <v>368</v>
      </c>
      <c r="I36" s="65" t="s">
        <v>369</v>
      </c>
      <c r="J36" s="65" t="s">
        <v>173</v>
      </c>
      <c r="K36" s="65">
        <v>2</v>
      </c>
      <c r="L36" s="65"/>
      <c r="M36" s="65"/>
      <c r="N36" s="65"/>
      <c r="O36" s="65"/>
      <c r="P36" s="65"/>
    </row>
    <row r="37" spans="1:16" ht="15.75">
      <c r="A37" s="1" t="str">
        <f t="shared" si="0"/>
        <v>0x41B8</v>
      </c>
      <c r="B37" s="65"/>
      <c r="C37" s="1" t="str">
        <f t="shared" si="1"/>
        <v>0x41BD</v>
      </c>
      <c r="D37" s="65"/>
      <c r="E37" s="65">
        <f t="shared" ref="E37:E39" si="4">E36+K36</f>
        <v>16824</v>
      </c>
      <c r="F37" s="65"/>
      <c r="G37" s="65">
        <f t="shared" ref="G37:G39" si="5">E37+K37-1</f>
        <v>16829</v>
      </c>
      <c r="H37" s="65" t="s">
        <v>370</v>
      </c>
      <c r="I37" s="65" t="s">
        <v>337</v>
      </c>
      <c r="J37" s="65" t="s">
        <v>173</v>
      </c>
      <c r="K37" s="65">
        <v>6</v>
      </c>
      <c r="L37" s="65"/>
      <c r="M37" s="65"/>
      <c r="N37" s="65"/>
      <c r="O37" s="65"/>
      <c r="P37" s="65"/>
    </row>
    <row r="38" spans="1:16" ht="15.75">
      <c r="A38" s="1" t="str">
        <f t="shared" si="0"/>
        <v>0x41BE</v>
      </c>
      <c r="B38" s="65"/>
      <c r="C38" s="1" t="str">
        <f t="shared" si="1"/>
        <v>0x41BF</v>
      </c>
      <c r="D38" s="65"/>
      <c r="E38" s="65">
        <f t="shared" si="4"/>
        <v>16830</v>
      </c>
      <c r="F38" s="65"/>
      <c r="G38" s="65">
        <f t="shared" si="5"/>
        <v>16831</v>
      </c>
      <c r="H38" s="65" t="s">
        <v>371</v>
      </c>
      <c r="I38" s="65" t="s">
        <v>369</v>
      </c>
      <c r="J38" s="65" t="s">
        <v>173</v>
      </c>
      <c r="K38" s="65">
        <v>2</v>
      </c>
      <c r="L38" s="65"/>
      <c r="M38" s="65"/>
      <c r="N38" s="65"/>
      <c r="O38" s="65"/>
      <c r="P38" s="65"/>
    </row>
    <row r="39" spans="1:16" ht="15.75">
      <c r="A39" s="1" t="str">
        <f t="shared" si="0"/>
        <v>0x41C0</v>
      </c>
      <c r="B39" s="65"/>
      <c r="C39" s="1" t="str">
        <f t="shared" si="1"/>
        <v>0x41C5</v>
      </c>
      <c r="D39" s="65"/>
      <c r="E39" s="65">
        <f t="shared" si="4"/>
        <v>16832</v>
      </c>
      <c r="F39" s="65"/>
      <c r="G39" s="65">
        <f t="shared" si="5"/>
        <v>16837</v>
      </c>
      <c r="H39" s="65" t="s">
        <v>372</v>
      </c>
      <c r="I39" s="65" t="s">
        <v>337</v>
      </c>
      <c r="J39" s="65" t="s">
        <v>173</v>
      </c>
      <c r="K39" s="65">
        <v>6</v>
      </c>
      <c r="L39" s="65"/>
      <c r="M39" s="65"/>
      <c r="N39" s="65"/>
      <c r="O39" s="65"/>
      <c r="P39" s="65"/>
    </row>
    <row r="40" spans="1:16">
      <c r="A40" s="1"/>
      <c r="C40" s="1"/>
    </row>
    <row r="41" spans="1:16" s="6" customFormat="1">
      <c r="A41" s="41" t="s">
        <v>373</v>
      </c>
    </row>
    <row r="42" spans="1:16">
      <c r="A42" s="1" t="str">
        <f t="shared" ref="A42:A65" si="6">"0x"&amp;DEC2HEX(E42,4)</f>
        <v>0x41E5</v>
      </c>
      <c r="C42" s="1" t="str">
        <f>"0x"&amp;DEC2HEX(G42)</f>
        <v>0x41E6</v>
      </c>
      <c r="E42" s="2">
        <v>16869</v>
      </c>
      <c r="G42" s="2">
        <f>E42+K42-1</f>
        <v>16870</v>
      </c>
      <c r="H42" s="2" t="s">
        <v>374</v>
      </c>
      <c r="I42" s="2" t="s">
        <v>369</v>
      </c>
      <c r="J42" s="2" t="s">
        <v>173</v>
      </c>
      <c r="K42" s="2">
        <v>2</v>
      </c>
    </row>
    <row r="43" spans="1:16">
      <c r="A43" s="1" t="str">
        <f t="shared" si="6"/>
        <v>0x41E7</v>
      </c>
      <c r="C43" s="1" t="str">
        <f t="shared" ref="C43:C65" si="7">"0x"&amp;DEC2HEX(G43)</f>
        <v>0x41EC</v>
      </c>
      <c r="E43" s="2">
        <f>K42+E42</f>
        <v>16871</v>
      </c>
      <c r="G43" s="2">
        <f t="shared" ref="G43:G65" si="8">E43+K43-1</f>
        <v>16876</v>
      </c>
      <c r="H43" s="2" t="s">
        <v>375</v>
      </c>
      <c r="I43" s="2" t="s">
        <v>337</v>
      </c>
      <c r="J43" s="2" t="s">
        <v>173</v>
      </c>
      <c r="K43" s="2">
        <v>6</v>
      </c>
    </row>
    <row r="44" spans="1:16">
      <c r="A44" s="1" t="str">
        <f t="shared" si="6"/>
        <v>0x41ED</v>
      </c>
      <c r="C44" s="1" t="str">
        <f t="shared" si="7"/>
        <v>0x41EE</v>
      </c>
      <c r="E44" s="2">
        <f t="shared" ref="E44:E65" si="9">K43+E43</f>
        <v>16877</v>
      </c>
      <c r="G44" s="2">
        <f t="shared" si="8"/>
        <v>16878</v>
      </c>
      <c r="H44" s="2" t="s">
        <v>376</v>
      </c>
      <c r="I44" s="2" t="s">
        <v>369</v>
      </c>
      <c r="J44" s="2" t="s">
        <v>173</v>
      </c>
      <c r="K44" s="2">
        <v>2</v>
      </c>
    </row>
    <row r="45" spans="1:16">
      <c r="A45" s="1" t="str">
        <f t="shared" si="6"/>
        <v>0x41EF</v>
      </c>
      <c r="C45" s="1" t="str">
        <f t="shared" si="7"/>
        <v>0x41F4</v>
      </c>
      <c r="E45" s="2">
        <f t="shared" si="9"/>
        <v>16879</v>
      </c>
      <c r="G45" s="2">
        <f t="shared" si="8"/>
        <v>16884</v>
      </c>
      <c r="H45" s="2" t="s">
        <v>377</v>
      </c>
      <c r="I45" s="2" t="s">
        <v>337</v>
      </c>
      <c r="J45" s="2" t="s">
        <v>173</v>
      </c>
      <c r="K45" s="2">
        <v>6</v>
      </c>
    </row>
    <row r="46" spans="1:16">
      <c r="A46" s="1" t="str">
        <f t="shared" si="6"/>
        <v>0x41F5</v>
      </c>
      <c r="C46" s="1" t="str">
        <f t="shared" si="7"/>
        <v>0x41F6</v>
      </c>
      <c r="E46" s="2">
        <f t="shared" si="9"/>
        <v>16885</v>
      </c>
      <c r="G46" s="2">
        <f t="shared" si="8"/>
        <v>16886</v>
      </c>
      <c r="H46" s="2" t="s">
        <v>378</v>
      </c>
      <c r="I46" s="2" t="s">
        <v>369</v>
      </c>
      <c r="J46" s="2" t="s">
        <v>173</v>
      </c>
      <c r="K46" s="2">
        <v>2</v>
      </c>
    </row>
    <row r="47" spans="1:16">
      <c r="A47" s="1" t="str">
        <f t="shared" si="6"/>
        <v>0x41F7</v>
      </c>
      <c r="C47" s="1" t="str">
        <f t="shared" si="7"/>
        <v>0x41FC</v>
      </c>
      <c r="E47" s="2">
        <f t="shared" si="9"/>
        <v>16887</v>
      </c>
      <c r="G47" s="2">
        <f t="shared" si="8"/>
        <v>16892</v>
      </c>
      <c r="H47" s="2" t="s">
        <v>379</v>
      </c>
      <c r="I47" s="2" t="s">
        <v>337</v>
      </c>
      <c r="J47" s="2" t="s">
        <v>173</v>
      </c>
      <c r="K47" s="2">
        <v>6</v>
      </c>
    </row>
    <row r="48" spans="1:16">
      <c r="A48" s="1" t="str">
        <f t="shared" si="6"/>
        <v>0x41FD</v>
      </c>
      <c r="C48" s="1" t="str">
        <f t="shared" si="7"/>
        <v>0x41FE</v>
      </c>
      <c r="E48" s="2">
        <f t="shared" si="9"/>
        <v>16893</v>
      </c>
      <c r="G48" s="2">
        <f t="shared" si="8"/>
        <v>16894</v>
      </c>
      <c r="H48" s="2" t="s">
        <v>380</v>
      </c>
      <c r="I48" s="2" t="s">
        <v>369</v>
      </c>
      <c r="J48" s="2" t="s">
        <v>173</v>
      </c>
      <c r="K48" s="2">
        <v>2</v>
      </c>
    </row>
    <row r="49" spans="1:16">
      <c r="A49" s="1" t="str">
        <f t="shared" si="6"/>
        <v>0x41FF</v>
      </c>
      <c r="C49" s="1" t="str">
        <f t="shared" si="7"/>
        <v>0x4204</v>
      </c>
      <c r="E49" s="2">
        <f t="shared" si="9"/>
        <v>16895</v>
      </c>
      <c r="G49" s="2">
        <f t="shared" si="8"/>
        <v>16900</v>
      </c>
      <c r="H49" s="2" t="s">
        <v>381</v>
      </c>
      <c r="I49" s="2" t="s">
        <v>337</v>
      </c>
      <c r="J49" s="2" t="s">
        <v>173</v>
      </c>
      <c r="K49" s="2">
        <v>6</v>
      </c>
    </row>
    <row r="50" spans="1:16">
      <c r="A50" s="1" t="str">
        <f t="shared" si="6"/>
        <v>0x4205</v>
      </c>
      <c r="C50" s="1" t="str">
        <f t="shared" si="7"/>
        <v>0x4206</v>
      </c>
      <c r="E50" s="2">
        <f t="shared" si="9"/>
        <v>16901</v>
      </c>
      <c r="G50" s="2">
        <f t="shared" si="8"/>
        <v>16902</v>
      </c>
      <c r="H50" s="2" t="s">
        <v>382</v>
      </c>
      <c r="I50" s="2" t="s">
        <v>369</v>
      </c>
      <c r="J50" s="2" t="s">
        <v>173</v>
      </c>
      <c r="K50" s="2">
        <v>2</v>
      </c>
    </row>
    <row r="51" spans="1:16">
      <c r="A51" s="1" t="str">
        <f t="shared" si="6"/>
        <v>0x4207</v>
      </c>
      <c r="C51" s="1" t="str">
        <f t="shared" si="7"/>
        <v>0x420C</v>
      </c>
      <c r="E51" s="2">
        <f t="shared" si="9"/>
        <v>16903</v>
      </c>
      <c r="G51" s="2">
        <f t="shared" si="8"/>
        <v>16908</v>
      </c>
      <c r="H51" s="2" t="s">
        <v>383</v>
      </c>
      <c r="I51" s="2" t="s">
        <v>337</v>
      </c>
      <c r="J51" s="2" t="s">
        <v>173</v>
      </c>
      <c r="K51" s="2">
        <v>6</v>
      </c>
    </row>
    <row r="52" spans="1:16">
      <c r="A52" s="1" t="str">
        <f t="shared" si="6"/>
        <v>0x420D</v>
      </c>
      <c r="C52" s="1" t="str">
        <f t="shared" si="7"/>
        <v>0x420E</v>
      </c>
      <c r="E52" s="2">
        <f t="shared" si="9"/>
        <v>16909</v>
      </c>
      <c r="G52" s="2">
        <f t="shared" si="8"/>
        <v>16910</v>
      </c>
      <c r="H52" s="2" t="s">
        <v>384</v>
      </c>
      <c r="I52" s="2" t="s">
        <v>369</v>
      </c>
      <c r="J52" s="2" t="s">
        <v>173</v>
      </c>
      <c r="K52" s="2">
        <v>2</v>
      </c>
    </row>
    <row r="53" spans="1:16">
      <c r="A53" s="1" t="str">
        <f t="shared" si="6"/>
        <v>0x420F</v>
      </c>
      <c r="C53" s="1" t="str">
        <f t="shared" si="7"/>
        <v>0x4214</v>
      </c>
      <c r="E53" s="2">
        <f t="shared" si="9"/>
        <v>16911</v>
      </c>
      <c r="G53" s="2">
        <f t="shared" si="8"/>
        <v>16916</v>
      </c>
      <c r="H53" s="2" t="s">
        <v>385</v>
      </c>
      <c r="I53" s="2" t="s">
        <v>337</v>
      </c>
      <c r="J53" s="2" t="s">
        <v>173</v>
      </c>
      <c r="K53" s="2">
        <v>6</v>
      </c>
    </row>
    <row r="54" spans="1:16">
      <c r="A54" s="1" t="str">
        <f t="shared" si="6"/>
        <v>0x4215</v>
      </c>
      <c r="C54" s="1" t="str">
        <f t="shared" si="7"/>
        <v>0x4216</v>
      </c>
      <c r="E54" s="2">
        <f t="shared" si="9"/>
        <v>16917</v>
      </c>
      <c r="G54" s="2">
        <f t="shared" si="8"/>
        <v>16918</v>
      </c>
      <c r="H54" s="2" t="s">
        <v>386</v>
      </c>
      <c r="I54" s="2" t="s">
        <v>369</v>
      </c>
      <c r="J54" s="2" t="s">
        <v>173</v>
      </c>
      <c r="K54" s="2">
        <v>2</v>
      </c>
    </row>
    <row r="55" spans="1:16">
      <c r="A55" s="1" t="str">
        <f t="shared" si="6"/>
        <v>0x4217</v>
      </c>
      <c r="C55" s="1" t="str">
        <f t="shared" si="7"/>
        <v>0x421C</v>
      </c>
      <c r="E55" s="2">
        <f t="shared" si="9"/>
        <v>16919</v>
      </c>
      <c r="G55" s="2">
        <f t="shared" si="8"/>
        <v>16924</v>
      </c>
      <c r="H55" s="2" t="s">
        <v>387</v>
      </c>
      <c r="I55" s="2" t="s">
        <v>337</v>
      </c>
      <c r="J55" s="2" t="s">
        <v>173</v>
      </c>
      <c r="K55" s="2">
        <v>6</v>
      </c>
    </row>
    <row r="56" spans="1:16">
      <c r="A56" s="1" t="str">
        <f t="shared" si="6"/>
        <v>0x421D</v>
      </c>
      <c r="C56" s="1" t="str">
        <f t="shared" si="7"/>
        <v>0x421E</v>
      </c>
      <c r="E56" s="2">
        <f t="shared" si="9"/>
        <v>16925</v>
      </c>
      <c r="G56" s="2">
        <f t="shared" si="8"/>
        <v>16926</v>
      </c>
      <c r="H56" s="2" t="s">
        <v>388</v>
      </c>
      <c r="I56" s="2" t="s">
        <v>369</v>
      </c>
      <c r="J56" s="2" t="s">
        <v>173</v>
      </c>
      <c r="K56" s="2">
        <v>2</v>
      </c>
    </row>
    <row r="57" spans="1:16">
      <c r="A57" s="1" t="str">
        <f t="shared" si="6"/>
        <v>0x421F</v>
      </c>
      <c r="C57" s="1" t="str">
        <f t="shared" si="7"/>
        <v>0x4224</v>
      </c>
      <c r="E57" s="2">
        <f t="shared" si="9"/>
        <v>16927</v>
      </c>
      <c r="G57" s="2">
        <f t="shared" si="8"/>
        <v>16932</v>
      </c>
      <c r="H57" s="2" t="s">
        <v>389</v>
      </c>
      <c r="I57" s="2" t="s">
        <v>337</v>
      </c>
      <c r="J57" s="2" t="s">
        <v>173</v>
      </c>
      <c r="K57" s="2">
        <v>6</v>
      </c>
    </row>
    <row r="58" spans="1:16">
      <c r="A58" s="1" t="str">
        <f t="shared" si="6"/>
        <v>0x4225</v>
      </c>
      <c r="C58" s="1" t="str">
        <f t="shared" si="7"/>
        <v>0x4226</v>
      </c>
      <c r="E58" s="2">
        <f t="shared" si="9"/>
        <v>16933</v>
      </c>
      <c r="G58" s="2">
        <f t="shared" si="8"/>
        <v>16934</v>
      </c>
      <c r="H58" s="2" t="s">
        <v>390</v>
      </c>
      <c r="I58" s="2" t="s">
        <v>369</v>
      </c>
      <c r="J58" s="2" t="s">
        <v>173</v>
      </c>
      <c r="K58" s="2">
        <v>2</v>
      </c>
    </row>
    <row r="59" spans="1:16">
      <c r="A59" s="1" t="str">
        <f t="shared" si="6"/>
        <v>0x4227</v>
      </c>
      <c r="C59" s="1" t="str">
        <f t="shared" si="7"/>
        <v>0x422C</v>
      </c>
      <c r="E59" s="2">
        <f t="shared" si="9"/>
        <v>16935</v>
      </c>
      <c r="G59" s="2">
        <f t="shared" si="8"/>
        <v>16940</v>
      </c>
      <c r="H59" s="2" t="s">
        <v>391</v>
      </c>
      <c r="I59" s="2" t="s">
        <v>337</v>
      </c>
      <c r="J59" s="2" t="s">
        <v>173</v>
      </c>
      <c r="K59" s="2">
        <v>6</v>
      </c>
    </row>
    <row r="60" spans="1:16">
      <c r="A60" s="1" t="str">
        <f t="shared" si="6"/>
        <v>0x422D</v>
      </c>
      <c r="C60" s="1" t="str">
        <f t="shared" si="7"/>
        <v>0x422E</v>
      </c>
      <c r="E60" s="2">
        <f t="shared" si="9"/>
        <v>16941</v>
      </c>
      <c r="G60" s="2">
        <f t="shared" si="8"/>
        <v>16942</v>
      </c>
      <c r="H60" s="2" t="s">
        <v>392</v>
      </c>
      <c r="I60" s="2" t="s">
        <v>369</v>
      </c>
      <c r="J60" s="2" t="s">
        <v>173</v>
      </c>
      <c r="K60" s="2">
        <v>2</v>
      </c>
    </row>
    <row r="61" spans="1:16">
      <c r="A61" s="1" t="str">
        <f t="shared" si="6"/>
        <v>0x422F</v>
      </c>
      <c r="C61" s="1" t="str">
        <f t="shared" si="7"/>
        <v>0x4234</v>
      </c>
      <c r="E61" s="2">
        <f t="shared" si="9"/>
        <v>16943</v>
      </c>
      <c r="G61" s="2">
        <f t="shared" si="8"/>
        <v>16948</v>
      </c>
      <c r="H61" s="2" t="s">
        <v>393</v>
      </c>
      <c r="I61" s="2" t="s">
        <v>337</v>
      </c>
      <c r="J61" s="2" t="s">
        <v>173</v>
      </c>
      <c r="K61" s="2">
        <v>6</v>
      </c>
    </row>
    <row r="62" spans="1:16" ht="15.75">
      <c r="A62" s="1" t="str">
        <f t="shared" si="6"/>
        <v>0x4235</v>
      </c>
      <c r="B62" s="65"/>
      <c r="C62" s="1" t="str">
        <f t="shared" si="7"/>
        <v>0x4236</v>
      </c>
      <c r="D62" s="65"/>
      <c r="E62" s="2">
        <f t="shared" si="9"/>
        <v>16949</v>
      </c>
      <c r="F62" s="65"/>
      <c r="G62" s="2">
        <f t="shared" si="8"/>
        <v>16950</v>
      </c>
      <c r="H62" s="65" t="s">
        <v>394</v>
      </c>
      <c r="I62" s="65" t="s">
        <v>369</v>
      </c>
      <c r="J62" s="65" t="s">
        <v>173</v>
      </c>
      <c r="K62" s="65">
        <v>2</v>
      </c>
      <c r="L62" s="65"/>
      <c r="M62" s="65"/>
      <c r="N62" s="65"/>
      <c r="O62" s="65"/>
      <c r="P62" s="65"/>
    </row>
    <row r="63" spans="1:16" ht="15.75">
      <c r="A63" s="1" t="str">
        <f t="shared" si="6"/>
        <v>0x4237</v>
      </c>
      <c r="B63" s="65"/>
      <c r="C63" s="1" t="str">
        <f t="shared" si="7"/>
        <v>0x423C</v>
      </c>
      <c r="D63" s="65"/>
      <c r="E63" s="2">
        <f t="shared" si="9"/>
        <v>16951</v>
      </c>
      <c r="F63" s="65"/>
      <c r="G63" s="2">
        <f t="shared" si="8"/>
        <v>16956</v>
      </c>
      <c r="H63" s="65" t="s">
        <v>395</v>
      </c>
      <c r="I63" s="65" t="s">
        <v>337</v>
      </c>
      <c r="J63" s="65" t="s">
        <v>173</v>
      </c>
      <c r="K63" s="65">
        <v>6</v>
      </c>
      <c r="L63" s="65"/>
      <c r="M63" s="65"/>
      <c r="N63" s="65"/>
      <c r="O63" s="65"/>
      <c r="P63" s="65"/>
    </row>
    <row r="64" spans="1:16" ht="15.75">
      <c r="A64" s="1" t="str">
        <f t="shared" si="6"/>
        <v>0x423D</v>
      </c>
      <c r="B64" s="65"/>
      <c r="C64" s="1" t="str">
        <f t="shared" si="7"/>
        <v>0x423E</v>
      </c>
      <c r="D64" s="65"/>
      <c r="E64" s="2">
        <f t="shared" si="9"/>
        <v>16957</v>
      </c>
      <c r="F64" s="65"/>
      <c r="G64" s="2">
        <f t="shared" si="8"/>
        <v>16958</v>
      </c>
      <c r="H64" s="65" t="s">
        <v>396</v>
      </c>
      <c r="I64" s="65" t="s">
        <v>369</v>
      </c>
      <c r="J64" s="65" t="s">
        <v>173</v>
      </c>
      <c r="K64" s="65">
        <v>2</v>
      </c>
      <c r="L64" s="65"/>
      <c r="M64" s="65"/>
      <c r="N64" s="65"/>
      <c r="O64" s="65"/>
      <c r="P64" s="65"/>
    </row>
    <row r="65" spans="1:16" ht="15.75">
      <c r="A65" s="1" t="str">
        <f t="shared" si="6"/>
        <v>0x423F</v>
      </c>
      <c r="B65" s="65"/>
      <c r="C65" s="1" t="str">
        <f t="shared" si="7"/>
        <v>0x4244</v>
      </c>
      <c r="D65" s="65"/>
      <c r="E65" s="2">
        <f t="shared" si="9"/>
        <v>16959</v>
      </c>
      <c r="F65" s="65"/>
      <c r="G65" s="2">
        <f t="shared" si="8"/>
        <v>16964</v>
      </c>
      <c r="H65" s="65" t="s">
        <v>397</v>
      </c>
      <c r="I65" s="65" t="s">
        <v>337</v>
      </c>
      <c r="J65" s="65" t="s">
        <v>173</v>
      </c>
      <c r="K65" s="65">
        <v>6</v>
      </c>
      <c r="L65" s="65"/>
      <c r="M65" s="65"/>
      <c r="N65" s="65"/>
      <c r="O65" s="65"/>
      <c r="P65" s="6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6"/>
  <sheetViews>
    <sheetView zoomScaleNormal="100" workbookViewId="0">
      <pane ySplit="1" topLeftCell="A16" activePane="bottomLeft" state="frozen"/>
      <selection pane="bottomLeft" activeCell="A18" sqref="A18"/>
    </sheetView>
  </sheetViews>
  <sheetFormatPr defaultColWidth="9" defaultRowHeight="15.75" customHeight="1"/>
  <cols>
    <col min="1" max="1" width="28" style="2" bestFit="1" customWidth="1"/>
    <col min="2" max="7" width="9" style="2"/>
    <col min="8" max="8" width="33.75" style="2" customWidth="1"/>
    <col min="9" max="9" width="13.875" style="2" customWidth="1"/>
    <col min="10" max="11" width="9" style="2"/>
    <col min="12" max="12" width="16.25" style="2" customWidth="1"/>
    <col min="13" max="13" width="17.375" style="2" customWidth="1"/>
    <col min="14" max="14" width="19" style="2" customWidth="1"/>
    <col min="15" max="16384" width="9" style="2"/>
  </cols>
  <sheetData>
    <row r="1" spans="1:16" s="17" customFormat="1">
      <c r="A1" s="16" t="s">
        <v>95</v>
      </c>
      <c r="B1" s="16"/>
      <c r="C1" s="16" t="s">
        <v>96</v>
      </c>
      <c r="D1" s="16"/>
      <c r="E1" s="16" t="s">
        <v>97</v>
      </c>
      <c r="F1" s="16"/>
      <c r="G1" s="16" t="s">
        <v>98</v>
      </c>
      <c r="H1" s="28" t="s">
        <v>99</v>
      </c>
      <c r="I1" s="16" t="s">
        <v>100</v>
      </c>
      <c r="J1" s="16" t="s">
        <v>101</v>
      </c>
      <c r="K1" s="28" t="s">
        <v>102</v>
      </c>
      <c r="L1" s="28" t="s">
        <v>103</v>
      </c>
      <c r="M1" s="16" t="s">
        <v>104</v>
      </c>
      <c r="N1" s="16" t="s">
        <v>105</v>
      </c>
      <c r="O1" s="16"/>
      <c r="P1" s="16"/>
    </row>
    <row r="2" spans="1:16">
      <c r="A2" s="68" t="s">
        <v>398</v>
      </c>
    </row>
    <row r="3" spans="1:16">
      <c r="A3" s="1" t="str">
        <f>"0x"&amp;DEC2HEX(E3,4)</f>
        <v>0x3000</v>
      </c>
      <c r="C3" s="1" t="str">
        <f>"0x"&amp;DEC2HEX(G3,4)</f>
        <v>0x3001</v>
      </c>
      <c r="E3" s="2">
        <v>12288</v>
      </c>
      <c r="G3" s="2">
        <f>E3+K3-1</f>
        <v>12289</v>
      </c>
      <c r="H3" s="2" t="s">
        <v>399</v>
      </c>
      <c r="I3" s="2" t="s">
        <v>400</v>
      </c>
      <c r="J3" s="2" t="s">
        <v>173</v>
      </c>
      <c r="K3" s="2">
        <v>2</v>
      </c>
    </row>
    <row r="4" spans="1:16">
      <c r="A4" s="1" t="str">
        <f t="shared" ref="A4:A15" si="0">"0x"&amp;DEC2HEX(E4,4)</f>
        <v>0x3002</v>
      </c>
      <c r="C4" s="1" t="str">
        <f t="shared" ref="C4:C15" si="1">"0x"&amp;DEC2HEX(G4,4)</f>
        <v>0x3003</v>
      </c>
      <c r="E4" s="2">
        <f>E3+K3</f>
        <v>12290</v>
      </c>
      <c r="G4" s="2">
        <f>E4+K4-1</f>
        <v>12291</v>
      </c>
      <c r="H4" s="2" t="s">
        <v>401</v>
      </c>
      <c r="I4" s="2" t="s">
        <v>400</v>
      </c>
      <c r="J4" s="2" t="s">
        <v>173</v>
      </c>
      <c r="K4" s="2">
        <v>2</v>
      </c>
    </row>
    <row r="5" spans="1:16">
      <c r="A5" s="1" t="str">
        <f t="shared" si="0"/>
        <v>0x3004</v>
      </c>
      <c r="C5" s="1" t="str">
        <f t="shared" si="1"/>
        <v>0x3005</v>
      </c>
      <c r="E5" s="2">
        <f t="shared" ref="E5:E15" si="2">E4+K4</f>
        <v>12292</v>
      </c>
      <c r="G5" s="2">
        <f t="shared" ref="G5:G15" si="3">E5+K5-1</f>
        <v>12293</v>
      </c>
      <c r="H5" s="2" t="s">
        <v>402</v>
      </c>
      <c r="I5" s="2" t="s">
        <v>400</v>
      </c>
      <c r="J5" s="2" t="s">
        <v>173</v>
      </c>
      <c r="K5" s="2">
        <v>2</v>
      </c>
    </row>
    <row r="6" spans="1:16">
      <c r="A6" s="1" t="str">
        <f t="shared" si="0"/>
        <v>0x3006</v>
      </c>
      <c r="C6" s="1" t="str">
        <f t="shared" si="1"/>
        <v>0x3007</v>
      </c>
      <c r="E6" s="2">
        <f t="shared" si="2"/>
        <v>12294</v>
      </c>
      <c r="G6" s="2">
        <f t="shared" si="3"/>
        <v>12295</v>
      </c>
      <c r="H6" s="2" t="s">
        <v>403</v>
      </c>
      <c r="I6" s="2" t="s">
        <v>400</v>
      </c>
      <c r="J6" s="2" t="s">
        <v>173</v>
      </c>
      <c r="K6" s="2">
        <v>2</v>
      </c>
    </row>
    <row r="7" spans="1:16">
      <c r="A7" s="1" t="str">
        <f t="shared" si="0"/>
        <v>0x3008</v>
      </c>
      <c r="C7" s="1" t="str">
        <f t="shared" si="1"/>
        <v>0x3009</v>
      </c>
      <c r="E7" s="2">
        <f t="shared" si="2"/>
        <v>12296</v>
      </c>
      <c r="G7" s="2">
        <f t="shared" si="3"/>
        <v>12297</v>
      </c>
      <c r="H7" s="2" t="s">
        <v>404</v>
      </c>
      <c r="I7" s="2" t="s">
        <v>400</v>
      </c>
      <c r="J7" s="2" t="s">
        <v>173</v>
      </c>
      <c r="K7" s="2">
        <v>2</v>
      </c>
    </row>
    <row r="8" spans="1:16">
      <c r="A8" s="1" t="str">
        <f t="shared" si="0"/>
        <v>0x300A</v>
      </c>
      <c r="C8" s="1" t="str">
        <f t="shared" si="1"/>
        <v>0x300B</v>
      </c>
      <c r="E8" s="2">
        <f t="shared" si="2"/>
        <v>12298</v>
      </c>
      <c r="G8" s="2">
        <f t="shared" si="3"/>
        <v>12299</v>
      </c>
      <c r="H8" s="2" t="s">
        <v>405</v>
      </c>
      <c r="I8" s="2" t="s">
        <v>400</v>
      </c>
      <c r="J8" s="2" t="s">
        <v>173</v>
      </c>
      <c r="K8" s="2">
        <v>2</v>
      </c>
    </row>
    <row r="9" spans="1:16">
      <c r="A9" s="1" t="str">
        <f t="shared" si="0"/>
        <v>0x300C</v>
      </c>
      <c r="C9" s="1" t="str">
        <f t="shared" si="1"/>
        <v>0x300D</v>
      </c>
      <c r="E9" s="2">
        <f t="shared" si="2"/>
        <v>12300</v>
      </c>
      <c r="G9" s="2">
        <f t="shared" si="3"/>
        <v>12301</v>
      </c>
      <c r="H9" s="2" t="s">
        <v>406</v>
      </c>
      <c r="I9" s="2" t="s">
        <v>400</v>
      </c>
      <c r="J9" s="2" t="s">
        <v>173</v>
      </c>
      <c r="K9" s="2">
        <v>2</v>
      </c>
    </row>
    <row r="10" spans="1:16">
      <c r="A10" s="1" t="str">
        <f t="shared" si="0"/>
        <v>0x300E</v>
      </c>
      <c r="C10" s="1" t="str">
        <f t="shared" si="1"/>
        <v>0x300F</v>
      </c>
      <c r="E10" s="2">
        <f t="shared" si="2"/>
        <v>12302</v>
      </c>
      <c r="G10" s="2">
        <f t="shared" si="3"/>
        <v>12303</v>
      </c>
      <c r="H10" s="2" t="s">
        <v>407</v>
      </c>
      <c r="I10" s="2" t="s">
        <v>400</v>
      </c>
      <c r="J10" s="2" t="s">
        <v>173</v>
      </c>
      <c r="K10" s="2">
        <v>2</v>
      </c>
    </row>
    <row r="11" spans="1:16">
      <c r="A11" s="1" t="str">
        <f t="shared" si="0"/>
        <v>0x3010</v>
      </c>
      <c r="C11" s="1" t="str">
        <f t="shared" si="1"/>
        <v>0x3011</v>
      </c>
      <c r="E11" s="2">
        <f t="shared" si="2"/>
        <v>12304</v>
      </c>
      <c r="G11" s="2">
        <f t="shared" si="3"/>
        <v>12305</v>
      </c>
      <c r="H11" s="2" t="s">
        <v>408</v>
      </c>
      <c r="I11" s="2" t="s">
        <v>400</v>
      </c>
      <c r="J11" s="2" t="s">
        <v>173</v>
      </c>
      <c r="K11" s="2">
        <v>2</v>
      </c>
    </row>
    <row r="12" spans="1:16">
      <c r="A12" s="1" t="str">
        <f t="shared" si="0"/>
        <v>0x3012</v>
      </c>
      <c r="C12" s="1" t="str">
        <f t="shared" si="1"/>
        <v>0x3013</v>
      </c>
      <c r="E12" s="2">
        <f t="shared" si="2"/>
        <v>12306</v>
      </c>
      <c r="G12" s="2">
        <f t="shared" si="3"/>
        <v>12307</v>
      </c>
      <c r="H12" s="2" t="s">
        <v>409</v>
      </c>
      <c r="I12" s="2" t="s">
        <v>400</v>
      </c>
      <c r="J12" s="2" t="s">
        <v>173</v>
      </c>
      <c r="K12" s="2">
        <v>2</v>
      </c>
    </row>
    <row r="13" spans="1:16">
      <c r="A13" s="1" t="str">
        <f t="shared" si="0"/>
        <v>0x3014</v>
      </c>
      <c r="C13" s="1" t="str">
        <f t="shared" si="1"/>
        <v>0x3015</v>
      </c>
      <c r="E13" s="2">
        <f>E12+K12</f>
        <v>12308</v>
      </c>
      <c r="G13" s="2">
        <f t="shared" si="3"/>
        <v>12309</v>
      </c>
      <c r="H13" s="2" t="s">
        <v>410</v>
      </c>
      <c r="I13" s="2" t="s">
        <v>400</v>
      </c>
      <c r="J13" s="2" t="s">
        <v>173</v>
      </c>
      <c r="K13" s="2">
        <v>2</v>
      </c>
    </row>
    <row r="14" spans="1:16">
      <c r="A14" s="1" t="str">
        <f t="shared" si="0"/>
        <v>0x3016</v>
      </c>
      <c r="C14" s="1" t="str">
        <f t="shared" si="1"/>
        <v>0x3017</v>
      </c>
      <c r="E14" s="2">
        <f t="shared" si="2"/>
        <v>12310</v>
      </c>
      <c r="G14" s="2">
        <f t="shared" si="3"/>
        <v>12311</v>
      </c>
      <c r="H14" s="2" t="s">
        <v>411</v>
      </c>
      <c r="I14" s="2" t="s">
        <v>400</v>
      </c>
      <c r="J14" s="2" t="s">
        <v>173</v>
      </c>
      <c r="K14" s="2">
        <v>2</v>
      </c>
    </row>
    <row r="15" spans="1:16">
      <c r="A15" s="1" t="str">
        <f t="shared" si="0"/>
        <v>0x3018</v>
      </c>
      <c r="C15" s="1" t="str">
        <f t="shared" si="1"/>
        <v>0x3019</v>
      </c>
      <c r="E15" s="2">
        <f t="shared" si="2"/>
        <v>12312</v>
      </c>
      <c r="G15" s="2">
        <f t="shared" si="3"/>
        <v>12313</v>
      </c>
      <c r="H15" s="2" t="s">
        <v>412</v>
      </c>
      <c r="I15" s="2" t="s">
        <v>400</v>
      </c>
      <c r="J15" s="2" t="s">
        <v>173</v>
      </c>
      <c r="K15" s="2">
        <v>2</v>
      </c>
    </row>
    <row r="16" spans="1:16">
      <c r="A16" s="1" t="str">
        <f t="shared" ref="A16:A18" si="4">"0x"&amp;DEC2HEX(E16,4)</f>
        <v>0x301A</v>
      </c>
      <c r="C16" s="1" t="str">
        <f t="shared" ref="C16:C18" si="5">"0x"&amp;DEC2HEX(G16,4)</f>
        <v>0x301B</v>
      </c>
      <c r="E16" s="2">
        <f t="shared" ref="E16:E18" si="6">E15+K15</f>
        <v>12314</v>
      </c>
      <c r="G16" s="2">
        <f t="shared" ref="G16:G18" si="7">E16+K16-1</f>
        <v>12315</v>
      </c>
      <c r="H16" s="2" t="s">
        <v>413</v>
      </c>
      <c r="I16" s="2" t="s">
        <v>400</v>
      </c>
      <c r="J16" s="2" t="s">
        <v>173</v>
      </c>
      <c r="K16" s="2">
        <v>2</v>
      </c>
    </row>
    <row r="17" spans="1:11">
      <c r="A17" s="1" t="str">
        <f t="shared" si="4"/>
        <v>0x301C</v>
      </c>
      <c r="C17" s="1" t="str">
        <f t="shared" si="5"/>
        <v>0x301D</v>
      </c>
      <c r="E17" s="2">
        <f t="shared" si="6"/>
        <v>12316</v>
      </c>
      <c r="G17" s="2">
        <f t="shared" si="7"/>
        <v>12317</v>
      </c>
      <c r="H17" s="2" t="s">
        <v>414</v>
      </c>
      <c r="I17" s="2" t="s">
        <v>400</v>
      </c>
      <c r="J17" s="2" t="s">
        <v>173</v>
      </c>
      <c r="K17" s="2">
        <v>2</v>
      </c>
    </row>
    <row r="18" spans="1:11">
      <c r="A18" s="1" t="str">
        <f t="shared" si="4"/>
        <v>0x301E</v>
      </c>
      <c r="C18" s="1" t="str">
        <f t="shared" si="5"/>
        <v>0x301F</v>
      </c>
      <c r="E18" s="2">
        <f t="shared" si="6"/>
        <v>12318</v>
      </c>
      <c r="G18" s="2">
        <f t="shared" si="7"/>
        <v>12319</v>
      </c>
      <c r="H18" s="2" t="s">
        <v>415</v>
      </c>
      <c r="I18" s="2" t="s">
        <v>400</v>
      </c>
      <c r="J18" s="2" t="s">
        <v>173</v>
      </c>
      <c r="K18" s="2">
        <v>2</v>
      </c>
    </row>
    <row r="19" spans="1:11">
      <c r="A19" s="1" t="str">
        <f t="shared" ref="A19:A20" si="8">"0x"&amp;DEC2HEX(E19,4)</f>
        <v>0x3020</v>
      </c>
      <c r="C19" s="1" t="str">
        <f t="shared" ref="C19:C20" si="9">"0x"&amp;DEC2HEX(G19,4)</f>
        <v>0x3021</v>
      </c>
      <c r="E19" s="2">
        <f t="shared" ref="E19:E20" si="10">E18+K18</f>
        <v>12320</v>
      </c>
      <c r="G19" s="2">
        <f t="shared" ref="G19:G20" si="11">E19+K19-1</f>
        <v>12321</v>
      </c>
      <c r="H19" s="2" t="s">
        <v>416</v>
      </c>
      <c r="I19" s="2" t="s">
        <v>400</v>
      </c>
      <c r="J19" s="2" t="s">
        <v>173</v>
      </c>
      <c r="K19" s="2">
        <v>2</v>
      </c>
    </row>
    <row r="20" spans="1:11">
      <c r="A20" s="1" t="str">
        <f t="shared" si="8"/>
        <v>0x3022</v>
      </c>
      <c r="C20" s="1" t="str">
        <f t="shared" si="9"/>
        <v>0x3023</v>
      </c>
      <c r="E20" s="2">
        <f t="shared" si="10"/>
        <v>12322</v>
      </c>
      <c r="G20" s="2">
        <f t="shared" si="11"/>
        <v>12323</v>
      </c>
      <c r="H20" s="2" t="s">
        <v>417</v>
      </c>
      <c r="I20" s="2" t="s">
        <v>400</v>
      </c>
      <c r="J20" s="2" t="s">
        <v>173</v>
      </c>
      <c r="K20" s="2">
        <v>2</v>
      </c>
    </row>
    <row r="21" spans="1:11" ht="14.25">
      <c r="A21" s="1"/>
      <c r="C21" s="1"/>
    </row>
    <row r="22" spans="1:11" ht="34.5" customHeight="1">
      <c r="A22" s="42" t="s">
        <v>418</v>
      </c>
    </row>
    <row r="23" spans="1:11" ht="14.25">
      <c r="A23" s="1" t="str">
        <f>"0x"&amp;DEC2HEX(E23,4)</f>
        <v>0x3100</v>
      </c>
      <c r="C23" s="1" t="str">
        <f>"0x"&amp;DEC2HEX(G23,4)</f>
        <v>0x3101</v>
      </c>
      <c r="E23" s="2">
        <v>12544</v>
      </c>
      <c r="G23" s="2">
        <f>E23+K23-1</f>
        <v>12545</v>
      </c>
      <c r="H23" s="2" t="s">
        <v>399</v>
      </c>
      <c r="I23" s="2" t="s">
        <v>400</v>
      </c>
      <c r="J23" s="2" t="s">
        <v>173</v>
      </c>
      <c r="K23" s="2">
        <v>2</v>
      </c>
    </row>
    <row r="24" spans="1:11" ht="14.25">
      <c r="A24" s="1" t="str">
        <f t="shared" ref="A24:A40" si="12">"0x"&amp;DEC2HEX(E24,4)</f>
        <v>0x3102</v>
      </c>
      <c r="C24" s="1" t="str">
        <f t="shared" ref="C24:C40" si="13">"0x"&amp;DEC2HEX(G24,4)</f>
        <v>0x3103</v>
      </c>
      <c r="E24" s="2">
        <f>E23+K23</f>
        <v>12546</v>
      </c>
      <c r="G24" s="2">
        <f>E24+K24-1</f>
        <v>12547</v>
      </c>
      <c r="H24" s="2" t="s">
        <v>401</v>
      </c>
      <c r="I24" s="2" t="s">
        <v>400</v>
      </c>
      <c r="J24" s="2" t="s">
        <v>173</v>
      </c>
      <c r="K24" s="2">
        <v>2</v>
      </c>
    </row>
    <row r="25" spans="1:11">
      <c r="A25" s="1" t="str">
        <f t="shared" si="12"/>
        <v>0x3104</v>
      </c>
      <c r="C25" s="1" t="str">
        <f t="shared" si="13"/>
        <v>0x3105</v>
      </c>
      <c r="E25" s="2">
        <f t="shared" ref="E25:E32" si="14">E24+K24</f>
        <v>12548</v>
      </c>
      <c r="G25" s="2">
        <f t="shared" ref="G25:G40" si="15">E25+K25-1</f>
        <v>12549</v>
      </c>
      <c r="H25" s="2" t="s">
        <v>402</v>
      </c>
      <c r="I25" s="2" t="s">
        <v>400</v>
      </c>
      <c r="J25" s="2" t="s">
        <v>173</v>
      </c>
      <c r="K25" s="2">
        <v>2</v>
      </c>
    </row>
    <row r="26" spans="1:11">
      <c r="A26" s="1" t="str">
        <f t="shared" si="12"/>
        <v>0x3106</v>
      </c>
      <c r="C26" s="1" t="str">
        <f t="shared" si="13"/>
        <v>0x3107</v>
      </c>
      <c r="E26" s="2">
        <f t="shared" si="14"/>
        <v>12550</v>
      </c>
      <c r="G26" s="2">
        <f t="shared" si="15"/>
        <v>12551</v>
      </c>
      <c r="H26" s="2" t="s">
        <v>403</v>
      </c>
      <c r="I26" s="2" t="s">
        <v>400</v>
      </c>
      <c r="J26" s="2" t="s">
        <v>173</v>
      </c>
      <c r="K26" s="2">
        <v>2</v>
      </c>
    </row>
    <row r="27" spans="1:11">
      <c r="A27" s="1" t="str">
        <f t="shared" si="12"/>
        <v>0x3108</v>
      </c>
      <c r="C27" s="1" t="str">
        <f t="shared" si="13"/>
        <v>0x3109</v>
      </c>
      <c r="E27" s="2">
        <f t="shared" si="14"/>
        <v>12552</v>
      </c>
      <c r="G27" s="2">
        <f t="shared" si="15"/>
        <v>12553</v>
      </c>
      <c r="H27" s="2" t="s">
        <v>404</v>
      </c>
      <c r="I27" s="2" t="s">
        <v>400</v>
      </c>
      <c r="J27" s="2" t="s">
        <v>173</v>
      </c>
      <c r="K27" s="2">
        <v>2</v>
      </c>
    </row>
    <row r="28" spans="1:11">
      <c r="A28" s="1" t="str">
        <f t="shared" si="12"/>
        <v>0x310A</v>
      </c>
      <c r="C28" s="1" t="str">
        <f t="shared" si="13"/>
        <v>0x310B</v>
      </c>
      <c r="E28" s="2">
        <f t="shared" si="14"/>
        <v>12554</v>
      </c>
      <c r="G28" s="2">
        <f t="shared" si="15"/>
        <v>12555</v>
      </c>
      <c r="H28" s="2" t="s">
        <v>405</v>
      </c>
      <c r="I28" s="2" t="s">
        <v>400</v>
      </c>
      <c r="J28" s="2" t="s">
        <v>173</v>
      </c>
      <c r="K28" s="2">
        <v>2</v>
      </c>
    </row>
    <row r="29" spans="1:11">
      <c r="A29" s="1" t="str">
        <f t="shared" si="12"/>
        <v>0x310C</v>
      </c>
      <c r="C29" s="1" t="str">
        <f t="shared" si="13"/>
        <v>0x310D</v>
      </c>
      <c r="E29" s="2">
        <f t="shared" si="14"/>
        <v>12556</v>
      </c>
      <c r="G29" s="2">
        <f t="shared" si="15"/>
        <v>12557</v>
      </c>
      <c r="H29" s="2" t="s">
        <v>406</v>
      </c>
      <c r="I29" s="2" t="s">
        <v>400</v>
      </c>
      <c r="J29" s="2" t="s">
        <v>173</v>
      </c>
      <c r="K29" s="2">
        <v>2</v>
      </c>
    </row>
    <row r="30" spans="1:11">
      <c r="A30" s="1" t="str">
        <f t="shared" si="12"/>
        <v>0x310E</v>
      </c>
      <c r="C30" s="1" t="str">
        <f t="shared" si="13"/>
        <v>0x310F</v>
      </c>
      <c r="E30" s="2">
        <f t="shared" si="14"/>
        <v>12558</v>
      </c>
      <c r="G30" s="2">
        <f t="shared" si="15"/>
        <v>12559</v>
      </c>
      <c r="H30" s="2" t="s">
        <v>407</v>
      </c>
      <c r="I30" s="2" t="s">
        <v>400</v>
      </c>
      <c r="J30" s="2" t="s">
        <v>173</v>
      </c>
      <c r="K30" s="2">
        <v>2</v>
      </c>
    </row>
    <row r="31" spans="1:11">
      <c r="A31" s="1" t="str">
        <f t="shared" si="12"/>
        <v>0x3110</v>
      </c>
      <c r="C31" s="1" t="str">
        <f t="shared" si="13"/>
        <v>0x3111</v>
      </c>
      <c r="E31" s="2">
        <f t="shared" si="14"/>
        <v>12560</v>
      </c>
      <c r="G31" s="2">
        <f t="shared" si="15"/>
        <v>12561</v>
      </c>
      <c r="H31" s="2" t="s">
        <v>408</v>
      </c>
      <c r="I31" s="2" t="s">
        <v>400</v>
      </c>
      <c r="J31" s="2" t="s">
        <v>173</v>
      </c>
      <c r="K31" s="2">
        <v>2</v>
      </c>
    </row>
    <row r="32" spans="1:11">
      <c r="A32" s="1" t="str">
        <f t="shared" si="12"/>
        <v>0x3112</v>
      </c>
      <c r="C32" s="1" t="str">
        <f t="shared" si="13"/>
        <v>0x3113</v>
      </c>
      <c r="E32" s="2">
        <f t="shared" si="14"/>
        <v>12562</v>
      </c>
      <c r="G32" s="2">
        <f t="shared" si="15"/>
        <v>12563</v>
      </c>
      <c r="H32" s="2" t="s">
        <v>409</v>
      </c>
      <c r="I32" s="2" t="s">
        <v>400</v>
      </c>
      <c r="J32" s="2" t="s">
        <v>173</v>
      </c>
      <c r="K32" s="2">
        <v>2</v>
      </c>
    </row>
    <row r="33" spans="1:11">
      <c r="A33" s="1" t="str">
        <f t="shared" si="12"/>
        <v>0x3114</v>
      </c>
      <c r="C33" s="1" t="str">
        <f t="shared" si="13"/>
        <v>0x3115</v>
      </c>
      <c r="E33" s="2">
        <f>E32+K32</f>
        <v>12564</v>
      </c>
      <c r="G33" s="2">
        <f t="shared" si="15"/>
        <v>12565</v>
      </c>
      <c r="H33" s="2" t="s">
        <v>410</v>
      </c>
      <c r="I33" s="2" t="s">
        <v>400</v>
      </c>
      <c r="J33" s="2" t="s">
        <v>173</v>
      </c>
      <c r="K33" s="2">
        <v>2</v>
      </c>
    </row>
    <row r="34" spans="1:11">
      <c r="A34" s="1" t="str">
        <f t="shared" si="12"/>
        <v>0x3116</v>
      </c>
      <c r="C34" s="1" t="str">
        <f t="shared" si="13"/>
        <v>0x3117</v>
      </c>
      <c r="E34" s="2">
        <f t="shared" ref="E34:E40" si="16">E33+K33</f>
        <v>12566</v>
      </c>
      <c r="G34" s="2">
        <f t="shared" si="15"/>
        <v>12567</v>
      </c>
      <c r="H34" s="2" t="s">
        <v>411</v>
      </c>
      <c r="I34" s="2" t="s">
        <v>400</v>
      </c>
      <c r="J34" s="2" t="s">
        <v>173</v>
      </c>
      <c r="K34" s="2">
        <v>2</v>
      </c>
    </row>
    <row r="35" spans="1:11">
      <c r="A35" s="1" t="str">
        <f t="shared" si="12"/>
        <v>0x3118</v>
      </c>
      <c r="C35" s="1" t="str">
        <f t="shared" si="13"/>
        <v>0x3119</v>
      </c>
      <c r="E35" s="2">
        <f t="shared" si="16"/>
        <v>12568</v>
      </c>
      <c r="G35" s="2">
        <f t="shared" si="15"/>
        <v>12569</v>
      </c>
      <c r="H35" s="2" t="s">
        <v>412</v>
      </c>
      <c r="I35" s="2" t="s">
        <v>400</v>
      </c>
      <c r="J35" s="2" t="s">
        <v>173</v>
      </c>
      <c r="K35" s="2">
        <v>2</v>
      </c>
    </row>
    <row r="36" spans="1:11">
      <c r="A36" s="1" t="str">
        <f t="shared" si="12"/>
        <v>0x311A</v>
      </c>
      <c r="C36" s="1" t="str">
        <f t="shared" si="13"/>
        <v>0x311B</v>
      </c>
      <c r="E36" s="2">
        <f t="shared" si="16"/>
        <v>12570</v>
      </c>
      <c r="G36" s="2">
        <f t="shared" si="15"/>
        <v>12571</v>
      </c>
      <c r="H36" s="2" t="s">
        <v>413</v>
      </c>
      <c r="I36" s="2" t="s">
        <v>400</v>
      </c>
      <c r="J36" s="2" t="s">
        <v>173</v>
      </c>
      <c r="K36" s="2">
        <v>2</v>
      </c>
    </row>
    <row r="37" spans="1:11">
      <c r="A37" s="1" t="str">
        <f t="shared" si="12"/>
        <v>0x311C</v>
      </c>
      <c r="C37" s="1" t="str">
        <f t="shared" si="13"/>
        <v>0x311D</v>
      </c>
      <c r="E37" s="2">
        <f t="shared" si="16"/>
        <v>12572</v>
      </c>
      <c r="G37" s="2">
        <f t="shared" si="15"/>
        <v>12573</v>
      </c>
      <c r="H37" s="2" t="s">
        <v>414</v>
      </c>
      <c r="I37" s="2" t="s">
        <v>400</v>
      </c>
      <c r="J37" s="2" t="s">
        <v>173</v>
      </c>
      <c r="K37" s="2">
        <v>2</v>
      </c>
    </row>
    <row r="38" spans="1:11">
      <c r="A38" s="1" t="str">
        <f t="shared" si="12"/>
        <v>0x311E</v>
      </c>
      <c r="C38" s="1" t="str">
        <f t="shared" si="13"/>
        <v>0x311F</v>
      </c>
      <c r="E38" s="2">
        <f t="shared" si="16"/>
        <v>12574</v>
      </c>
      <c r="G38" s="2">
        <f t="shared" si="15"/>
        <v>12575</v>
      </c>
      <c r="H38" s="2" t="s">
        <v>415</v>
      </c>
      <c r="I38" s="2" t="s">
        <v>400</v>
      </c>
      <c r="J38" s="2" t="s">
        <v>173</v>
      </c>
      <c r="K38" s="2">
        <v>2</v>
      </c>
    </row>
    <row r="39" spans="1:11">
      <c r="A39" s="1" t="str">
        <f t="shared" si="12"/>
        <v>0x3120</v>
      </c>
      <c r="C39" s="1" t="str">
        <f t="shared" si="13"/>
        <v>0x3121</v>
      </c>
      <c r="E39" s="2">
        <f t="shared" si="16"/>
        <v>12576</v>
      </c>
      <c r="G39" s="2">
        <f t="shared" si="15"/>
        <v>12577</v>
      </c>
      <c r="H39" s="2" t="s">
        <v>416</v>
      </c>
      <c r="I39" s="2" t="s">
        <v>400</v>
      </c>
      <c r="J39" s="2" t="s">
        <v>173</v>
      </c>
      <c r="K39" s="2">
        <v>2</v>
      </c>
    </row>
    <row r="40" spans="1:11">
      <c r="A40" s="1" t="str">
        <f t="shared" si="12"/>
        <v>0x3122</v>
      </c>
      <c r="C40" s="1" t="str">
        <f t="shared" si="13"/>
        <v>0x3123</v>
      </c>
      <c r="E40" s="2">
        <f t="shared" si="16"/>
        <v>12578</v>
      </c>
      <c r="G40" s="2">
        <f t="shared" si="15"/>
        <v>12579</v>
      </c>
      <c r="H40" s="2" t="s">
        <v>417</v>
      </c>
      <c r="I40" s="2" t="s">
        <v>400</v>
      </c>
      <c r="J40" s="2" t="s">
        <v>173</v>
      </c>
      <c r="K40" s="2">
        <v>2</v>
      </c>
    </row>
    <row r="41" spans="1:11" s="6" customFormat="1" ht="14.25"/>
    <row r="42" spans="1:11" ht="14.25">
      <c r="A42" s="41" t="s">
        <v>419</v>
      </c>
    </row>
    <row r="43" spans="1:11">
      <c r="A43" s="1" t="str">
        <f t="shared" ref="A43:A55" si="17">"0x"&amp;DEC2HEX(E43,4)</f>
        <v>0x3200</v>
      </c>
      <c r="C43" s="1" t="str">
        <f t="shared" ref="C43:C55" si="18">"0x"&amp;DEC2HEX(G43,4)</f>
        <v>0x3200</v>
      </c>
      <c r="E43" s="2">
        <v>12800</v>
      </c>
      <c r="G43" s="2">
        <f>E43+K43-1</f>
        <v>12800</v>
      </c>
      <c r="H43" s="2" t="s">
        <v>399</v>
      </c>
      <c r="I43" s="2" t="s">
        <v>420</v>
      </c>
      <c r="J43" s="2" t="s">
        <v>173</v>
      </c>
      <c r="K43" s="2">
        <v>1</v>
      </c>
    </row>
    <row r="44" spans="1:11">
      <c r="A44" s="1" t="str">
        <f t="shared" si="17"/>
        <v>0x3201</v>
      </c>
      <c r="C44" s="1" t="str">
        <f t="shared" si="18"/>
        <v>0x3201</v>
      </c>
      <c r="E44" s="2">
        <f>E43+K43</f>
        <v>12801</v>
      </c>
      <c r="G44" s="2">
        <f>E44+K44-1</f>
        <v>12801</v>
      </c>
      <c r="H44" s="2" t="s">
        <v>401</v>
      </c>
      <c r="I44" s="2" t="s">
        <v>420</v>
      </c>
      <c r="J44" s="2" t="s">
        <v>173</v>
      </c>
      <c r="K44" s="2">
        <v>1</v>
      </c>
    </row>
    <row r="45" spans="1:11">
      <c r="A45" s="1" t="str">
        <f t="shared" si="17"/>
        <v>0x3202</v>
      </c>
      <c r="C45" s="1" t="str">
        <f t="shared" si="18"/>
        <v>0x3202</v>
      </c>
      <c r="E45" s="2">
        <f t="shared" ref="E45:E55" si="19">E44+K44</f>
        <v>12802</v>
      </c>
      <c r="G45" s="2">
        <f t="shared" ref="G45:G55" si="20">E45+K45-1</f>
        <v>12802</v>
      </c>
      <c r="H45" s="2" t="s">
        <v>402</v>
      </c>
      <c r="I45" s="2" t="s">
        <v>420</v>
      </c>
      <c r="J45" s="2" t="s">
        <v>173</v>
      </c>
      <c r="K45" s="2">
        <v>1</v>
      </c>
    </row>
    <row r="46" spans="1:11">
      <c r="A46" s="1" t="str">
        <f t="shared" si="17"/>
        <v>0x3203</v>
      </c>
      <c r="C46" s="1" t="str">
        <f t="shared" si="18"/>
        <v>0x3203</v>
      </c>
      <c r="E46" s="2">
        <f t="shared" si="19"/>
        <v>12803</v>
      </c>
      <c r="G46" s="2">
        <f t="shared" si="20"/>
        <v>12803</v>
      </c>
      <c r="H46" s="2" t="s">
        <v>403</v>
      </c>
      <c r="I46" s="2" t="s">
        <v>420</v>
      </c>
      <c r="J46" s="2" t="s">
        <v>173</v>
      </c>
      <c r="K46" s="2">
        <v>1</v>
      </c>
    </row>
    <row r="47" spans="1:11">
      <c r="A47" s="1" t="str">
        <f t="shared" si="17"/>
        <v>0x3204</v>
      </c>
      <c r="C47" s="1" t="str">
        <f t="shared" si="18"/>
        <v>0x3204</v>
      </c>
      <c r="E47" s="2">
        <f t="shared" si="19"/>
        <v>12804</v>
      </c>
      <c r="G47" s="2">
        <f t="shared" si="20"/>
        <v>12804</v>
      </c>
      <c r="H47" s="2" t="s">
        <v>404</v>
      </c>
      <c r="I47" s="2" t="s">
        <v>420</v>
      </c>
      <c r="J47" s="2" t="s">
        <v>173</v>
      </c>
      <c r="K47" s="2">
        <v>1</v>
      </c>
    </row>
    <row r="48" spans="1:11">
      <c r="A48" s="1" t="str">
        <f t="shared" si="17"/>
        <v>0x3205</v>
      </c>
      <c r="C48" s="1" t="str">
        <f t="shared" si="18"/>
        <v>0x3205</v>
      </c>
      <c r="E48" s="2">
        <f t="shared" si="19"/>
        <v>12805</v>
      </c>
      <c r="G48" s="2">
        <f t="shared" si="20"/>
        <v>12805</v>
      </c>
      <c r="H48" s="2" t="s">
        <v>405</v>
      </c>
      <c r="I48" s="2" t="s">
        <v>420</v>
      </c>
      <c r="J48" s="2" t="s">
        <v>173</v>
      </c>
      <c r="K48" s="2">
        <v>1</v>
      </c>
    </row>
    <row r="49" spans="1:11">
      <c r="A49" s="1" t="str">
        <f t="shared" si="17"/>
        <v>0x3206</v>
      </c>
      <c r="C49" s="1" t="str">
        <f t="shared" si="18"/>
        <v>0x3206</v>
      </c>
      <c r="E49" s="2">
        <f t="shared" si="19"/>
        <v>12806</v>
      </c>
      <c r="G49" s="2">
        <f t="shared" si="20"/>
        <v>12806</v>
      </c>
      <c r="H49" s="2" t="s">
        <v>406</v>
      </c>
      <c r="I49" s="2" t="s">
        <v>420</v>
      </c>
      <c r="J49" s="2" t="s">
        <v>173</v>
      </c>
      <c r="K49" s="2">
        <v>1</v>
      </c>
    </row>
    <row r="50" spans="1:11">
      <c r="A50" s="1" t="str">
        <f t="shared" si="17"/>
        <v>0x3207</v>
      </c>
      <c r="C50" s="1" t="str">
        <f t="shared" si="18"/>
        <v>0x3207</v>
      </c>
      <c r="E50" s="2">
        <f t="shared" si="19"/>
        <v>12807</v>
      </c>
      <c r="G50" s="2">
        <f t="shared" si="20"/>
        <v>12807</v>
      </c>
      <c r="H50" s="2" t="s">
        <v>407</v>
      </c>
      <c r="I50" s="2" t="s">
        <v>420</v>
      </c>
      <c r="J50" s="2" t="s">
        <v>173</v>
      </c>
      <c r="K50" s="2">
        <v>1</v>
      </c>
    </row>
    <row r="51" spans="1:11">
      <c r="A51" s="1" t="str">
        <f t="shared" si="17"/>
        <v>0x3208</v>
      </c>
      <c r="C51" s="1" t="str">
        <f t="shared" si="18"/>
        <v>0x3208</v>
      </c>
      <c r="E51" s="2">
        <f t="shared" si="19"/>
        <v>12808</v>
      </c>
      <c r="G51" s="2">
        <f t="shared" si="20"/>
        <v>12808</v>
      </c>
      <c r="H51" s="2" t="s">
        <v>408</v>
      </c>
      <c r="I51" s="2" t="s">
        <v>420</v>
      </c>
      <c r="J51" s="2" t="s">
        <v>173</v>
      </c>
      <c r="K51" s="2">
        <v>1</v>
      </c>
    </row>
    <row r="52" spans="1:11">
      <c r="A52" s="1" t="str">
        <f t="shared" si="17"/>
        <v>0x3209</v>
      </c>
      <c r="C52" s="1" t="str">
        <f t="shared" si="18"/>
        <v>0x3209</v>
      </c>
      <c r="E52" s="2">
        <f t="shared" si="19"/>
        <v>12809</v>
      </c>
      <c r="G52" s="2">
        <f t="shared" si="20"/>
        <v>12809</v>
      </c>
      <c r="H52" s="2" t="s">
        <v>409</v>
      </c>
      <c r="I52" s="2" t="s">
        <v>420</v>
      </c>
      <c r="J52" s="2" t="s">
        <v>173</v>
      </c>
      <c r="K52" s="2">
        <v>1</v>
      </c>
    </row>
    <row r="53" spans="1:11">
      <c r="A53" s="1" t="str">
        <f t="shared" si="17"/>
        <v>0x320A</v>
      </c>
      <c r="C53" s="1" t="str">
        <f t="shared" si="18"/>
        <v>0x320A</v>
      </c>
      <c r="E53" s="2">
        <f t="shared" si="19"/>
        <v>12810</v>
      </c>
      <c r="G53" s="2">
        <f t="shared" si="20"/>
        <v>12810</v>
      </c>
      <c r="H53" s="2" t="s">
        <v>410</v>
      </c>
      <c r="I53" s="2" t="s">
        <v>420</v>
      </c>
      <c r="J53" s="2" t="s">
        <v>173</v>
      </c>
      <c r="K53" s="2">
        <v>1</v>
      </c>
    </row>
    <row r="54" spans="1:11">
      <c r="A54" s="1" t="str">
        <f t="shared" si="17"/>
        <v>0x320B</v>
      </c>
      <c r="C54" s="1" t="str">
        <f t="shared" si="18"/>
        <v>0x320B</v>
      </c>
      <c r="E54" s="2">
        <f t="shared" si="19"/>
        <v>12811</v>
      </c>
      <c r="G54" s="2">
        <f t="shared" si="20"/>
        <v>12811</v>
      </c>
      <c r="H54" s="2" t="s">
        <v>411</v>
      </c>
      <c r="I54" s="2" t="s">
        <v>420</v>
      </c>
      <c r="J54" s="2" t="s">
        <v>173</v>
      </c>
      <c r="K54" s="2">
        <v>1</v>
      </c>
    </row>
    <row r="55" spans="1:11">
      <c r="A55" s="1" t="str">
        <f t="shared" si="17"/>
        <v>0x320C</v>
      </c>
      <c r="C55" s="1" t="str">
        <f t="shared" si="18"/>
        <v>0x320C</v>
      </c>
      <c r="E55" s="2">
        <f t="shared" si="19"/>
        <v>12812</v>
      </c>
      <c r="G55" s="2">
        <f t="shared" si="20"/>
        <v>12812</v>
      </c>
      <c r="H55" s="2" t="s">
        <v>412</v>
      </c>
      <c r="I55" s="2" t="s">
        <v>420</v>
      </c>
      <c r="J55" s="2" t="s">
        <v>173</v>
      </c>
      <c r="K55" s="2">
        <v>1</v>
      </c>
    </row>
    <row r="56" spans="1:11">
      <c r="A56" s="1" t="str">
        <f t="shared" ref="A56:A58" si="21">"0x"&amp;DEC2HEX(E56,4)</f>
        <v>0x320D</v>
      </c>
      <c r="C56" s="1" t="str">
        <f t="shared" ref="C56:C58" si="22">"0x"&amp;DEC2HEX(G56,4)</f>
        <v>0x320D</v>
      </c>
      <c r="E56" s="2">
        <f t="shared" ref="E56:E58" si="23">E55+K55</f>
        <v>12813</v>
      </c>
      <c r="G56" s="2">
        <f t="shared" ref="G56:G58" si="24">E56+K56-1</f>
        <v>12813</v>
      </c>
      <c r="H56" s="2" t="s">
        <v>413</v>
      </c>
      <c r="I56" s="2" t="s">
        <v>420</v>
      </c>
      <c r="J56" s="2" t="s">
        <v>173</v>
      </c>
      <c r="K56" s="2">
        <v>1</v>
      </c>
    </row>
    <row r="57" spans="1:11">
      <c r="A57" s="1" t="str">
        <f t="shared" si="21"/>
        <v>0x320E</v>
      </c>
      <c r="C57" s="1" t="str">
        <f t="shared" si="22"/>
        <v>0x320E</v>
      </c>
      <c r="E57" s="2">
        <f t="shared" si="23"/>
        <v>12814</v>
      </c>
      <c r="G57" s="2">
        <f t="shared" si="24"/>
        <v>12814</v>
      </c>
      <c r="H57" s="2" t="s">
        <v>414</v>
      </c>
      <c r="I57" s="2" t="s">
        <v>420</v>
      </c>
      <c r="J57" s="2" t="s">
        <v>173</v>
      </c>
      <c r="K57" s="2">
        <v>1</v>
      </c>
    </row>
    <row r="58" spans="1:11">
      <c r="A58" s="1" t="str">
        <f t="shared" si="21"/>
        <v>0x320F</v>
      </c>
      <c r="C58" s="1" t="str">
        <f t="shared" si="22"/>
        <v>0x320F</v>
      </c>
      <c r="E58" s="2">
        <f t="shared" si="23"/>
        <v>12815</v>
      </c>
      <c r="G58" s="2">
        <f t="shared" si="24"/>
        <v>12815</v>
      </c>
      <c r="H58" s="2" t="s">
        <v>415</v>
      </c>
      <c r="I58" s="2" t="s">
        <v>420</v>
      </c>
      <c r="J58" s="2" t="s">
        <v>173</v>
      </c>
      <c r="K58" s="2">
        <v>1</v>
      </c>
    </row>
    <row r="59" spans="1:11">
      <c r="A59" s="1" t="str">
        <f t="shared" ref="A59:A60" si="25">"0x"&amp;DEC2HEX(E59,4)</f>
        <v>0x3210</v>
      </c>
      <c r="C59" s="1" t="str">
        <f t="shared" ref="C59:C60" si="26">"0x"&amp;DEC2HEX(G59,4)</f>
        <v>0x3210</v>
      </c>
      <c r="E59" s="2">
        <f t="shared" ref="E59:E60" si="27">E58+K58</f>
        <v>12816</v>
      </c>
      <c r="G59" s="2">
        <f t="shared" ref="G59:G60" si="28">E59+K59-1</f>
        <v>12816</v>
      </c>
      <c r="H59" s="2" t="s">
        <v>416</v>
      </c>
      <c r="I59" s="2" t="s">
        <v>420</v>
      </c>
      <c r="J59" s="2" t="s">
        <v>173</v>
      </c>
      <c r="K59" s="2">
        <v>1</v>
      </c>
    </row>
    <row r="60" spans="1:11">
      <c r="A60" s="1" t="str">
        <f t="shared" si="25"/>
        <v>0x3211</v>
      </c>
      <c r="C60" s="1" t="str">
        <f t="shared" si="26"/>
        <v>0x3211</v>
      </c>
      <c r="E60" s="2">
        <f t="shared" si="27"/>
        <v>12817</v>
      </c>
      <c r="G60" s="2">
        <f t="shared" si="28"/>
        <v>12817</v>
      </c>
      <c r="H60" s="2" t="s">
        <v>417</v>
      </c>
      <c r="I60" s="2" t="s">
        <v>420</v>
      </c>
      <c r="J60" s="2" t="s">
        <v>173</v>
      </c>
      <c r="K60" s="2">
        <v>1</v>
      </c>
    </row>
    <row r="61" spans="1:11">
      <c r="A61" s="1"/>
      <c r="C61" s="1"/>
    </row>
    <row r="62" spans="1:11" s="6" customFormat="1">
      <c r="A62" s="41" t="s">
        <v>421</v>
      </c>
    </row>
    <row r="63" spans="1:11">
      <c r="A63" s="1" t="str">
        <f>"0x"&amp;DEC2HEX(E63,4)</f>
        <v>0x4000</v>
      </c>
      <c r="C63" s="1" t="str">
        <f t="shared" ref="C63:C71" si="29">"0x"&amp;DEC2HEX(G63,4)</f>
        <v>0x4003</v>
      </c>
      <c r="E63" s="2">
        <v>16384</v>
      </c>
      <c r="G63" s="2">
        <f>E63+K63-1</f>
        <v>16387</v>
      </c>
      <c r="H63" s="2" t="s">
        <v>262</v>
      </c>
      <c r="I63" s="2" t="s">
        <v>422</v>
      </c>
      <c r="J63" s="2" t="s">
        <v>109</v>
      </c>
      <c r="K63" s="2">
        <v>4</v>
      </c>
    </row>
    <row r="64" spans="1:11">
      <c r="A64" s="1" t="str">
        <f t="shared" ref="A64:A70" si="30">"0x"&amp;DEC2HEX(E64,4)</f>
        <v>0x4004</v>
      </c>
      <c r="C64" s="1" t="str">
        <f t="shared" si="29"/>
        <v>0x4007</v>
      </c>
      <c r="E64" s="2">
        <f t="shared" ref="E64:E71" si="31">E63+K63</f>
        <v>16388</v>
      </c>
      <c r="G64" s="2">
        <f t="shared" ref="G63:G71" si="32">E64+K64-1</f>
        <v>16391</v>
      </c>
      <c r="H64" s="2" t="s">
        <v>267</v>
      </c>
      <c r="I64" s="2" t="s">
        <v>422</v>
      </c>
      <c r="J64" s="2" t="s">
        <v>109</v>
      </c>
      <c r="K64" s="2">
        <v>4</v>
      </c>
    </row>
    <row r="65" spans="1:11">
      <c r="A65" s="1" t="str">
        <f t="shared" si="30"/>
        <v>0x4008</v>
      </c>
      <c r="C65" s="1" t="str">
        <f t="shared" si="29"/>
        <v>0x400B</v>
      </c>
      <c r="E65" s="2">
        <f t="shared" si="31"/>
        <v>16392</v>
      </c>
      <c r="G65" s="2">
        <f t="shared" si="32"/>
        <v>16395</v>
      </c>
      <c r="H65" s="2" t="s">
        <v>272</v>
      </c>
      <c r="I65" s="2" t="s">
        <v>422</v>
      </c>
      <c r="J65" s="2" t="s">
        <v>109</v>
      </c>
      <c r="K65" s="2">
        <v>4</v>
      </c>
    </row>
    <row r="66" spans="1:11">
      <c r="A66" s="1" t="str">
        <f t="shared" si="30"/>
        <v>0x400C</v>
      </c>
      <c r="C66" s="1" t="str">
        <f t="shared" si="29"/>
        <v>0x400F</v>
      </c>
      <c r="E66" s="2">
        <f t="shared" si="31"/>
        <v>16396</v>
      </c>
      <c r="G66" s="2">
        <f t="shared" si="32"/>
        <v>16399</v>
      </c>
      <c r="H66" s="2" t="s">
        <v>277</v>
      </c>
      <c r="I66" s="2" t="s">
        <v>422</v>
      </c>
      <c r="J66" s="2" t="s">
        <v>109</v>
      </c>
      <c r="K66" s="2">
        <v>4</v>
      </c>
    </row>
    <row r="67" spans="1:11">
      <c r="A67" s="1" t="str">
        <f t="shared" si="30"/>
        <v>0x4010</v>
      </c>
      <c r="C67" s="1" t="str">
        <f t="shared" si="29"/>
        <v>0x4013</v>
      </c>
      <c r="E67" s="2">
        <f t="shared" si="31"/>
        <v>16400</v>
      </c>
      <c r="G67" s="2">
        <f t="shared" si="32"/>
        <v>16403</v>
      </c>
      <c r="H67" s="2" t="s">
        <v>282</v>
      </c>
      <c r="I67" s="2" t="s">
        <v>422</v>
      </c>
      <c r="J67" s="2" t="s">
        <v>109</v>
      </c>
      <c r="K67" s="2">
        <v>4</v>
      </c>
    </row>
    <row r="68" spans="1:11">
      <c r="A68" s="1" t="str">
        <f t="shared" si="30"/>
        <v>0x4014</v>
      </c>
      <c r="C68" s="1" t="str">
        <f t="shared" si="29"/>
        <v>0x4017</v>
      </c>
      <c r="E68" s="2">
        <f t="shared" si="31"/>
        <v>16404</v>
      </c>
      <c r="G68" s="2">
        <f t="shared" si="32"/>
        <v>16407</v>
      </c>
      <c r="H68" s="2" t="s">
        <v>287</v>
      </c>
      <c r="I68" s="2" t="s">
        <v>422</v>
      </c>
      <c r="J68" s="2" t="s">
        <v>109</v>
      </c>
      <c r="K68" s="2">
        <v>4</v>
      </c>
    </row>
    <row r="69" spans="1:11">
      <c r="A69" s="1" t="str">
        <f t="shared" si="30"/>
        <v>0x4018</v>
      </c>
      <c r="C69" s="1" t="str">
        <f t="shared" si="29"/>
        <v>0x401B</v>
      </c>
      <c r="E69" s="2">
        <f t="shared" si="31"/>
        <v>16408</v>
      </c>
      <c r="G69" s="2">
        <f t="shared" si="32"/>
        <v>16411</v>
      </c>
      <c r="H69" s="2" t="s">
        <v>292</v>
      </c>
      <c r="I69" s="2" t="s">
        <v>422</v>
      </c>
      <c r="J69" s="2" t="s">
        <v>109</v>
      </c>
      <c r="K69" s="2">
        <v>4</v>
      </c>
    </row>
    <row r="70" spans="1:11">
      <c r="A70" s="1" t="str">
        <f t="shared" si="30"/>
        <v>0x401C</v>
      </c>
      <c r="C70" s="1" t="str">
        <f t="shared" si="29"/>
        <v>0x401F</v>
      </c>
      <c r="E70" s="2">
        <f t="shared" si="31"/>
        <v>16412</v>
      </c>
      <c r="G70" s="2">
        <f t="shared" si="32"/>
        <v>16415</v>
      </c>
      <c r="H70" s="2" t="s">
        <v>297</v>
      </c>
      <c r="I70" s="2" t="s">
        <v>422</v>
      </c>
      <c r="J70" s="2" t="s">
        <v>109</v>
      </c>
      <c r="K70" s="2">
        <v>4</v>
      </c>
    </row>
    <row r="71" spans="1:11">
      <c r="A71" s="1" t="str">
        <f>"0x"&amp;DEC2HEX(E71,4)</f>
        <v>0x4020</v>
      </c>
      <c r="C71" s="1" t="str">
        <f t="shared" si="29"/>
        <v>0x4023</v>
      </c>
      <c r="E71" s="2">
        <f t="shared" si="31"/>
        <v>16416</v>
      </c>
      <c r="G71" s="2">
        <f t="shared" si="32"/>
        <v>16419</v>
      </c>
      <c r="H71" s="2" t="s">
        <v>302</v>
      </c>
      <c r="I71" s="2" t="s">
        <v>422</v>
      </c>
      <c r="J71" s="2" t="s">
        <v>109</v>
      </c>
      <c r="K71" s="2">
        <v>4</v>
      </c>
    </row>
    <row r="72" spans="1:11">
      <c r="A72" s="1" t="str">
        <f t="shared" ref="A72:A74" si="33">"0x"&amp;DEC2HEX(E72,4)</f>
        <v>0x4024</v>
      </c>
      <c r="C72" s="1" t="str">
        <f t="shared" ref="C72:C75" si="34">"0x"&amp;DEC2HEX(G72,4)</f>
        <v>0x4027</v>
      </c>
      <c r="E72" s="2">
        <f t="shared" ref="E72:E75" si="35">E71+K71</f>
        <v>16420</v>
      </c>
      <c r="G72" s="2">
        <f t="shared" ref="G72:G75" si="36">E72+K72-1</f>
        <v>16423</v>
      </c>
      <c r="H72" s="2" t="s">
        <v>307</v>
      </c>
      <c r="I72" s="2" t="s">
        <v>422</v>
      </c>
      <c r="J72" s="2" t="s">
        <v>109</v>
      </c>
      <c r="K72" s="2">
        <v>4</v>
      </c>
    </row>
    <row r="73" spans="1:11">
      <c r="A73" s="1" t="str">
        <f t="shared" si="33"/>
        <v>0x4028</v>
      </c>
      <c r="C73" s="1" t="str">
        <f t="shared" si="34"/>
        <v>0x402B</v>
      </c>
      <c r="E73" s="2">
        <f t="shared" si="35"/>
        <v>16424</v>
      </c>
      <c r="G73" s="2">
        <f t="shared" si="36"/>
        <v>16427</v>
      </c>
      <c r="H73" s="2" t="s">
        <v>312</v>
      </c>
      <c r="I73" s="2" t="s">
        <v>422</v>
      </c>
      <c r="J73" s="2" t="s">
        <v>109</v>
      </c>
      <c r="K73" s="2">
        <v>4</v>
      </c>
    </row>
    <row r="74" spans="1:11">
      <c r="A74" s="1" t="str">
        <f t="shared" si="33"/>
        <v>0x402C</v>
      </c>
      <c r="C74" s="1" t="str">
        <f t="shared" si="34"/>
        <v>0x402F</v>
      </c>
      <c r="E74" s="2">
        <f t="shared" si="35"/>
        <v>16428</v>
      </c>
      <c r="G74" s="2">
        <f t="shared" si="36"/>
        <v>16431</v>
      </c>
      <c r="H74" s="2" t="s">
        <v>317</v>
      </c>
      <c r="I74" s="2" t="s">
        <v>422</v>
      </c>
      <c r="J74" s="2" t="s">
        <v>109</v>
      </c>
      <c r="K74" s="2">
        <v>4</v>
      </c>
    </row>
    <row r="75" spans="1:11">
      <c r="A75" s="1" t="str">
        <f>"0x"&amp;DEC2HEX(E75,4)</f>
        <v>0x4030</v>
      </c>
      <c r="C75" s="1" t="str">
        <f t="shared" si="34"/>
        <v>0x4033</v>
      </c>
      <c r="E75" s="2">
        <f t="shared" si="35"/>
        <v>16432</v>
      </c>
      <c r="G75" s="2">
        <f t="shared" si="36"/>
        <v>16435</v>
      </c>
      <c r="H75" s="2" t="s">
        <v>423</v>
      </c>
      <c r="I75" s="2" t="s">
        <v>422</v>
      </c>
      <c r="J75" s="2" t="s">
        <v>109</v>
      </c>
      <c r="K75" s="2">
        <v>4</v>
      </c>
    </row>
    <row r="76" spans="1:11">
      <c r="A76" s="1" t="str">
        <f t="shared" ref="A76:A78" si="37">"0x"&amp;DEC2HEX(E76,4)</f>
        <v>0x4034</v>
      </c>
      <c r="C76" s="1" t="str">
        <f t="shared" ref="C76:C83" si="38">"0x"&amp;DEC2HEX(G76,4)</f>
        <v>0x4037</v>
      </c>
      <c r="E76" s="2">
        <f t="shared" ref="E76:E83" si="39">E75+K75</f>
        <v>16436</v>
      </c>
      <c r="G76" s="2">
        <f t="shared" ref="G76:G83" si="40">E76+K76-1</f>
        <v>16439</v>
      </c>
      <c r="H76" s="2" t="s">
        <v>424</v>
      </c>
      <c r="I76" s="2" t="s">
        <v>422</v>
      </c>
      <c r="J76" s="2" t="s">
        <v>109</v>
      </c>
      <c r="K76" s="2">
        <v>4</v>
      </c>
    </row>
    <row r="77" spans="1:11">
      <c r="A77" s="1" t="str">
        <f t="shared" si="37"/>
        <v>0x4038</v>
      </c>
      <c r="C77" s="1" t="str">
        <f t="shared" si="38"/>
        <v>0x403B</v>
      </c>
      <c r="E77" s="2">
        <f t="shared" si="39"/>
        <v>16440</v>
      </c>
      <c r="G77" s="2">
        <f t="shared" si="40"/>
        <v>16443</v>
      </c>
      <c r="H77" s="2" t="s">
        <v>425</v>
      </c>
      <c r="I77" s="2" t="s">
        <v>422</v>
      </c>
      <c r="J77" s="2" t="s">
        <v>109</v>
      </c>
      <c r="K77" s="2">
        <v>4</v>
      </c>
    </row>
    <row r="78" spans="1:11">
      <c r="A78" s="1" t="str">
        <f t="shared" si="37"/>
        <v>0x403C</v>
      </c>
      <c r="C78" s="1" t="str">
        <f t="shared" si="38"/>
        <v>0x403F</v>
      </c>
      <c r="E78" s="2">
        <f t="shared" si="39"/>
        <v>16444</v>
      </c>
      <c r="G78" s="2">
        <f t="shared" si="40"/>
        <v>16447</v>
      </c>
      <c r="H78" s="2" t="s">
        <v>426</v>
      </c>
      <c r="I78" s="2" t="s">
        <v>422</v>
      </c>
      <c r="J78" s="2" t="s">
        <v>109</v>
      </c>
      <c r="K78" s="2">
        <v>4</v>
      </c>
    </row>
    <row r="79" spans="1:11">
      <c r="A79" s="1" t="str">
        <f>"0x"&amp;DEC2HEX(E79,4)</f>
        <v>0x4040</v>
      </c>
      <c r="C79" s="1" t="str">
        <f t="shared" si="38"/>
        <v>0x4043</v>
      </c>
      <c r="E79" s="2">
        <f t="shared" si="39"/>
        <v>16448</v>
      </c>
      <c r="G79" s="2">
        <f t="shared" si="40"/>
        <v>16451</v>
      </c>
      <c r="H79" s="2" t="s">
        <v>427</v>
      </c>
      <c r="I79" s="2" t="s">
        <v>422</v>
      </c>
      <c r="J79" s="2" t="s">
        <v>109</v>
      </c>
      <c r="K79" s="2">
        <v>4</v>
      </c>
    </row>
    <row r="80" spans="1:11">
      <c r="A80" s="1" t="str">
        <f t="shared" ref="A80:A82" si="41">"0x"&amp;DEC2HEX(E80,4)</f>
        <v>0x4044</v>
      </c>
      <c r="C80" s="1" t="str">
        <f t="shared" si="38"/>
        <v>0x4047</v>
      </c>
      <c r="E80" s="2">
        <f t="shared" si="39"/>
        <v>16452</v>
      </c>
      <c r="G80" s="2">
        <f t="shared" si="40"/>
        <v>16455</v>
      </c>
      <c r="H80" s="2" t="s">
        <v>428</v>
      </c>
      <c r="I80" s="2" t="s">
        <v>422</v>
      </c>
      <c r="J80" s="2" t="s">
        <v>109</v>
      </c>
      <c r="K80" s="2">
        <v>4</v>
      </c>
    </row>
    <row r="81" spans="1:11">
      <c r="A81" s="1" t="str">
        <f t="shared" si="41"/>
        <v>0x4048</v>
      </c>
      <c r="C81" s="1" t="str">
        <f t="shared" si="38"/>
        <v>0x404B</v>
      </c>
      <c r="E81" s="2">
        <f t="shared" si="39"/>
        <v>16456</v>
      </c>
      <c r="G81" s="2">
        <f t="shared" si="40"/>
        <v>16459</v>
      </c>
      <c r="H81" s="2" t="s">
        <v>429</v>
      </c>
      <c r="I81" s="2" t="s">
        <v>422</v>
      </c>
      <c r="J81" s="2" t="s">
        <v>109</v>
      </c>
      <c r="K81" s="2">
        <v>4</v>
      </c>
    </row>
    <row r="82" spans="1:11">
      <c r="A82" s="1" t="str">
        <f t="shared" si="41"/>
        <v>0x404C</v>
      </c>
      <c r="C82" s="1" t="str">
        <f t="shared" si="38"/>
        <v>0x404F</v>
      </c>
      <c r="E82" s="2">
        <f t="shared" si="39"/>
        <v>16460</v>
      </c>
      <c r="G82" s="2">
        <f t="shared" si="40"/>
        <v>16463</v>
      </c>
      <c r="H82" s="2" t="s">
        <v>430</v>
      </c>
      <c r="I82" s="2" t="s">
        <v>422</v>
      </c>
      <c r="J82" s="2" t="s">
        <v>109</v>
      </c>
      <c r="K82" s="2">
        <v>4</v>
      </c>
    </row>
    <row r="83" spans="1:11">
      <c r="A83" s="1" t="str">
        <f>"0x"&amp;DEC2HEX(E83,4)</f>
        <v>0x4050</v>
      </c>
      <c r="C83" s="1" t="str">
        <f t="shared" si="38"/>
        <v>0x4053</v>
      </c>
      <c r="E83" s="2">
        <f t="shared" si="39"/>
        <v>16464</v>
      </c>
      <c r="G83" s="2">
        <f t="shared" si="40"/>
        <v>16467</v>
      </c>
      <c r="H83" s="2" t="s">
        <v>431</v>
      </c>
      <c r="I83" s="2" t="s">
        <v>422</v>
      </c>
      <c r="J83" s="2" t="s">
        <v>109</v>
      </c>
      <c r="K83" s="2">
        <v>4</v>
      </c>
    </row>
    <row r="84" spans="1:11">
      <c r="A84" s="1" t="str">
        <f t="shared" ref="A84:A86" si="42">"0x"&amp;DEC2HEX(E84,4)</f>
        <v>0x4054</v>
      </c>
      <c r="C84" s="1" t="str">
        <f t="shared" ref="C84:C86" si="43">"0x"&amp;DEC2HEX(G84,4)</f>
        <v>0x4057</v>
      </c>
      <c r="E84" s="2">
        <f t="shared" ref="E84:E86" si="44">E83+K83</f>
        <v>16468</v>
      </c>
      <c r="G84" s="2">
        <f t="shared" ref="G84:G86" si="45">E84+K84-1</f>
        <v>16471</v>
      </c>
      <c r="H84" s="2" t="s">
        <v>432</v>
      </c>
      <c r="I84" s="2" t="s">
        <v>422</v>
      </c>
      <c r="J84" s="2" t="s">
        <v>109</v>
      </c>
      <c r="K84" s="2">
        <v>4</v>
      </c>
    </row>
    <row r="85" spans="1:11">
      <c r="A85" s="1" t="str">
        <f t="shared" si="42"/>
        <v>0x4058</v>
      </c>
      <c r="C85" s="1" t="str">
        <f t="shared" si="43"/>
        <v>0x405B</v>
      </c>
      <c r="E85" s="2">
        <f t="shared" si="44"/>
        <v>16472</v>
      </c>
      <c r="G85" s="2">
        <f t="shared" si="45"/>
        <v>16475</v>
      </c>
      <c r="H85" s="2" t="s">
        <v>433</v>
      </c>
      <c r="I85" s="2" t="s">
        <v>422</v>
      </c>
      <c r="J85" s="2" t="s">
        <v>109</v>
      </c>
      <c r="K85" s="2">
        <v>4</v>
      </c>
    </row>
    <row r="86" spans="1:11">
      <c r="A86" s="1" t="str">
        <f t="shared" si="42"/>
        <v>0x405C</v>
      </c>
      <c r="C86" s="1" t="str">
        <f t="shared" si="43"/>
        <v>0x405F</v>
      </c>
      <c r="E86" s="2">
        <f t="shared" si="44"/>
        <v>16476</v>
      </c>
      <c r="G86" s="2">
        <f t="shared" si="45"/>
        <v>16479</v>
      </c>
      <c r="H86" s="2" t="s">
        <v>434</v>
      </c>
      <c r="I86" s="2" t="s">
        <v>422</v>
      </c>
      <c r="J86" s="2" t="s">
        <v>109</v>
      </c>
      <c r="K86" s="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25"/>
  <cols>
    <col min="1" max="1" width="19.375" style="27" bestFit="1" customWidth="1"/>
    <col min="2" max="2" width="2.375" style="27" customWidth="1"/>
    <col min="3" max="3" width="10.75" style="27" bestFit="1" customWidth="1"/>
    <col min="4" max="4" width="2.375" style="27" customWidth="1"/>
    <col min="5" max="5" width="12" style="27" bestFit="1" customWidth="1"/>
    <col min="6" max="6" width="1.375" style="27" customWidth="1"/>
    <col min="7" max="7" width="11.25" style="27" bestFit="1" customWidth="1"/>
    <col min="8" max="8" width="23" style="27" bestFit="1" customWidth="1"/>
    <col min="9" max="9" width="11.75" style="27" bestFit="1" customWidth="1"/>
    <col min="10" max="10" width="5.25" style="27" bestFit="1" customWidth="1"/>
    <col min="11" max="11" width="4.25" style="27" bestFit="1" customWidth="1"/>
    <col min="12" max="12" width="36.25" style="10" bestFit="1" customWidth="1"/>
    <col min="13" max="13" width="15.75" style="27" bestFit="1" customWidth="1"/>
    <col min="14" max="14" width="12.375" style="27" customWidth="1"/>
    <col min="15" max="15" width="29.875" style="27" bestFit="1" customWidth="1"/>
    <col min="16" max="16" width="9" style="27"/>
    <col min="17" max="16384" width="9" style="11"/>
  </cols>
  <sheetData>
    <row r="1" spans="1:16" s="32" customFormat="1" ht="28.5">
      <c r="A1" s="30" t="s">
        <v>95</v>
      </c>
      <c r="B1" s="30"/>
      <c r="C1" s="30" t="s">
        <v>96</v>
      </c>
      <c r="D1" s="30"/>
      <c r="E1" s="30" t="s">
        <v>97</v>
      </c>
      <c r="F1" s="30"/>
      <c r="G1" s="30" t="s">
        <v>98</v>
      </c>
      <c r="H1" s="30" t="s">
        <v>99</v>
      </c>
      <c r="I1" s="30" t="s">
        <v>100</v>
      </c>
      <c r="J1" s="30" t="s">
        <v>102</v>
      </c>
      <c r="K1" s="30" t="s">
        <v>101</v>
      </c>
      <c r="L1" s="31" t="s">
        <v>103</v>
      </c>
      <c r="M1" s="30" t="s">
        <v>104</v>
      </c>
      <c r="N1" s="30" t="s">
        <v>105</v>
      </c>
      <c r="O1" s="30"/>
      <c r="P1" s="30"/>
    </row>
    <row r="2" spans="1:16" s="35" customForma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33"/>
      <c r="N2" s="33"/>
      <c r="O2" s="33"/>
      <c r="P2" s="33"/>
    </row>
    <row r="3" spans="1:16" ht="28.5">
      <c r="A3" s="42" t="s">
        <v>435</v>
      </c>
    </row>
    <row r="4" spans="1:16" ht="40.5">
      <c r="A4" s="27" t="str">
        <f t="shared" ref="A4:C4" si="0">"0x"&amp;DEC2HEX(E4,4)</f>
        <v>0xF000</v>
      </c>
      <c r="C4" s="27" t="str">
        <f t="shared" si="0"/>
        <v>0xF001</v>
      </c>
      <c r="E4" s="27">
        <v>61440</v>
      </c>
      <c r="G4" s="27">
        <f>E4+J4-1</f>
        <v>61441</v>
      </c>
      <c r="H4" s="27" t="s">
        <v>436</v>
      </c>
      <c r="J4" s="27">
        <v>2</v>
      </c>
      <c r="K4" s="27" t="s">
        <v>214</v>
      </c>
      <c r="L4" s="10" t="s">
        <v>437</v>
      </c>
      <c r="M4" s="27" t="s">
        <v>438</v>
      </c>
      <c r="N4" s="27" t="s">
        <v>438</v>
      </c>
      <c r="O4" s="10"/>
    </row>
    <row r="5" spans="1:16" ht="40.5">
      <c r="A5" s="27" t="str">
        <f t="shared" ref="A5" si="1">"0x"&amp;DEC2HEX(E5,4)</f>
        <v>0xF002</v>
      </c>
      <c r="C5" s="27" t="str">
        <f t="shared" ref="C5" si="2">"0x"&amp;DEC2HEX(G5,4)</f>
        <v>0xF004</v>
      </c>
      <c r="E5" s="27">
        <f>G4+1</f>
        <v>61442</v>
      </c>
      <c r="G5" s="27">
        <f>E5+J5-1</f>
        <v>61444</v>
      </c>
      <c r="H5" s="27" t="s">
        <v>439</v>
      </c>
      <c r="J5" s="27">
        <v>3</v>
      </c>
      <c r="K5" s="27" t="s">
        <v>214</v>
      </c>
      <c r="L5" s="10" t="s">
        <v>440</v>
      </c>
      <c r="M5" s="27" t="s">
        <v>438</v>
      </c>
      <c r="N5" s="27" t="s">
        <v>438</v>
      </c>
      <c r="O5" s="10"/>
    </row>
    <row r="6" spans="1:16" ht="40.5">
      <c r="A6" s="27" t="str">
        <f t="shared" ref="A6" si="3">"0x"&amp;DEC2HEX(E6,4)</f>
        <v>0xF005</v>
      </c>
      <c r="C6" s="27" t="str">
        <f t="shared" ref="C6" si="4">"0x"&amp;DEC2HEX(G6,4)</f>
        <v>0xF005</v>
      </c>
      <c r="E6" s="27">
        <f>G5+1</f>
        <v>61445</v>
      </c>
      <c r="G6" s="27">
        <f>E6+J6-1</f>
        <v>61445</v>
      </c>
      <c r="H6" s="27" t="s">
        <v>441</v>
      </c>
      <c r="J6" s="27">
        <v>1</v>
      </c>
      <c r="K6" s="27" t="s">
        <v>214</v>
      </c>
      <c r="L6" s="10" t="s">
        <v>442</v>
      </c>
      <c r="M6" s="27" t="s">
        <v>438</v>
      </c>
      <c r="N6" s="27" t="s">
        <v>438</v>
      </c>
      <c r="O6" s="10"/>
    </row>
    <row r="7" spans="1:16" ht="40.5">
      <c r="A7" s="27" t="str">
        <f t="shared" ref="A7" si="5">"0x"&amp;DEC2HEX(E7,4)</f>
        <v>0xF006</v>
      </c>
      <c r="C7" s="27" t="str">
        <f t="shared" ref="C7" si="6">"0x"&amp;DEC2HEX(G7,4)</f>
        <v>0xF006</v>
      </c>
      <c r="E7" s="27">
        <f>G6+1</f>
        <v>61446</v>
      </c>
      <c r="G7" s="27">
        <f>E7+J7-1</f>
        <v>61446</v>
      </c>
      <c r="H7" s="27" t="s">
        <v>443</v>
      </c>
      <c r="J7" s="27">
        <v>1</v>
      </c>
      <c r="L7" s="67" t="s">
        <v>444</v>
      </c>
      <c r="M7" s="27" t="s">
        <v>438</v>
      </c>
      <c r="N7" s="27" t="s">
        <v>438</v>
      </c>
      <c r="O7" s="10"/>
    </row>
    <row r="8" spans="1:16" ht="15.75">
      <c r="O8" s="10"/>
    </row>
    <row r="9" spans="1:16" ht="21">
      <c r="A9" s="42" t="s">
        <v>445</v>
      </c>
    </row>
    <row r="10" spans="1:16" ht="60.75">
      <c r="A10" s="27" t="str">
        <f t="shared" ref="A10:A12" si="7">"0x"&amp;DEC2HEX(E10,4)</f>
        <v>0xF010</v>
      </c>
      <c r="C10" s="27" t="str">
        <f t="shared" ref="C10:C12" si="8">"0x"&amp;DEC2HEX(G10,4)</f>
        <v>0xF011</v>
      </c>
      <c r="E10" s="27">
        <v>61456</v>
      </c>
      <c r="G10" s="27">
        <f>E10+J10-1</f>
        <v>61457</v>
      </c>
      <c r="H10" s="27" t="s">
        <v>446</v>
      </c>
      <c r="J10" s="27">
        <v>2</v>
      </c>
      <c r="K10" s="27" t="s">
        <v>214</v>
      </c>
      <c r="L10" s="67" t="s">
        <v>447</v>
      </c>
      <c r="M10" s="27" t="s">
        <v>448</v>
      </c>
      <c r="N10" s="27" t="s">
        <v>448</v>
      </c>
      <c r="O10" s="10"/>
    </row>
    <row r="11" spans="1:16" ht="60.75">
      <c r="A11" s="27" t="str">
        <f t="shared" si="7"/>
        <v>0xF012</v>
      </c>
      <c r="C11" s="27" t="str">
        <f t="shared" si="8"/>
        <v>0xF014</v>
      </c>
      <c r="E11" s="27">
        <f>G10+1</f>
        <v>61458</v>
      </c>
      <c r="G11" s="27">
        <f>E11+J11-1</f>
        <v>61460</v>
      </c>
      <c r="H11" s="27" t="s">
        <v>449</v>
      </c>
      <c r="J11" s="27">
        <v>3</v>
      </c>
      <c r="K11" s="27" t="s">
        <v>214</v>
      </c>
      <c r="L11" s="67" t="s">
        <v>450</v>
      </c>
      <c r="M11" s="27" t="s">
        <v>448</v>
      </c>
      <c r="N11" s="27" t="s">
        <v>448</v>
      </c>
      <c r="O11" s="10"/>
    </row>
    <row r="12" spans="1:16" ht="60.75">
      <c r="A12" s="27" t="str">
        <f t="shared" si="7"/>
        <v>0xF015</v>
      </c>
      <c r="C12" s="27" t="str">
        <f t="shared" si="8"/>
        <v>0xF016</v>
      </c>
      <c r="E12" s="27">
        <f>G11+1</f>
        <v>61461</v>
      </c>
      <c r="G12" s="27">
        <f>E12+J12-1</f>
        <v>61462</v>
      </c>
      <c r="H12" s="27" t="s">
        <v>451</v>
      </c>
      <c r="J12" s="27">
        <v>2</v>
      </c>
      <c r="K12" s="27" t="s">
        <v>214</v>
      </c>
      <c r="L12" s="67" t="s">
        <v>452</v>
      </c>
      <c r="M12" s="27" t="s">
        <v>448</v>
      </c>
      <c r="N12" s="27" t="s">
        <v>448</v>
      </c>
      <c r="O12" s="10"/>
    </row>
    <row r="14" spans="1:16" s="35" customFormat="1">
      <c r="A14" s="42" t="s">
        <v>453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3"/>
      <c r="N14" s="33"/>
      <c r="O14" s="33"/>
      <c r="P14" s="33"/>
    </row>
    <row r="15" spans="1:16" ht="40.5">
      <c r="A15" s="27" t="str">
        <f t="shared" ref="A15:A20" si="9">"0x"&amp;DEC2HEX(E15,4)</f>
        <v>0xF040</v>
      </c>
      <c r="C15" s="27" t="str">
        <f t="shared" ref="C15:C20" si="10">"0x"&amp;DEC2HEX(G15,4)</f>
        <v>0xF04F</v>
      </c>
      <c r="E15" s="27">
        <v>61504</v>
      </c>
      <c r="G15" s="27">
        <f>E15+J15-1</f>
        <v>61519</v>
      </c>
      <c r="H15" s="27" t="s">
        <v>454</v>
      </c>
      <c r="J15" s="27">
        <v>16</v>
      </c>
      <c r="K15" s="27" t="s">
        <v>101</v>
      </c>
      <c r="L15" s="10" t="s">
        <v>455</v>
      </c>
      <c r="M15" s="36"/>
      <c r="O15" s="10" t="s">
        <v>456</v>
      </c>
    </row>
    <row r="16" spans="1:16" ht="21">
      <c r="A16" s="27" t="str">
        <f t="shared" si="9"/>
        <v>0xF050</v>
      </c>
      <c r="C16" s="27" t="str">
        <f t="shared" si="10"/>
        <v>0xF051</v>
      </c>
      <c r="E16" s="27">
        <f>G15+1</f>
        <v>61520</v>
      </c>
      <c r="G16" s="27">
        <f>E16+J16-1</f>
        <v>61521</v>
      </c>
      <c r="H16" s="27" t="s">
        <v>457</v>
      </c>
      <c r="J16" s="27">
        <v>2</v>
      </c>
      <c r="K16" s="27" t="s">
        <v>458</v>
      </c>
      <c r="L16" s="10" t="s">
        <v>459</v>
      </c>
      <c r="M16" s="27">
        <v>1.01</v>
      </c>
      <c r="N16" s="27">
        <v>1.01</v>
      </c>
      <c r="O16" s="10" t="s">
        <v>456</v>
      </c>
    </row>
    <row r="17" spans="1:15" ht="21">
      <c r="A17" s="27" t="str">
        <f t="shared" si="9"/>
        <v>0xF052</v>
      </c>
      <c r="C17" s="27" t="str">
        <f t="shared" si="10"/>
        <v>0xF052</v>
      </c>
      <c r="E17" s="27">
        <f t="shared" ref="E17:E20" si="11">G16+1</f>
        <v>61522</v>
      </c>
      <c r="G17" s="27">
        <f t="shared" ref="G17:G20" si="12">E17+J17-1</f>
        <v>61522</v>
      </c>
      <c r="H17" s="27" t="s">
        <v>460</v>
      </c>
      <c r="J17" s="27">
        <v>1</v>
      </c>
      <c r="K17" s="27" t="s">
        <v>101</v>
      </c>
      <c r="L17" s="66" t="s">
        <v>461</v>
      </c>
      <c r="M17" s="36">
        <v>0</v>
      </c>
      <c r="N17" s="36">
        <v>0</v>
      </c>
      <c r="O17" s="10" t="s">
        <v>456</v>
      </c>
    </row>
    <row r="18" spans="1:15" ht="21">
      <c r="A18" s="27" t="str">
        <f t="shared" si="9"/>
        <v>0xF053</v>
      </c>
      <c r="C18" s="27" t="str">
        <f t="shared" si="10"/>
        <v>0xF053</v>
      </c>
      <c r="E18" s="27">
        <f t="shared" si="11"/>
        <v>61523</v>
      </c>
      <c r="G18" s="27">
        <f t="shared" si="12"/>
        <v>61523</v>
      </c>
      <c r="H18" s="27" t="s">
        <v>462</v>
      </c>
      <c r="J18" s="27">
        <v>1</v>
      </c>
      <c r="K18" s="27" t="s">
        <v>101</v>
      </c>
      <c r="L18" s="66" t="s">
        <v>463</v>
      </c>
      <c r="M18" s="36">
        <v>0</v>
      </c>
      <c r="N18" s="36">
        <v>0</v>
      </c>
      <c r="O18" s="10" t="s">
        <v>456</v>
      </c>
    </row>
    <row r="19" spans="1:15" ht="81.75">
      <c r="A19" s="27" t="str">
        <f t="shared" si="9"/>
        <v>0xF054</v>
      </c>
      <c r="C19" s="27" t="str">
        <f t="shared" si="10"/>
        <v>0xF054</v>
      </c>
      <c r="E19" s="27">
        <f t="shared" si="11"/>
        <v>61524</v>
      </c>
      <c r="G19" s="27">
        <f t="shared" si="12"/>
        <v>61524</v>
      </c>
      <c r="H19" s="27" t="s">
        <v>464</v>
      </c>
      <c r="J19" s="27">
        <v>1</v>
      </c>
      <c r="K19" s="27" t="s">
        <v>101</v>
      </c>
      <c r="L19" s="10" t="s">
        <v>465</v>
      </c>
      <c r="M19" s="36">
        <v>0</v>
      </c>
      <c r="N19" s="36">
        <v>0</v>
      </c>
      <c r="O19" s="10" t="s">
        <v>456</v>
      </c>
    </row>
    <row r="20" spans="1:15" ht="28.5">
      <c r="A20" s="27" t="str">
        <f t="shared" si="9"/>
        <v>0xF055</v>
      </c>
      <c r="C20" s="27" t="str">
        <f t="shared" si="10"/>
        <v>0xF055</v>
      </c>
      <c r="E20" s="27">
        <f t="shared" si="11"/>
        <v>61525</v>
      </c>
      <c r="G20" s="27">
        <f t="shared" si="12"/>
        <v>61525</v>
      </c>
      <c r="H20" s="27" t="s">
        <v>466</v>
      </c>
      <c r="J20" s="27">
        <v>1</v>
      </c>
      <c r="K20" s="27" t="s">
        <v>101</v>
      </c>
      <c r="L20" s="10" t="s">
        <v>467</v>
      </c>
      <c r="M20" s="36">
        <v>1</v>
      </c>
      <c r="N20" s="27">
        <v>1</v>
      </c>
      <c r="O20" s="10" t="s">
        <v>456</v>
      </c>
    </row>
    <row r="21" spans="1:15" ht="21">
      <c r="A21" s="27" t="str">
        <f>"0x"&amp;DEC2HEX(E21,4)</f>
        <v>0xF056</v>
      </c>
      <c r="C21" s="27" t="str">
        <f>"0x"&amp;DEC2HEX(G21,4)</f>
        <v>0xF065</v>
      </c>
      <c r="E21" s="27">
        <f>G20+1</f>
        <v>61526</v>
      </c>
      <c r="G21" s="27">
        <f>E21+J21-1</f>
        <v>61541</v>
      </c>
      <c r="H21" s="27" t="s">
        <v>468</v>
      </c>
      <c r="J21" s="27">
        <v>16</v>
      </c>
      <c r="K21" s="27" t="s">
        <v>458</v>
      </c>
      <c r="O21" s="10" t="s">
        <v>456</v>
      </c>
    </row>
    <row r="22" spans="1:15" ht="21">
      <c r="A22" s="27" t="str">
        <f>"0x"&amp;DEC2HEX(E22,4)</f>
        <v>0xF066</v>
      </c>
      <c r="C22" s="27" t="str">
        <f>"0x"&amp;DEC2HEX(G22,4)</f>
        <v>0xF066</v>
      </c>
      <c r="E22" s="27">
        <f>G21+1</f>
        <v>61542</v>
      </c>
      <c r="G22" s="27">
        <f>E22+J22-1</f>
        <v>61542</v>
      </c>
      <c r="H22" s="27" t="s">
        <v>469</v>
      </c>
      <c r="J22" s="27">
        <v>1</v>
      </c>
      <c r="K22" s="27" t="s">
        <v>458</v>
      </c>
      <c r="L22" s="66" t="s">
        <v>470</v>
      </c>
      <c r="M22" s="27">
        <v>0</v>
      </c>
      <c r="N22" s="27">
        <v>0</v>
      </c>
      <c r="O22" s="10" t="s">
        <v>456</v>
      </c>
    </row>
    <row r="23" spans="1:15" ht="21">
      <c r="A23" s="27" t="str">
        <f>"0x"&amp;DEC2HEX(E23,4)</f>
        <v>0xF067</v>
      </c>
      <c r="C23" s="27" t="str">
        <f>"0x"&amp;DEC2HEX(G23,4)</f>
        <v>0xF067</v>
      </c>
      <c r="E23" s="27">
        <f t="shared" ref="E23:E24" si="13">G22+1</f>
        <v>61543</v>
      </c>
      <c r="G23" s="27">
        <f t="shared" ref="G23:G24" si="14">E23+J23-1</f>
        <v>61543</v>
      </c>
      <c r="H23" s="27" t="s">
        <v>471</v>
      </c>
      <c r="J23" s="27">
        <v>1</v>
      </c>
      <c r="K23" s="27" t="s">
        <v>458</v>
      </c>
      <c r="L23" s="66" t="s">
        <v>472</v>
      </c>
      <c r="M23" s="27">
        <v>0</v>
      </c>
      <c r="N23" s="27">
        <v>0</v>
      </c>
      <c r="O23" s="10" t="s">
        <v>456</v>
      </c>
    </row>
    <row r="24" spans="1:15" ht="21">
      <c r="A24" s="27" t="str">
        <f>"0x"&amp;DEC2HEX(E24,4)</f>
        <v>0xF068</v>
      </c>
      <c r="C24" s="27" t="str">
        <f>"0x"&amp;DEC2HEX(G24,4)</f>
        <v>0xF06F</v>
      </c>
      <c r="E24" s="27">
        <f t="shared" si="13"/>
        <v>61544</v>
      </c>
      <c r="G24" s="27">
        <f t="shared" si="14"/>
        <v>61551</v>
      </c>
      <c r="H24" s="27" t="s">
        <v>473</v>
      </c>
      <c r="J24" s="27">
        <v>8</v>
      </c>
      <c r="K24" s="27" t="s">
        <v>458</v>
      </c>
      <c r="O24" s="10" t="s">
        <v>456</v>
      </c>
    </row>
    <row r="25" spans="1:15" ht="15.75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0"/>
  <sheetViews>
    <sheetView workbookViewId="0">
      <selection activeCell="K35" sqref="K35"/>
    </sheetView>
  </sheetViews>
  <sheetFormatPr defaultColWidth="9" defaultRowHeight="14.25"/>
  <cols>
    <col min="1" max="1" width="11.75" style="2" customWidth="1"/>
    <col min="2" max="7" width="9" style="2"/>
    <col min="8" max="8" width="38.375" style="2" customWidth="1"/>
    <col min="9" max="11" width="9" style="2"/>
    <col min="12" max="12" width="29.875" style="2" customWidth="1"/>
    <col min="13" max="13" width="10.875" style="2" customWidth="1"/>
    <col min="14" max="14" width="19.375" style="2" customWidth="1"/>
    <col min="15" max="16384" width="9" style="2"/>
  </cols>
  <sheetData>
    <row r="1" spans="1:16" s="4" customFormat="1">
      <c r="A1" s="3" t="s">
        <v>95</v>
      </c>
      <c r="B1" s="3"/>
      <c r="C1" s="3" t="s">
        <v>96</v>
      </c>
      <c r="D1" s="3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7" t="s">
        <v>102</v>
      </c>
      <c r="L1" s="7" t="s">
        <v>103</v>
      </c>
      <c r="M1" s="3" t="s">
        <v>104</v>
      </c>
      <c r="N1" s="3" t="s">
        <v>105</v>
      </c>
      <c r="O1" s="3"/>
      <c r="P1" s="3"/>
    </row>
    <row r="2" spans="1:16" s="6" customFormat="1">
      <c r="A2" s="5"/>
      <c r="B2" s="5"/>
      <c r="C2" s="5"/>
      <c r="D2" s="5"/>
      <c r="E2" s="5"/>
      <c r="F2" s="5"/>
      <c r="G2" s="5"/>
      <c r="H2" s="8"/>
      <c r="I2" s="5"/>
      <c r="J2" s="5"/>
      <c r="K2" s="8"/>
      <c r="L2" s="8"/>
      <c r="M2" s="5"/>
      <c r="N2" s="5"/>
      <c r="O2" s="5"/>
      <c r="P2" s="5"/>
    </row>
    <row r="3" spans="1:16" s="6" customFormat="1">
      <c r="A3" s="41" t="s">
        <v>474</v>
      </c>
    </row>
    <row r="4" spans="1:16">
      <c r="A4" s="1" t="str">
        <f t="shared" ref="A4:A17" si="0">"0x"&amp;DEC2HEX(E4,4)</f>
        <v>0x1100</v>
      </c>
      <c r="E4" s="2">
        <v>4352</v>
      </c>
      <c r="H4" s="2" t="s">
        <v>475</v>
      </c>
      <c r="J4" s="2" t="s">
        <v>109</v>
      </c>
      <c r="K4" s="2">
        <v>1</v>
      </c>
    </row>
    <row r="5" spans="1:16">
      <c r="A5" s="1" t="str">
        <f t="shared" si="0"/>
        <v>0x1101</v>
      </c>
      <c r="E5" s="2">
        <f>E4+K4</f>
        <v>4353</v>
      </c>
      <c r="H5" s="2" t="s">
        <v>476</v>
      </c>
      <c r="J5" s="2" t="s">
        <v>109</v>
      </c>
      <c r="K5" s="2">
        <v>1</v>
      </c>
    </row>
    <row r="6" spans="1:16">
      <c r="A6" s="1" t="str">
        <f t="shared" si="0"/>
        <v>0x1102</v>
      </c>
      <c r="C6" s="1" t="str">
        <f>"0x"&amp;DEC2HEX(G6,4)</f>
        <v>0x1176</v>
      </c>
      <c r="E6" s="2">
        <f t="shared" ref="E6:E15" si="1">E5+K5</f>
        <v>4354</v>
      </c>
      <c r="G6" s="2">
        <f>E6+K6-1</f>
        <v>4470</v>
      </c>
      <c r="H6" s="18" t="s">
        <v>477</v>
      </c>
      <c r="J6" s="2" t="s">
        <v>109</v>
      </c>
      <c r="K6" s="2">
        <v>117</v>
      </c>
    </row>
    <row r="7" spans="1:16">
      <c r="A7" s="1" t="str">
        <f t="shared" si="0"/>
        <v>0x1177</v>
      </c>
      <c r="C7" s="1" t="str">
        <f>"0x"&amp;DEC2HEX(G7,4)</f>
        <v>0x11B1</v>
      </c>
      <c r="E7" s="2">
        <f t="shared" si="1"/>
        <v>4471</v>
      </c>
      <c r="G7" s="2">
        <f>E7+K7-1</f>
        <v>4529</v>
      </c>
      <c r="H7" s="18" t="s">
        <v>478</v>
      </c>
      <c r="J7" s="2" t="s">
        <v>109</v>
      </c>
      <c r="K7" s="2">
        <v>59</v>
      </c>
      <c r="L7" s="18" t="s">
        <v>479</v>
      </c>
    </row>
    <row r="8" spans="1:16">
      <c r="A8" s="1" t="str">
        <f t="shared" si="0"/>
        <v>0x11B2</v>
      </c>
      <c r="E8" s="2">
        <f t="shared" si="1"/>
        <v>4530</v>
      </c>
      <c r="H8" s="2" t="s">
        <v>480</v>
      </c>
      <c r="J8" s="2" t="s">
        <v>109</v>
      </c>
      <c r="K8" s="2">
        <v>1</v>
      </c>
    </row>
    <row r="9" spans="1:16">
      <c r="A9" s="1" t="str">
        <f t="shared" si="0"/>
        <v>0x11B3</v>
      </c>
      <c r="E9" s="2">
        <f t="shared" si="1"/>
        <v>4531</v>
      </c>
      <c r="H9" s="2" t="s">
        <v>481</v>
      </c>
      <c r="J9" s="2" t="s">
        <v>109</v>
      </c>
      <c r="K9" s="2">
        <v>1</v>
      </c>
    </row>
    <row r="10" spans="1:16">
      <c r="A10" s="1" t="str">
        <f t="shared" si="0"/>
        <v>0x11B4</v>
      </c>
      <c r="E10" s="2">
        <f t="shared" si="1"/>
        <v>4532</v>
      </c>
      <c r="H10" s="2" t="s">
        <v>482</v>
      </c>
      <c r="J10" s="2" t="s">
        <v>109</v>
      </c>
      <c r="K10" s="2">
        <v>1</v>
      </c>
    </row>
    <row r="11" spans="1:16">
      <c r="A11" s="1" t="str">
        <f t="shared" si="0"/>
        <v>0x11B5</v>
      </c>
      <c r="E11" s="2">
        <f t="shared" si="1"/>
        <v>4533</v>
      </c>
      <c r="H11" s="2" t="s">
        <v>483</v>
      </c>
      <c r="J11" s="2" t="s">
        <v>109</v>
      </c>
      <c r="K11" s="2">
        <v>1</v>
      </c>
    </row>
    <row r="12" spans="1:16">
      <c r="A12" s="1" t="str">
        <f t="shared" si="0"/>
        <v>0x11B6</v>
      </c>
      <c r="E12" s="2">
        <f t="shared" si="1"/>
        <v>4534</v>
      </c>
      <c r="H12" s="2" t="s">
        <v>484</v>
      </c>
      <c r="J12" s="2" t="s">
        <v>109</v>
      </c>
      <c r="K12" s="2">
        <v>1</v>
      </c>
    </row>
    <row r="13" spans="1:16">
      <c r="A13" s="1" t="str">
        <f t="shared" si="0"/>
        <v>0x11B7</v>
      </c>
      <c r="E13" s="2">
        <f t="shared" si="1"/>
        <v>4535</v>
      </c>
      <c r="H13" s="2" t="s">
        <v>485</v>
      </c>
      <c r="J13" s="2" t="s">
        <v>109</v>
      </c>
      <c r="K13" s="2">
        <v>1</v>
      </c>
    </row>
    <row r="14" spans="1:16">
      <c r="A14" s="1" t="str">
        <f t="shared" si="0"/>
        <v>0x11B8</v>
      </c>
      <c r="E14" s="2">
        <f t="shared" si="1"/>
        <v>4536</v>
      </c>
      <c r="H14" s="2" t="s">
        <v>486</v>
      </c>
      <c r="J14" s="2" t="s">
        <v>109</v>
      </c>
      <c r="K14" s="2">
        <v>1</v>
      </c>
    </row>
    <row r="15" spans="1:16">
      <c r="A15" s="1" t="str">
        <f t="shared" si="0"/>
        <v>0x11B9</v>
      </c>
      <c r="B15" s="18"/>
      <c r="E15" s="2">
        <f t="shared" si="1"/>
        <v>4537</v>
      </c>
      <c r="H15" s="2" t="s">
        <v>487</v>
      </c>
      <c r="J15" s="2" t="s">
        <v>109</v>
      </c>
      <c r="K15" s="2">
        <v>1</v>
      </c>
    </row>
    <row r="16" spans="1:16">
      <c r="A16" s="1" t="str">
        <f t="shared" si="0"/>
        <v>0x11C0</v>
      </c>
      <c r="C16" s="1" t="str">
        <f>"0x"&amp;DEC2HEX(G16,4)</f>
        <v>0x1279</v>
      </c>
      <c r="E16" s="2">
        <v>4544</v>
      </c>
      <c r="G16" s="2">
        <f>E16+K16-1</f>
        <v>4729</v>
      </c>
      <c r="H16" s="2" t="s">
        <v>488</v>
      </c>
      <c r="J16" s="2" t="s">
        <v>109</v>
      </c>
      <c r="K16" s="2">
        <v>186</v>
      </c>
    </row>
    <row r="17" spans="1:11">
      <c r="A17" s="1" t="str">
        <f t="shared" si="0"/>
        <v>0x1280</v>
      </c>
      <c r="C17" s="1" t="str">
        <f>"0x"&amp;DEC2HEX(G17,4)</f>
        <v>0x1339</v>
      </c>
      <c r="E17" s="2">
        <v>4736</v>
      </c>
      <c r="G17" s="2">
        <f>E17+K17-1</f>
        <v>4921</v>
      </c>
      <c r="H17" s="2" t="s">
        <v>489</v>
      </c>
      <c r="J17" s="2" t="s">
        <v>109</v>
      </c>
      <c r="K17" s="2">
        <v>186</v>
      </c>
    </row>
    <row r="20" spans="1:11">
      <c r="A20" s="41" t="s">
        <v>490</v>
      </c>
    </row>
    <row r="21" spans="1:11">
      <c r="A21" s="1" t="str">
        <f t="shared" ref="A21:C24" si="2">"0x"&amp;DEC2HEX(E21,4)</f>
        <v>0x6000</v>
      </c>
      <c r="E21" s="2">
        <v>24576</v>
      </c>
      <c r="H21" s="2" t="s">
        <v>491</v>
      </c>
      <c r="J21" s="2" t="s">
        <v>109</v>
      </c>
      <c r="K21" s="2">
        <v>1</v>
      </c>
    </row>
    <row r="22" spans="1:11" ht="28.5">
      <c r="A22" s="1" t="str">
        <f t="shared" si="2"/>
        <v>0x6001</v>
      </c>
      <c r="E22" s="2">
        <f>E21+K21</f>
        <v>24577</v>
      </c>
      <c r="H22" s="11" t="s">
        <v>492</v>
      </c>
      <c r="J22" s="2" t="s">
        <v>109</v>
      </c>
      <c r="K22" s="2">
        <v>1</v>
      </c>
    </row>
    <row r="23" spans="1:11">
      <c r="A23" s="1" t="str">
        <f t="shared" si="2"/>
        <v>0x6002</v>
      </c>
      <c r="C23" s="1" t="str">
        <f t="shared" si="2"/>
        <v>0x6003</v>
      </c>
      <c r="E23" s="2">
        <f>E22+K22</f>
        <v>24578</v>
      </c>
      <c r="G23" s="2">
        <f>E23-1+K23</f>
        <v>24579</v>
      </c>
      <c r="H23" s="2" t="s">
        <v>493</v>
      </c>
      <c r="J23" s="2" t="s">
        <v>109</v>
      </c>
      <c r="K23" s="2">
        <v>2</v>
      </c>
    </row>
    <row r="24" spans="1:11">
      <c r="A24" s="1" t="str">
        <f t="shared" si="2"/>
        <v>0x6004</v>
      </c>
      <c r="C24" s="1" t="str">
        <f t="shared" si="2"/>
        <v>0x607E</v>
      </c>
      <c r="E24" s="2">
        <f>E23+K23</f>
        <v>24580</v>
      </c>
      <c r="G24" s="2">
        <f>E24-1+K24</f>
        <v>24702</v>
      </c>
      <c r="H24" s="2" t="s">
        <v>494</v>
      </c>
      <c r="J24" s="2" t="s">
        <v>173</v>
      </c>
      <c r="K24" s="2">
        <v>123</v>
      </c>
    </row>
    <row r="27" spans="1:11" s="6" customFormat="1">
      <c r="A27" s="41" t="s">
        <v>495</v>
      </c>
      <c r="K27" s="2"/>
    </row>
    <row r="28" spans="1:11">
      <c r="A28" s="1" t="str">
        <f>"0x"&amp;DEC2HEX(E28,4)</f>
        <v>0x6100</v>
      </c>
      <c r="C28" s="1" t="str">
        <f>"0x"&amp;DEC2HEX(G28,4)</f>
        <v>0x6101</v>
      </c>
      <c r="E28" s="2">
        <v>24832</v>
      </c>
      <c r="G28" s="2">
        <f>E28+K28-1</f>
        <v>24833</v>
      </c>
      <c r="H28" s="2" t="s">
        <v>496</v>
      </c>
      <c r="I28" s="2" t="s">
        <v>497</v>
      </c>
      <c r="J28" s="2" t="s">
        <v>173</v>
      </c>
      <c r="K28" s="2">
        <v>2</v>
      </c>
    </row>
    <row r="29" spans="1:11">
      <c r="A29" s="1" t="str">
        <f t="shared" ref="A29:A47" si="3">"0x"&amp;DEC2HEX(E29,4)</f>
        <v>0x6102</v>
      </c>
      <c r="C29" s="1" t="str">
        <f t="shared" ref="C29:C47" si="4">"0x"&amp;DEC2HEX(G29,4)</f>
        <v>0x6103</v>
      </c>
      <c r="E29" s="2">
        <f>E28+K28</f>
        <v>24834</v>
      </c>
      <c r="G29" s="2">
        <f>E29+K29-1</f>
        <v>24835</v>
      </c>
      <c r="H29" s="2" t="s">
        <v>498</v>
      </c>
      <c r="I29" s="2" t="s">
        <v>497</v>
      </c>
      <c r="J29" s="2" t="s">
        <v>173</v>
      </c>
      <c r="K29" s="2">
        <v>2</v>
      </c>
    </row>
    <row r="30" spans="1:11">
      <c r="A30" s="1" t="str">
        <f t="shared" si="3"/>
        <v>0x6104</v>
      </c>
      <c r="C30" s="1"/>
      <c r="E30" s="2">
        <f t="shared" ref="E30:E47" si="5">E29+K29</f>
        <v>24836</v>
      </c>
      <c r="H30" s="2" t="s">
        <v>499</v>
      </c>
      <c r="I30" s="2" t="s">
        <v>213</v>
      </c>
      <c r="J30" s="2" t="s">
        <v>173</v>
      </c>
      <c r="K30" s="2">
        <v>1</v>
      </c>
    </row>
    <row r="31" spans="1:11">
      <c r="A31" s="1" t="str">
        <f t="shared" si="3"/>
        <v>0x6105</v>
      </c>
      <c r="C31" s="1"/>
      <c r="E31" s="2">
        <f t="shared" si="5"/>
        <v>24837</v>
      </c>
      <c r="H31" s="2" t="s">
        <v>500</v>
      </c>
      <c r="I31" s="2" t="s">
        <v>213</v>
      </c>
      <c r="J31" s="2" t="s">
        <v>173</v>
      </c>
      <c r="K31" s="2">
        <v>1</v>
      </c>
    </row>
    <row r="32" spans="1:11">
      <c r="A32" s="1" t="str">
        <f t="shared" si="3"/>
        <v>0x6106</v>
      </c>
      <c r="C32" s="1" t="str">
        <f t="shared" si="4"/>
        <v>0x6108</v>
      </c>
      <c r="E32" s="2">
        <f t="shared" si="5"/>
        <v>24838</v>
      </c>
      <c r="G32" s="2">
        <f t="shared" ref="G32:G47" si="6">E32+K32-1</f>
        <v>24840</v>
      </c>
      <c r="H32" s="11" t="s">
        <v>501</v>
      </c>
      <c r="I32" s="2" t="s">
        <v>108</v>
      </c>
      <c r="J32" s="2" t="s">
        <v>173</v>
      </c>
      <c r="K32" s="2">
        <v>3</v>
      </c>
    </row>
    <row r="33" spans="1:11">
      <c r="A33" s="1" t="str">
        <f t="shared" si="3"/>
        <v>0x6109</v>
      </c>
      <c r="C33" s="1" t="str">
        <f t="shared" si="4"/>
        <v>0x610B</v>
      </c>
      <c r="E33" s="2">
        <f t="shared" si="5"/>
        <v>24841</v>
      </c>
      <c r="G33" s="2">
        <f t="shared" si="6"/>
        <v>24843</v>
      </c>
      <c r="H33" s="11" t="s">
        <v>502</v>
      </c>
      <c r="I33" s="2" t="s">
        <v>108</v>
      </c>
      <c r="J33" s="2" t="s">
        <v>173</v>
      </c>
      <c r="K33" s="2">
        <v>3</v>
      </c>
    </row>
    <row r="34" spans="1:11">
      <c r="A34" s="1"/>
      <c r="C34" s="1"/>
      <c r="H34" s="11"/>
    </row>
    <row r="35" spans="1:11">
      <c r="A35" s="1" t="str">
        <f t="shared" si="3"/>
        <v>0x6200</v>
      </c>
      <c r="C35" s="1" t="str">
        <f t="shared" si="4"/>
        <v>0x6201</v>
      </c>
      <c r="E35" s="2">
        <v>25088</v>
      </c>
      <c r="G35" s="2">
        <f t="shared" si="6"/>
        <v>25089</v>
      </c>
      <c r="H35" s="2" t="s">
        <v>496</v>
      </c>
      <c r="I35" s="2" t="s">
        <v>497</v>
      </c>
      <c r="J35" s="2" t="s">
        <v>173</v>
      </c>
      <c r="K35" s="2">
        <v>2</v>
      </c>
    </row>
    <row r="36" spans="1:11">
      <c r="A36" s="1" t="str">
        <f t="shared" si="3"/>
        <v>0x6202</v>
      </c>
      <c r="C36" s="1" t="str">
        <f t="shared" si="4"/>
        <v>0x6203</v>
      </c>
      <c r="E36" s="2">
        <f t="shared" si="5"/>
        <v>25090</v>
      </c>
      <c r="G36" s="2">
        <f t="shared" si="6"/>
        <v>25091</v>
      </c>
      <c r="H36" s="2" t="s">
        <v>498</v>
      </c>
      <c r="I36" s="2" t="s">
        <v>497</v>
      </c>
      <c r="K36" s="2">
        <v>2</v>
      </c>
    </row>
    <row r="37" spans="1:11">
      <c r="A37" s="1" t="str">
        <f t="shared" si="3"/>
        <v>0x6204</v>
      </c>
      <c r="C37" s="1" t="str">
        <f t="shared" si="4"/>
        <v>0x0000</v>
      </c>
      <c r="E37" s="2">
        <f t="shared" si="5"/>
        <v>25092</v>
      </c>
      <c r="H37" s="2" t="s">
        <v>499</v>
      </c>
      <c r="I37" s="2" t="s">
        <v>213</v>
      </c>
      <c r="J37" s="2" t="s">
        <v>173</v>
      </c>
      <c r="K37" s="2">
        <v>1</v>
      </c>
    </row>
    <row r="38" spans="1:11">
      <c r="A38" s="1" t="str">
        <f t="shared" si="3"/>
        <v>0x6205</v>
      </c>
      <c r="C38" s="1" t="str">
        <f t="shared" si="4"/>
        <v>0x0000</v>
      </c>
      <c r="E38" s="2">
        <f t="shared" si="5"/>
        <v>25093</v>
      </c>
      <c r="H38" s="2" t="s">
        <v>500</v>
      </c>
      <c r="I38" s="2" t="s">
        <v>213</v>
      </c>
      <c r="J38" s="2" t="s">
        <v>173</v>
      </c>
      <c r="K38" s="2">
        <v>1</v>
      </c>
    </row>
    <row r="39" spans="1:11">
      <c r="A39" s="1" t="str">
        <f t="shared" si="3"/>
        <v>0x6206</v>
      </c>
      <c r="C39" s="1" t="str">
        <f t="shared" si="4"/>
        <v>0x6208</v>
      </c>
      <c r="E39" s="2">
        <f t="shared" si="5"/>
        <v>25094</v>
      </c>
      <c r="G39" s="2">
        <f t="shared" si="6"/>
        <v>25096</v>
      </c>
      <c r="H39" s="2" t="s">
        <v>503</v>
      </c>
      <c r="I39" s="2" t="s">
        <v>108</v>
      </c>
      <c r="J39" s="2" t="s">
        <v>173</v>
      </c>
      <c r="K39" s="2">
        <v>3</v>
      </c>
    </row>
    <row r="40" spans="1:11">
      <c r="A40" s="1" t="str">
        <f t="shared" si="3"/>
        <v>0x6209</v>
      </c>
      <c r="C40" s="1" t="str">
        <f t="shared" si="4"/>
        <v>0x620B</v>
      </c>
      <c r="E40" s="2">
        <f t="shared" si="5"/>
        <v>25097</v>
      </c>
      <c r="G40" s="2">
        <f t="shared" si="6"/>
        <v>25099</v>
      </c>
      <c r="H40" s="2" t="s">
        <v>504</v>
      </c>
      <c r="I40" s="2" t="s">
        <v>108</v>
      </c>
      <c r="J40" s="2" t="s">
        <v>173</v>
      </c>
      <c r="K40" s="2">
        <v>3</v>
      </c>
    </row>
    <row r="41" spans="1:11">
      <c r="A41" s="1"/>
      <c r="C41" s="1"/>
    </row>
    <row r="42" spans="1:11">
      <c r="A42" s="1" t="str">
        <f t="shared" si="3"/>
        <v>0x6300</v>
      </c>
      <c r="C42" s="1" t="str">
        <f t="shared" si="4"/>
        <v>0x6301</v>
      </c>
      <c r="E42" s="2">
        <v>25344</v>
      </c>
      <c r="G42" s="2">
        <f t="shared" si="6"/>
        <v>25345</v>
      </c>
      <c r="H42" s="2" t="s">
        <v>496</v>
      </c>
      <c r="I42" s="2" t="s">
        <v>497</v>
      </c>
      <c r="J42" s="2" t="s">
        <v>173</v>
      </c>
      <c r="K42" s="2">
        <v>2</v>
      </c>
    </row>
    <row r="43" spans="1:11">
      <c r="A43" s="1" t="str">
        <f t="shared" si="3"/>
        <v>0x6302</v>
      </c>
      <c r="C43" s="1" t="str">
        <f t="shared" si="4"/>
        <v>0x6303</v>
      </c>
      <c r="E43" s="2">
        <f t="shared" si="5"/>
        <v>25346</v>
      </c>
      <c r="G43" s="2">
        <f t="shared" si="6"/>
        <v>25347</v>
      </c>
      <c r="H43" s="2" t="s">
        <v>498</v>
      </c>
      <c r="I43" s="2" t="s">
        <v>497</v>
      </c>
      <c r="J43" s="2" t="s">
        <v>173</v>
      </c>
      <c r="K43" s="2">
        <v>2</v>
      </c>
    </row>
    <row r="44" spans="1:11">
      <c r="A44" s="1" t="str">
        <f t="shared" si="3"/>
        <v>0x6304</v>
      </c>
      <c r="C44" s="1"/>
      <c r="E44" s="2">
        <f t="shared" si="5"/>
        <v>25348</v>
      </c>
      <c r="H44" s="2" t="s">
        <v>499</v>
      </c>
      <c r="I44" s="2" t="s">
        <v>213</v>
      </c>
      <c r="J44" s="2" t="s">
        <v>173</v>
      </c>
      <c r="K44" s="2">
        <v>1</v>
      </c>
    </row>
    <row r="45" spans="1:11">
      <c r="A45" s="1" t="str">
        <f t="shared" si="3"/>
        <v>0x6305</v>
      </c>
      <c r="C45" s="1"/>
      <c r="E45" s="2">
        <f t="shared" si="5"/>
        <v>25349</v>
      </c>
      <c r="H45" s="2" t="s">
        <v>500</v>
      </c>
      <c r="I45" s="2" t="s">
        <v>213</v>
      </c>
      <c r="J45" s="2" t="s">
        <v>173</v>
      </c>
      <c r="K45" s="2">
        <v>1</v>
      </c>
    </row>
    <row r="46" spans="1:11">
      <c r="A46" s="1" t="str">
        <f t="shared" si="3"/>
        <v>0x6306</v>
      </c>
      <c r="C46" s="1" t="str">
        <f t="shared" si="4"/>
        <v>0x6308</v>
      </c>
      <c r="E46" s="2">
        <f t="shared" si="5"/>
        <v>25350</v>
      </c>
      <c r="G46" s="2">
        <f t="shared" si="6"/>
        <v>25352</v>
      </c>
      <c r="H46" s="2" t="s">
        <v>503</v>
      </c>
      <c r="I46" s="2" t="s">
        <v>108</v>
      </c>
      <c r="J46" s="2" t="s">
        <v>173</v>
      </c>
      <c r="K46" s="2">
        <v>3</v>
      </c>
    </row>
    <row r="47" spans="1:11">
      <c r="A47" s="1" t="str">
        <f t="shared" si="3"/>
        <v>0x6309</v>
      </c>
      <c r="C47" s="1" t="str">
        <f t="shared" si="4"/>
        <v>0x630B</v>
      </c>
      <c r="E47" s="2">
        <f t="shared" si="5"/>
        <v>25353</v>
      </c>
      <c r="G47" s="2">
        <f t="shared" si="6"/>
        <v>25355</v>
      </c>
      <c r="H47" s="2" t="s">
        <v>504</v>
      </c>
      <c r="I47" s="2" t="s">
        <v>108</v>
      </c>
      <c r="J47" s="2" t="s">
        <v>173</v>
      </c>
      <c r="K47" s="2">
        <v>3</v>
      </c>
    </row>
    <row r="48" spans="1:11">
      <c r="A48" s="1"/>
      <c r="C48" s="1"/>
    </row>
    <row r="50" spans="1:14">
      <c r="A50" s="41" t="s">
        <v>505</v>
      </c>
    </row>
    <row r="51" spans="1:14" customFormat="1" ht="15">
      <c r="A51" s="24" t="str">
        <f t="shared" ref="A51:A62" si="7">"0x"&amp;DEC2HEX(E51,4)</f>
        <v>0x1500</v>
      </c>
      <c r="B51" s="13"/>
      <c r="C51" s="13"/>
      <c r="D51" s="13"/>
      <c r="E51" s="13">
        <v>5376</v>
      </c>
      <c r="F51" s="13"/>
      <c r="G51" s="13"/>
      <c r="H51" s="13" t="s">
        <v>506</v>
      </c>
      <c r="I51" s="13"/>
      <c r="J51" s="13" t="s">
        <v>109</v>
      </c>
      <c r="K51" s="13">
        <v>1</v>
      </c>
      <c r="L51" s="21" t="s">
        <v>507</v>
      </c>
      <c r="M51" s="13">
        <v>0</v>
      </c>
      <c r="N51" s="13">
        <v>0</v>
      </c>
    </row>
    <row r="52" spans="1:14" customFormat="1" ht="15">
      <c r="A52" s="24" t="str">
        <f t="shared" si="7"/>
        <v>0x1501</v>
      </c>
      <c r="B52" s="13"/>
      <c r="C52" s="13"/>
      <c r="D52" s="13"/>
      <c r="E52" s="13">
        <f t="shared" ref="E52:E62" si="8">E51+K51</f>
        <v>5377</v>
      </c>
      <c r="F52" s="13"/>
      <c r="G52" s="13"/>
      <c r="H52" s="13" t="s">
        <v>508</v>
      </c>
      <c r="I52" s="13"/>
      <c r="J52" s="13" t="s">
        <v>109</v>
      </c>
      <c r="K52" s="13">
        <v>1</v>
      </c>
      <c r="L52" s="13" t="s">
        <v>509</v>
      </c>
      <c r="M52" s="13">
        <v>0</v>
      </c>
      <c r="N52" s="13">
        <v>0</v>
      </c>
    </row>
    <row r="53" spans="1:14" customFormat="1" ht="126.75" customHeight="1">
      <c r="A53" s="24" t="str">
        <f t="shared" si="7"/>
        <v>0x1502</v>
      </c>
      <c r="B53" s="13"/>
      <c r="C53" s="24" t="str">
        <f>"0x"&amp;DEC2HEX(G53,4)</f>
        <v>0x1576</v>
      </c>
      <c r="D53" s="13"/>
      <c r="E53" s="13">
        <f t="shared" si="8"/>
        <v>5378</v>
      </c>
      <c r="F53" s="13"/>
      <c r="G53" s="13">
        <f>E53+K53-1</f>
        <v>5494</v>
      </c>
      <c r="H53" s="13" t="s">
        <v>510</v>
      </c>
      <c r="I53" s="14"/>
      <c r="J53" s="13" t="s">
        <v>109</v>
      </c>
      <c r="K53" s="22">
        <v>117</v>
      </c>
      <c r="L53" s="14" t="s">
        <v>511</v>
      </c>
      <c r="M53" s="13">
        <v>0</v>
      </c>
      <c r="N53" s="13">
        <v>0</v>
      </c>
    </row>
    <row r="54" spans="1:14" customFormat="1" ht="15">
      <c r="A54" s="24" t="str">
        <f t="shared" si="7"/>
        <v>0x1577</v>
      </c>
      <c r="B54" s="13"/>
      <c r="C54" s="24" t="str">
        <f>"0x"&amp;DEC2HEX(G54,4)</f>
        <v>0x15B1</v>
      </c>
      <c r="D54" s="13"/>
      <c r="E54" s="13">
        <f t="shared" si="8"/>
        <v>5495</v>
      </c>
      <c r="F54" s="13"/>
      <c r="G54" s="13">
        <f>E54+K54-1</f>
        <v>5553</v>
      </c>
      <c r="H54" s="13" t="s">
        <v>512</v>
      </c>
      <c r="I54" s="13"/>
      <c r="J54" s="13" t="s">
        <v>109</v>
      </c>
      <c r="K54" s="13">
        <v>59</v>
      </c>
      <c r="L54" s="13" t="s">
        <v>513</v>
      </c>
      <c r="M54" s="13">
        <v>0</v>
      </c>
      <c r="N54" s="13">
        <v>0</v>
      </c>
    </row>
    <row r="55" spans="1:14" customFormat="1" ht="15">
      <c r="A55" s="24" t="str">
        <f t="shared" si="7"/>
        <v>0x15B2</v>
      </c>
      <c r="B55" s="13"/>
      <c r="C55" s="13"/>
      <c r="D55" s="13"/>
      <c r="E55" s="13">
        <f t="shared" si="8"/>
        <v>5554</v>
      </c>
      <c r="F55" s="13"/>
      <c r="G55" s="13"/>
      <c r="H55" s="13" t="s">
        <v>480</v>
      </c>
      <c r="I55" s="13"/>
      <c r="J55" s="13" t="s">
        <v>109</v>
      </c>
      <c r="K55" s="13">
        <v>1</v>
      </c>
      <c r="L55" s="21" t="s">
        <v>513</v>
      </c>
      <c r="M55" s="13">
        <v>0</v>
      </c>
      <c r="N55" s="13">
        <v>0</v>
      </c>
    </row>
    <row r="56" spans="1:14" customFormat="1" ht="57">
      <c r="A56" s="24" t="str">
        <f t="shared" si="7"/>
        <v>0x15B3</v>
      </c>
      <c r="B56" s="13"/>
      <c r="C56" s="13"/>
      <c r="D56" s="13"/>
      <c r="E56" s="13">
        <f t="shared" si="8"/>
        <v>5555</v>
      </c>
      <c r="F56" s="13"/>
      <c r="G56" s="13"/>
      <c r="H56" s="13" t="s">
        <v>481</v>
      </c>
      <c r="I56" s="13"/>
      <c r="J56" s="13" t="s">
        <v>109</v>
      </c>
      <c r="K56" s="13">
        <v>1</v>
      </c>
      <c r="L56" s="14" t="s">
        <v>514</v>
      </c>
      <c r="M56" s="13"/>
      <c r="N56" s="13"/>
    </row>
    <row r="57" spans="1:14" customFormat="1" ht="40.5">
      <c r="A57" s="24" t="str">
        <f t="shared" si="7"/>
        <v>0x15B4</v>
      </c>
      <c r="B57" s="13"/>
      <c r="C57" s="13"/>
      <c r="D57" s="13"/>
      <c r="E57" s="13">
        <f t="shared" si="8"/>
        <v>5556</v>
      </c>
      <c r="F57" s="13"/>
      <c r="G57" s="13"/>
      <c r="H57" s="13" t="s">
        <v>482</v>
      </c>
      <c r="I57" s="13"/>
      <c r="J57" s="13" t="s">
        <v>109</v>
      </c>
      <c r="K57" s="13">
        <v>1</v>
      </c>
      <c r="L57" s="14" t="s">
        <v>515</v>
      </c>
      <c r="M57" s="13"/>
      <c r="N57" s="13"/>
    </row>
    <row r="58" spans="1:14" customFormat="1" ht="28.5">
      <c r="A58" s="24" t="str">
        <f t="shared" si="7"/>
        <v>0x15B5</v>
      </c>
      <c r="B58" s="13"/>
      <c r="C58" s="13"/>
      <c r="D58" s="13"/>
      <c r="E58" s="13">
        <f t="shared" si="8"/>
        <v>5557</v>
      </c>
      <c r="F58" s="13"/>
      <c r="G58" s="13"/>
      <c r="H58" s="13" t="s">
        <v>483</v>
      </c>
      <c r="I58" s="13"/>
      <c r="J58" s="13" t="s">
        <v>109</v>
      </c>
      <c r="K58" s="13">
        <v>1</v>
      </c>
      <c r="L58" s="14" t="s">
        <v>516</v>
      </c>
      <c r="M58" s="13"/>
      <c r="N58" s="13"/>
    </row>
    <row r="59" spans="1:14" customFormat="1" ht="28.5">
      <c r="A59" s="24" t="str">
        <f t="shared" si="7"/>
        <v>0x15B6</v>
      </c>
      <c r="B59" s="13"/>
      <c r="C59" s="13"/>
      <c r="D59" s="13"/>
      <c r="E59" s="13">
        <f t="shared" si="8"/>
        <v>5558</v>
      </c>
      <c r="F59" s="13"/>
      <c r="G59" s="13"/>
      <c r="H59" s="13" t="s">
        <v>484</v>
      </c>
      <c r="I59" s="13"/>
      <c r="J59" s="13" t="s">
        <v>109</v>
      </c>
      <c r="K59" s="13">
        <v>1</v>
      </c>
      <c r="L59" s="14" t="s">
        <v>517</v>
      </c>
      <c r="M59" s="13"/>
      <c r="N59" s="13"/>
    </row>
    <row r="60" spans="1:14" customFormat="1" ht="40.5">
      <c r="A60" s="24" t="str">
        <f t="shared" si="7"/>
        <v>0x15B7</v>
      </c>
      <c r="B60" s="13"/>
      <c r="C60" s="13"/>
      <c r="D60" s="13"/>
      <c r="E60" s="13">
        <f t="shared" si="8"/>
        <v>5559</v>
      </c>
      <c r="F60" s="13"/>
      <c r="G60" s="13"/>
      <c r="H60" s="13" t="s">
        <v>485</v>
      </c>
      <c r="I60" s="13"/>
      <c r="J60" s="13" t="s">
        <v>109</v>
      </c>
      <c r="K60" s="13">
        <v>1</v>
      </c>
      <c r="L60" s="14" t="s">
        <v>515</v>
      </c>
      <c r="M60" s="13"/>
      <c r="N60" s="13"/>
    </row>
    <row r="61" spans="1:14" customFormat="1" ht="28.5">
      <c r="A61" s="24" t="str">
        <f t="shared" si="7"/>
        <v>0x15B8</v>
      </c>
      <c r="B61" s="13"/>
      <c r="C61" s="13"/>
      <c r="D61" s="13"/>
      <c r="E61" s="13">
        <f t="shared" si="8"/>
        <v>5560</v>
      </c>
      <c r="F61" s="13"/>
      <c r="G61" s="13"/>
      <c r="H61" s="13" t="s">
        <v>486</v>
      </c>
      <c r="I61" s="13"/>
      <c r="J61" s="13" t="s">
        <v>109</v>
      </c>
      <c r="K61" s="13">
        <v>1</v>
      </c>
      <c r="L61" s="14" t="s">
        <v>516</v>
      </c>
      <c r="M61" s="13"/>
      <c r="N61" s="13"/>
    </row>
    <row r="62" spans="1:14" customFormat="1" ht="15">
      <c r="A62" s="24" t="str">
        <f t="shared" si="7"/>
        <v>0x15B9</v>
      </c>
      <c r="B62" s="13"/>
      <c r="C62" s="13"/>
      <c r="D62" s="13"/>
      <c r="E62" s="13">
        <f t="shared" si="8"/>
        <v>5561</v>
      </c>
      <c r="F62" s="13"/>
      <c r="G62" s="13"/>
      <c r="H62" s="13" t="s">
        <v>518</v>
      </c>
      <c r="I62" s="13"/>
      <c r="J62" s="13" t="s">
        <v>109</v>
      </c>
      <c r="K62" s="13">
        <v>1</v>
      </c>
      <c r="L62" s="13" t="s">
        <v>519</v>
      </c>
      <c r="M62" s="13">
        <v>0</v>
      </c>
      <c r="N62" s="13">
        <v>0</v>
      </c>
    </row>
    <row r="63" spans="1:14" customFormat="1" ht="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customFormat="1" ht="15"/>
    <row r="65" spans="1:14" customFormat="1" ht="15">
      <c r="A65" s="43" t="s">
        <v>520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customFormat="1" ht="15">
      <c r="A66" s="24" t="str">
        <f>"0x"&amp;DEC2HEX(E66,4)</f>
        <v>0x6400</v>
      </c>
      <c r="B66" s="13"/>
      <c r="C66" s="13"/>
      <c r="D66" s="13"/>
      <c r="E66" s="13">
        <v>25600</v>
      </c>
      <c r="F66" s="13"/>
      <c r="G66" s="13"/>
      <c r="H66" s="13" t="s">
        <v>491</v>
      </c>
      <c r="I66" s="13"/>
      <c r="J66" s="13" t="s">
        <v>109</v>
      </c>
      <c r="K66" s="13">
        <v>1</v>
      </c>
      <c r="L66" s="13" t="s">
        <v>521</v>
      </c>
      <c r="M66" s="13">
        <v>0</v>
      </c>
      <c r="N66" s="13">
        <v>0</v>
      </c>
    </row>
    <row r="67" spans="1:14" customFormat="1" ht="99.75">
      <c r="A67" s="24" t="str">
        <f>"0x"&amp;DEC2HEX(E67,4)</f>
        <v>0x6401</v>
      </c>
      <c r="B67" s="13"/>
      <c r="C67" s="13"/>
      <c r="D67" s="13"/>
      <c r="E67" s="13">
        <f>E66+K66</f>
        <v>25601</v>
      </c>
      <c r="F67" s="13"/>
      <c r="G67" s="13"/>
      <c r="H67" s="14" t="s">
        <v>522</v>
      </c>
      <c r="I67" s="13"/>
      <c r="J67" s="13" t="s">
        <v>109</v>
      </c>
      <c r="K67" s="13">
        <v>1</v>
      </c>
      <c r="L67" s="14" t="s">
        <v>523</v>
      </c>
      <c r="M67" s="13"/>
      <c r="N67" s="13"/>
    </row>
    <row r="68" spans="1:14" customFormat="1" ht="17.25" customHeight="1">
      <c r="A68" s="24" t="str">
        <f>"0x"&amp;DEC2HEX(E68,4)</f>
        <v>0x6402</v>
      </c>
      <c r="B68" s="13"/>
      <c r="C68" s="24" t="str">
        <f>"0x"&amp;DEC2HEX(G68,4)</f>
        <v>0x6403</v>
      </c>
      <c r="D68" s="13"/>
      <c r="E68" s="13">
        <f>E67+K67</f>
        <v>25602</v>
      </c>
      <c r="F68" s="13"/>
      <c r="G68" s="13">
        <f>E68-1+K68</f>
        <v>25603</v>
      </c>
      <c r="H68" s="13" t="s">
        <v>493</v>
      </c>
      <c r="I68" s="13"/>
      <c r="J68" s="13" t="s">
        <v>109</v>
      </c>
      <c r="K68" s="23">
        <v>2</v>
      </c>
      <c r="L68" s="13"/>
      <c r="M68" s="13"/>
      <c r="N68" s="13"/>
    </row>
    <row r="69" spans="1:14" customFormat="1" ht="185.25">
      <c r="A69" s="24" t="str">
        <f>"0x"&amp;DEC2HEX(E69,4)</f>
        <v>0x6404</v>
      </c>
      <c r="B69" s="13"/>
      <c r="C69" s="24" t="str">
        <f>"0x"&amp;DEC2HEX(G69,4)</f>
        <v>0x647E</v>
      </c>
      <c r="D69" s="13"/>
      <c r="E69" s="13">
        <f>E68+K68</f>
        <v>25604</v>
      </c>
      <c r="F69" s="13"/>
      <c r="G69" s="13">
        <f>E69-1+K69</f>
        <v>25726</v>
      </c>
      <c r="H69" s="13" t="s">
        <v>494</v>
      </c>
      <c r="I69" s="13"/>
      <c r="J69" s="13" t="s">
        <v>173</v>
      </c>
      <c r="K69" s="13">
        <v>123</v>
      </c>
      <c r="L69" s="14" t="s">
        <v>524</v>
      </c>
      <c r="M69" s="13"/>
      <c r="N69" s="13"/>
    </row>
    <row r="70" spans="1:14" customFormat="1" ht="15">
      <c r="A70" s="1"/>
      <c r="B70" s="2"/>
      <c r="C70" s="1"/>
      <c r="D70" s="2"/>
      <c r="E70" s="2"/>
      <c r="F70" s="2"/>
      <c r="G70" s="2"/>
      <c r="H70" s="2"/>
      <c r="I70" s="2"/>
      <c r="J70" s="2"/>
      <c r="K70" s="2"/>
      <c r="L70" s="11"/>
      <c r="M70" s="2"/>
      <c r="N70" s="2"/>
    </row>
    <row r="71" spans="1:14" customFormat="1" ht="15"/>
    <row r="72" spans="1:14" customFormat="1" ht="15">
      <c r="A72" s="43" t="s">
        <v>525</v>
      </c>
      <c r="B72" s="15"/>
      <c r="C72" s="15"/>
      <c r="D72" s="15"/>
      <c r="E72" s="15"/>
      <c r="F72" s="15"/>
      <c r="G72" s="15"/>
      <c r="H72" s="15"/>
      <c r="I72" s="15"/>
      <c r="J72" s="15"/>
      <c r="K72" s="13"/>
      <c r="L72" s="15"/>
      <c r="M72" s="15"/>
      <c r="N72" s="15"/>
    </row>
    <row r="73" spans="1:14" customFormat="1" ht="15">
      <c r="A73" s="24" t="str">
        <f t="shared" ref="A73:A78" si="9">"0x"&amp;DEC2HEX(E73,4)</f>
        <v>0x6500</v>
      </c>
      <c r="B73" s="13"/>
      <c r="C73" s="24" t="str">
        <f>"0x"&amp;DEC2HEX(G73,4)</f>
        <v>0x6501</v>
      </c>
      <c r="D73" s="13"/>
      <c r="E73" s="13">
        <v>25856</v>
      </c>
      <c r="F73" s="13"/>
      <c r="G73" s="13">
        <f>E73+K73-1</f>
        <v>25857</v>
      </c>
      <c r="H73" s="13" t="s">
        <v>496</v>
      </c>
      <c r="I73" s="13" t="s">
        <v>497</v>
      </c>
      <c r="J73" s="13" t="s">
        <v>173</v>
      </c>
      <c r="K73" s="13">
        <v>2</v>
      </c>
      <c r="L73" s="13" t="s">
        <v>526</v>
      </c>
      <c r="M73" s="13"/>
      <c r="N73" s="13"/>
    </row>
    <row r="74" spans="1:14" customFormat="1" ht="15">
      <c r="A74" s="24" t="str">
        <f t="shared" si="9"/>
        <v>0x6502</v>
      </c>
      <c r="B74" s="13"/>
      <c r="C74" s="24" t="str">
        <f>"0x"&amp;DEC2HEX(G74,4)</f>
        <v>0x6503</v>
      </c>
      <c r="D74" s="13"/>
      <c r="E74" s="13">
        <f>E73+K73</f>
        <v>25858</v>
      </c>
      <c r="F74" s="13"/>
      <c r="G74" s="13">
        <f>E74+K74-1</f>
        <v>25859</v>
      </c>
      <c r="H74" s="13" t="s">
        <v>498</v>
      </c>
      <c r="I74" s="13" t="s">
        <v>497</v>
      </c>
      <c r="J74" s="13" t="s">
        <v>173</v>
      </c>
      <c r="K74" s="13">
        <v>2</v>
      </c>
      <c r="L74" s="13" t="s">
        <v>527</v>
      </c>
      <c r="M74" s="13"/>
      <c r="N74" s="13"/>
    </row>
    <row r="75" spans="1:14" customFormat="1" ht="15">
      <c r="A75" s="24" t="str">
        <f t="shared" si="9"/>
        <v>0x6504</v>
      </c>
      <c r="B75" s="13"/>
      <c r="C75" s="24"/>
      <c r="D75" s="13"/>
      <c r="E75" s="13">
        <f>E74+K74</f>
        <v>25860</v>
      </c>
      <c r="F75" s="13"/>
      <c r="G75" s="13"/>
      <c r="H75" s="13" t="s">
        <v>499</v>
      </c>
      <c r="I75" s="13" t="s">
        <v>213</v>
      </c>
      <c r="J75" s="13" t="s">
        <v>173</v>
      </c>
      <c r="K75" s="13">
        <v>1</v>
      </c>
      <c r="L75" s="13" t="s">
        <v>528</v>
      </c>
      <c r="M75" s="13"/>
      <c r="N75" s="13"/>
    </row>
    <row r="76" spans="1:14" customFormat="1" ht="15">
      <c r="A76" s="24" t="str">
        <f t="shared" si="9"/>
        <v>0x6505</v>
      </c>
      <c r="B76" s="13"/>
      <c r="C76" s="24"/>
      <c r="D76" s="13"/>
      <c r="E76" s="13">
        <f>E75+K75</f>
        <v>25861</v>
      </c>
      <c r="F76" s="13"/>
      <c r="G76" s="13"/>
      <c r="H76" s="13" t="s">
        <v>529</v>
      </c>
      <c r="I76" s="13" t="s">
        <v>108</v>
      </c>
      <c r="J76" s="13" t="s">
        <v>173</v>
      </c>
      <c r="K76" s="13">
        <v>1</v>
      </c>
      <c r="L76" s="13"/>
      <c r="M76" s="13"/>
      <c r="N76" s="13"/>
    </row>
    <row r="77" spans="1:14" customFormat="1" ht="15">
      <c r="A77" s="24" t="str">
        <f t="shared" si="9"/>
        <v>0x6506</v>
      </c>
      <c r="B77" s="13"/>
      <c r="C77" s="24" t="str">
        <f>"0x"&amp;DEC2HEX(G77,4)</f>
        <v>0x6508</v>
      </c>
      <c r="D77" s="13"/>
      <c r="E77" s="13">
        <f>E76+K76</f>
        <v>25862</v>
      </c>
      <c r="F77" s="13"/>
      <c r="G77" s="13">
        <f>E77+K77-1</f>
        <v>25864</v>
      </c>
      <c r="H77" s="13" t="s">
        <v>530</v>
      </c>
      <c r="I77" s="13" t="s">
        <v>108</v>
      </c>
      <c r="J77" s="13" t="s">
        <v>173</v>
      </c>
      <c r="K77" s="13">
        <v>3</v>
      </c>
      <c r="L77" s="13"/>
      <c r="M77" s="13"/>
      <c r="N77" s="13"/>
    </row>
    <row r="78" spans="1:14" customFormat="1" ht="55.5" customHeight="1">
      <c r="A78" s="24" t="str">
        <f t="shared" si="9"/>
        <v>0x6509</v>
      </c>
      <c r="B78" s="13"/>
      <c r="C78" s="24" t="str">
        <f>"0x"&amp;DEC2HEX(G78,4)</f>
        <v>0x650B</v>
      </c>
      <c r="D78" s="13"/>
      <c r="E78" s="13">
        <f>E77+K77</f>
        <v>25865</v>
      </c>
      <c r="F78" s="13"/>
      <c r="G78" s="13">
        <f>E78+K78-1</f>
        <v>25867</v>
      </c>
      <c r="H78" s="13" t="s">
        <v>531</v>
      </c>
      <c r="I78" s="13" t="s">
        <v>108</v>
      </c>
      <c r="J78" s="13" t="s">
        <v>173</v>
      </c>
      <c r="K78" s="13">
        <v>3</v>
      </c>
      <c r="L78" s="13"/>
      <c r="M78" s="13"/>
      <c r="N78" s="13"/>
    </row>
    <row r="79" spans="1:14" customFormat="1" ht="15"/>
    <row r="80" spans="1:14" customFormat="1" ht="15">
      <c r="C80" t="s">
        <v>532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5aa15b-8891-471d-aa02-193227239fbf">
      <Terms xmlns="http://schemas.microsoft.com/office/infopath/2007/PartnerControls"/>
    </lcf76f155ced4ddcb4097134ff3c332f>
    <TaxCatchAll xmlns="3e57311d-03a1-4f91-a165-ba6d7d17d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8470C92E97D1419A9CBB0D24E1FD1D" ma:contentTypeVersion="12" ma:contentTypeDescription="Create a new document." ma:contentTypeScope="" ma:versionID="285027fd8bc19d16965a5338192ff088">
  <xsd:schema xmlns:xsd="http://www.w3.org/2001/XMLSchema" xmlns:xs="http://www.w3.org/2001/XMLSchema" xmlns:p="http://schemas.microsoft.com/office/2006/metadata/properties" xmlns:ns2="205aa15b-8891-471d-aa02-193227239fbf" xmlns:ns3="3e57311d-03a1-4f91-a165-ba6d7d17ddb8" targetNamespace="http://schemas.microsoft.com/office/2006/metadata/properties" ma:root="true" ma:fieldsID="b891de18249323a6f142dbe4fb22f021" ns2:_="" ns3:_="">
    <xsd:import namespace="205aa15b-8891-471d-aa02-193227239fbf"/>
    <xsd:import namespace="3e57311d-03a1-4f91-a165-ba6d7d17d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aa15b-8891-471d-aa02-193227239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7311d-03a1-4f91-a165-ba6d7d17dd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85596a2-7536-49ab-b58e-8a200e7ff9a0}" ma:internalName="TaxCatchAll" ma:showField="CatchAllData" ma:web="3e57311d-03a1-4f91-a165-ba6d7d17d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90C77-D751-4C40-B903-2B0C323BEF10}"/>
</file>

<file path=customXml/itemProps2.xml><?xml version="1.0" encoding="utf-8"?>
<ds:datastoreItem xmlns:ds="http://schemas.openxmlformats.org/officeDocument/2006/customXml" ds:itemID="{99854869-6473-48E0-919A-AC927D201734}"/>
</file>

<file path=customXml/itemProps3.xml><?xml version="1.0" encoding="utf-8"?>
<ds:datastoreItem xmlns:ds="http://schemas.openxmlformats.org/officeDocument/2006/customXml" ds:itemID="{13887626-DC37-4A8C-8EC3-26D01A080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Xu</cp:lastModifiedBy>
  <cp:revision/>
  <dcterms:created xsi:type="dcterms:W3CDTF">2006-09-13T11:21:51Z</dcterms:created>
  <dcterms:modified xsi:type="dcterms:W3CDTF">2025-05-22T12:58:13Z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0x010100EF8470C92E97D1419A9CBB0D24E1FD1D</vt:lpwstr>
  </property>
  <property fmtid="{D5CDD505-2E9C-101B-9397-08002B2CF9AE}" pid="3" name="MediaServiceImageTags">
    <vt:lpwstr/>
  </property>
</Properties>
</file>