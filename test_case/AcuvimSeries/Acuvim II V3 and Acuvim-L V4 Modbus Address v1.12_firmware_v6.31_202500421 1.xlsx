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fileSharing readOnlyRecommended="1"/>
  <workbookPr filterPrivacy="1" defaultThemeVersion="124226"/>
  <xr:revisionPtr revIDLastSave="29" documentId="13_ncr:1_{0A61074F-C56E-41DD-A918-A82EDBF64BC3}" xr6:coauthVersionLast="47" xr6:coauthVersionMax="47" xr10:uidLastSave="{630D5B83-7F4C-435F-A1EA-D1003498CA1C}"/>
  <bookViews>
    <workbookView xWindow="-28920" yWindow="-1095" windowWidth="29040" windowHeight="15720" tabRatio="861" xr2:uid="{00000000-000D-0000-FFFF-FFFF00000000}"/>
  </bookViews>
  <sheets>
    <sheet name="Version History" sheetId="33" r:id="rId1"/>
    <sheet name="Overview" sheetId="34" r:id="rId2"/>
    <sheet name="System Information" sheetId="4" r:id="rId3"/>
    <sheet name="IO Calibration" sheetId="5" r:id="rId4"/>
    <sheet name="Meter Calibration" sheetId="24" r:id="rId5"/>
    <sheet name="Basic Settings" sheetId="8" r:id="rId6"/>
    <sheet name="Communication Module" sheetId="7" r:id="rId7"/>
    <sheet name="Real Time Parameters" sheetId="10" r:id="rId8"/>
    <sheet name="Acuvim-L Parameters" sheetId="35" r:id="rId9"/>
    <sheet name="Independent Input Channel" sheetId="37" r:id="rId10"/>
    <sheet name="Dual Source Energy" sheetId="26" r:id="rId11"/>
    <sheet name="Data Log 1,2,3" sheetId="9" r:id="rId12"/>
    <sheet name="Data Log 4" sheetId="25" r:id="rId13"/>
    <sheet name="Max,Min" sheetId="11" r:id="rId14"/>
    <sheet name="Max,Min(float)" sheetId="46" r:id="rId15"/>
    <sheet name="RO" sheetId="29" r:id="rId16"/>
    <sheet name="Alarm Records｜DI|AO|AI|SOE" sheetId="13" r:id="rId17"/>
    <sheet name="Waveform" sheetId="43" r:id="rId18"/>
    <sheet name="4-30 Class S Readings" sheetId="51" r:id="rId19"/>
    <sheet name="4-30 PQ Event" sheetId="52" r:id="rId20"/>
    <sheet name="TOU Default Setting" sheetId="6" r:id="rId21"/>
    <sheet name="TOU Readings" sheetId="44" r:id="rId22"/>
    <sheet name="TOU Settings" sheetId="45" r:id="rId23"/>
    <sheet name="SunSpec" sheetId="36" r:id="rId24"/>
    <sheet name="Meter Model" sheetId="16" r:id="rId25"/>
    <sheet name="Debug" sheetId="50" r:id="rId26"/>
  </sheets>
  <definedNames>
    <definedName name="OLE_LINK1" localSheetId="5">'Basic Settings'!$F$166</definedName>
    <definedName name="OLE_LINK5" localSheetId="2">'System Information'!#REF!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29" l="1"/>
  <c r="D18" i="29" s="1"/>
  <c r="B17" i="29"/>
  <c r="B15" i="29"/>
  <c r="D16" i="29"/>
  <c r="E16" i="29" s="1"/>
  <c r="C16" i="29" s="1"/>
  <c r="B16" i="29"/>
  <c r="C15" i="29"/>
  <c r="D93" i="4"/>
  <c r="B93" i="4"/>
  <c r="B216" i="8"/>
  <c r="B204" i="8"/>
  <c r="B215" i="8"/>
  <c r="B214" i="8"/>
  <c r="B213" i="8"/>
  <c r="D364" i="10"/>
  <c r="D365" i="10"/>
  <c r="D367" i="10"/>
  <c r="D368" i="10"/>
  <c r="I374" i="10"/>
  <c r="E363" i="10"/>
  <c r="C363" i="10" s="1"/>
  <c r="B365" i="10"/>
  <c r="E365" i="10"/>
  <c r="C365" i="10" s="1"/>
  <c r="B378" i="10"/>
  <c r="E378" i="10"/>
  <c r="C378" i="10" s="1"/>
  <c r="D379" i="10"/>
  <c r="B379" i="10" s="1"/>
  <c r="D213" i="8"/>
  <c r="B212" i="8"/>
  <c r="D212" i="8"/>
  <c r="B211" i="8"/>
  <c r="D211" i="8"/>
  <c r="B210" i="8"/>
  <c r="D210" i="8"/>
  <c r="B209" i="8"/>
  <c r="D209" i="8"/>
  <c r="B208" i="8"/>
  <c r="D208" i="8"/>
  <c r="B207" i="8"/>
  <c r="E18" i="29" l="1"/>
  <c r="C18" i="29" s="1"/>
  <c r="D19" i="29"/>
  <c r="B18" i="29"/>
  <c r="E17" i="29"/>
  <c r="C17" i="29" s="1"/>
  <c r="D366" i="10"/>
  <c r="B366" i="10" s="1"/>
  <c r="D380" i="10"/>
  <c r="B380" i="10" s="1"/>
  <c r="E379" i="10"/>
  <c r="C379" i="10" s="1"/>
  <c r="D381" i="10"/>
  <c r="E380" i="10"/>
  <c r="C380" i="10" s="1"/>
  <c r="B56" i="43"/>
  <c r="D205" i="51"/>
  <c r="D206" i="51" s="1"/>
  <c r="I78" i="43"/>
  <c r="B35" i="7"/>
  <c r="B205" i="8"/>
  <c r="D20" i="29" l="1"/>
  <c r="E19" i="29"/>
  <c r="C19" i="29" s="1"/>
  <c r="B19" i="29"/>
  <c r="E366" i="10"/>
  <c r="B364" i="10"/>
  <c r="E364" i="10"/>
  <c r="C364" i="10" s="1"/>
  <c r="B381" i="10"/>
  <c r="D382" i="10"/>
  <c r="E381" i="10"/>
  <c r="C381" i="10" s="1"/>
  <c r="E206" i="51"/>
  <c r="C206" i="51" s="1"/>
  <c r="D207" i="51"/>
  <c r="E205" i="51"/>
  <c r="C205" i="51" s="1"/>
  <c r="B248" i="51"/>
  <c r="D21" i="29" l="1"/>
  <c r="E20" i="29"/>
  <c r="C20" i="29" s="1"/>
  <c r="B20" i="29"/>
  <c r="C366" i="10"/>
  <c r="D383" i="10"/>
  <c r="E382" i="10"/>
  <c r="C382" i="10" s="1"/>
  <c r="B382" i="10"/>
  <c r="E207" i="51"/>
  <c r="C207" i="51" s="1"/>
  <c r="D208" i="51"/>
  <c r="D249" i="51"/>
  <c r="E249" i="51" s="1"/>
  <c r="D62" i="52"/>
  <c r="D61" i="52"/>
  <c r="D60" i="52"/>
  <c r="B60" i="52"/>
  <c r="B3" i="10"/>
  <c r="E21" i="29" l="1"/>
  <c r="C21" i="29" s="1"/>
  <c r="B21" i="29"/>
  <c r="D22" i="29"/>
  <c r="E367" i="10"/>
  <c r="B367" i="10"/>
  <c r="D384" i="10"/>
  <c r="E383" i="10"/>
  <c r="C383" i="10" s="1"/>
  <c r="B383" i="10"/>
  <c r="E208" i="51"/>
  <c r="C208" i="51" s="1"/>
  <c r="D209" i="51"/>
  <c r="D250" i="51"/>
  <c r="E105" i="34"/>
  <c r="I361" i="10"/>
  <c r="D345" i="10"/>
  <c r="D346" i="10" s="1"/>
  <c r="B346" i="10" s="1"/>
  <c r="E344" i="10"/>
  <c r="C344" i="10" s="1"/>
  <c r="B344" i="10"/>
  <c r="B22" i="29" l="1"/>
  <c r="E22" i="29"/>
  <c r="C22" i="29" s="1"/>
  <c r="C367" i="10"/>
  <c r="E384" i="10"/>
  <c r="C384" i="10" s="1"/>
  <c r="B384" i="10"/>
  <c r="D210" i="51"/>
  <c r="E209" i="51"/>
  <c r="C209" i="51" s="1"/>
  <c r="E250" i="51"/>
  <c r="D251" i="51"/>
  <c r="E345" i="10"/>
  <c r="C345" i="10" s="1"/>
  <c r="B345" i="10"/>
  <c r="D347" i="10"/>
  <c r="E346" i="10"/>
  <c r="C346" i="10" s="1"/>
  <c r="D304" i="51"/>
  <c r="D305" i="51" s="1"/>
  <c r="B303" i="51"/>
  <c r="E303" i="51"/>
  <c r="C303" i="51" s="1"/>
  <c r="B368" i="10" l="1"/>
  <c r="E368" i="10"/>
  <c r="E210" i="51"/>
  <c r="C210" i="51" s="1"/>
  <c r="D211" i="51"/>
  <c r="B304" i="51"/>
  <c r="D252" i="51"/>
  <c r="E251" i="51"/>
  <c r="E347" i="10"/>
  <c r="C347" i="10" s="1"/>
  <c r="D348" i="10"/>
  <c r="B347" i="10"/>
  <c r="B305" i="51"/>
  <c r="C368" i="10" l="1"/>
  <c r="D369" i="10"/>
  <c r="D212" i="51"/>
  <c r="E211" i="51"/>
  <c r="C211" i="51" s="1"/>
  <c r="E252" i="51"/>
  <c r="D253" i="51"/>
  <c r="B348" i="10"/>
  <c r="E348" i="10"/>
  <c r="C348" i="10" s="1"/>
  <c r="D349" i="10"/>
  <c r="D350" i="10" s="1"/>
  <c r="E305" i="51"/>
  <c r="C305" i="51" s="1"/>
  <c r="B369" i="10" l="1"/>
  <c r="E369" i="10"/>
  <c r="D213" i="51"/>
  <c r="E212" i="51"/>
  <c r="C212" i="51" s="1"/>
  <c r="D254" i="51"/>
  <c r="E253" i="51"/>
  <c r="D351" i="10"/>
  <c r="E350" i="10"/>
  <c r="C350" i="10" s="1"/>
  <c r="B350" i="10"/>
  <c r="B349" i="10"/>
  <c r="E349" i="10"/>
  <c r="C349" i="10" s="1"/>
  <c r="B3" i="52"/>
  <c r="C369" i="10" l="1"/>
  <c r="D370" i="10"/>
  <c r="E213" i="51"/>
  <c r="C213" i="51" s="1"/>
  <c r="D214" i="51"/>
  <c r="E254" i="51"/>
  <c r="D255" i="51"/>
  <c r="D352" i="10"/>
  <c r="D353" i="10" s="1"/>
  <c r="E351" i="10"/>
  <c r="C351" i="10" s="1"/>
  <c r="B351" i="10"/>
  <c r="E370" i="10" l="1"/>
  <c r="B370" i="10"/>
  <c r="E214" i="51"/>
  <c r="C214" i="51" s="1"/>
  <c r="D215" i="51"/>
  <c r="E255" i="51"/>
  <c r="D256" i="51"/>
  <c r="E353" i="10"/>
  <c r="C353" i="10" s="1"/>
  <c r="B353" i="10"/>
  <c r="D354" i="10"/>
  <c r="E352" i="10"/>
  <c r="C352" i="10" s="1"/>
  <c r="B352" i="10"/>
  <c r="C370" i="10" l="1"/>
  <c r="D371" i="10"/>
  <c r="E215" i="51"/>
  <c r="C215" i="51" s="1"/>
  <c r="D216" i="51"/>
  <c r="E256" i="51"/>
  <c r="D257" i="51"/>
  <c r="D355" i="10"/>
  <c r="D356" i="10" s="1"/>
  <c r="E354" i="10"/>
  <c r="C354" i="10" s="1"/>
  <c r="B354" i="10"/>
  <c r="B371" i="10" l="1"/>
  <c r="E371" i="10"/>
  <c r="D217" i="51"/>
  <c r="E216" i="51"/>
  <c r="C216" i="51" s="1"/>
  <c r="D258" i="51"/>
  <c r="E257" i="51"/>
  <c r="D357" i="10"/>
  <c r="B356" i="10"/>
  <c r="E356" i="10"/>
  <c r="C356" i="10" s="1"/>
  <c r="E355" i="10"/>
  <c r="C355" i="10" s="1"/>
  <c r="B355" i="10"/>
  <c r="C371" i="10" l="1"/>
  <c r="D372" i="10"/>
  <c r="D218" i="51"/>
  <c r="E217" i="51"/>
  <c r="C217" i="51" s="1"/>
  <c r="D259" i="51"/>
  <c r="E258" i="51"/>
  <c r="B357" i="10"/>
  <c r="D358" i="10"/>
  <c r="D359" i="10" s="1"/>
  <c r="E357" i="10"/>
  <c r="C357" i="10" s="1"/>
  <c r="B372" i="10" l="1"/>
  <c r="E372" i="10"/>
  <c r="E218" i="51"/>
  <c r="C218" i="51" s="1"/>
  <c r="D219" i="51"/>
  <c r="E259" i="51"/>
  <c r="D261" i="51"/>
  <c r="D360" i="10"/>
  <c r="E359" i="10"/>
  <c r="C359" i="10" s="1"/>
  <c r="B359" i="10"/>
  <c r="E358" i="10"/>
  <c r="C358" i="10" s="1"/>
  <c r="B358" i="10"/>
  <c r="C372" i="10" l="1"/>
  <c r="D373" i="10"/>
  <c r="D220" i="51"/>
  <c r="E219" i="51"/>
  <c r="C219" i="51" s="1"/>
  <c r="D262" i="51"/>
  <c r="E261" i="51"/>
  <c r="E360" i="10"/>
  <c r="C360" i="10" s="1"/>
  <c r="B360" i="10"/>
  <c r="E373" i="10" l="1"/>
  <c r="C373" i="10" s="1"/>
  <c r="B373" i="10"/>
  <c r="E220" i="51"/>
  <c r="C220" i="51" s="1"/>
  <c r="D221" i="51"/>
  <c r="D263" i="51"/>
  <c r="E262" i="51"/>
  <c r="I72" i="52"/>
  <c r="I63" i="52"/>
  <c r="D52" i="52"/>
  <c r="D53" i="52" s="1"/>
  <c r="B52" i="52"/>
  <c r="B51" i="52"/>
  <c r="I49" i="52"/>
  <c r="D5" i="52"/>
  <c r="D6" i="52" s="1"/>
  <c r="B5" i="52"/>
  <c r="B4" i="52"/>
  <c r="E248" i="51"/>
  <c r="C248" i="51" s="1"/>
  <c r="I245" i="51"/>
  <c r="D187" i="51"/>
  <c r="B187" i="51" s="1"/>
  <c r="E186" i="51"/>
  <c r="C186" i="51" s="1"/>
  <c r="B186" i="51"/>
  <c r="I184" i="51"/>
  <c r="D126" i="51"/>
  <c r="B126" i="51" s="1"/>
  <c r="E125" i="51"/>
  <c r="C125" i="51" s="1"/>
  <c r="B125" i="51"/>
  <c r="I123" i="51"/>
  <c r="D65" i="51"/>
  <c r="B65" i="51" s="1"/>
  <c r="E64" i="51"/>
  <c r="C64" i="51" s="1"/>
  <c r="B64" i="51"/>
  <c r="I62" i="51"/>
  <c r="D4" i="51"/>
  <c r="B4" i="51" s="1"/>
  <c r="E3" i="51"/>
  <c r="C3" i="51" s="1"/>
  <c r="B3" i="51"/>
  <c r="E221" i="51" l="1"/>
  <c r="C221" i="51" s="1"/>
  <c r="D222" i="51"/>
  <c r="E263" i="51"/>
  <c r="D264" i="51"/>
  <c r="D127" i="51"/>
  <c r="B127" i="51" s="1"/>
  <c r="E187" i="51"/>
  <c r="C187" i="51" s="1"/>
  <c r="B53" i="52"/>
  <c r="D54" i="52"/>
  <c r="B6" i="52"/>
  <c r="D7" i="52"/>
  <c r="D5" i="51"/>
  <c r="B250" i="51"/>
  <c r="E65" i="51"/>
  <c r="C65" i="51" s="1"/>
  <c r="D66" i="51"/>
  <c r="E4" i="51"/>
  <c r="C4" i="51" s="1"/>
  <c r="C250" i="51"/>
  <c r="C252" i="51"/>
  <c r="B252" i="51"/>
  <c r="D188" i="51"/>
  <c r="D189" i="51" s="1"/>
  <c r="D190" i="51" s="1"/>
  <c r="E126" i="51"/>
  <c r="C126" i="51" s="1"/>
  <c r="E222" i="51" l="1"/>
  <c r="C222" i="51" s="1"/>
  <c r="D223" i="51"/>
  <c r="D265" i="51"/>
  <c r="E264" i="51"/>
  <c r="B189" i="51"/>
  <c r="D128" i="51"/>
  <c r="D8" i="52"/>
  <c r="B7" i="52"/>
  <c r="B54" i="52"/>
  <c r="D55" i="52"/>
  <c r="B188" i="51"/>
  <c r="D67" i="51"/>
  <c r="B66" i="51"/>
  <c r="D6" i="51"/>
  <c r="B5" i="51"/>
  <c r="D224" i="51" l="1"/>
  <c r="E223" i="51"/>
  <c r="C223" i="51" s="1"/>
  <c r="E265" i="51"/>
  <c r="D266" i="51"/>
  <c r="D129" i="51"/>
  <c r="B128" i="51"/>
  <c r="B55" i="52"/>
  <c r="D56" i="52"/>
  <c r="B8" i="52"/>
  <c r="D9" i="52"/>
  <c r="D10" i="52" s="1"/>
  <c r="D7" i="51"/>
  <c r="B6" i="51"/>
  <c r="B67" i="51"/>
  <c r="D68" i="51"/>
  <c r="D191" i="51"/>
  <c r="B190" i="51"/>
  <c r="E224" i="51" l="1"/>
  <c r="C224" i="51" s="1"/>
  <c r="D225" i="51"/>
  <c r="E266" i="51"/>
  <c r="D267" i="51"/>
  <c r="C254" i="51"/>
  <c r="B254" i="51"/>
  <c r="C249" i="51"/>
  <c r="B249" i="51"/>
  <c r="B129" i="51"/>
  <c r="D130" i="51"/>
  <c r="D11" i="52"/>
  <c r="B10" i="52"/>
  <c r="D57" i="52"/>
  <c r="B56" i="52"/>
  <c r="B191" i="51"/>
  <c r="D192" i="51"/>
  <c r="E191" i="51"/>
  <c r="C191" i="51" s="1"/>
  <c r="D69" i="51"/>
  <c r="B68" i="51"/>
  <c r="D8" i="51"/>
  <c r="B7" i="51"/>
  <c r="D226" i="51" l="1"/>
  <c r="E225" i="51"/>
  <c r="C225" i="51" s="1"/>
  <c r="D268" i="51"/>
  <c r="E267" i="51"/>
  <c r="C256" i="51"/>
  <c r="B256" i="51"/>
  <c r="C251" i="51"/>
  <c r="B251" i="51"/>
  <c r="B130" i="51"/>
  <c r="E130" i="51"/>
  <c r="C130" i="51" s="1"/>
  <c r="D131" i="51"/>
  <c r="D58" i="52"/>
  <c r="E57" i="52"/>
  <c r="C57" i="52" s="1"/>
  <c r="B57" i="52"/>
  <c r="D12" i="52"/>
  <c r="B11" i="52"/>
  <c r="B8" i="51"/>
  <c r="E8" i="51"/>
  <c r="C8" i="51" s="1"/>
  <c r="D9" i="51"/>
  <c r="B192" i="51"/>
  <c r="D193" i="51"/>
  <c r="E192" i="51"/>
  <c r="C192" i="51" s="1"/>
  <c r="D70" i="51"/>
  <c r="E69" i="51"/>
  <c r="C69" i="51" s="1"/>
  <c r="B69" i="51"/>
  <c r="E226" i="51" l="1"/>
  <c r="C226" i="51" s="1"/>
  <c r="D227" i="51"/>
  <c r="D269" i="51"/>
  <c r="E268" i="51"/>
  <c r="C258" i="51"/>
  <c r="B258" i="51"/>
  <c r="C253" i="51"/>
  <c r="B253" i="51"/>
  <c r="D132" i="51"/>
  <c r="E131" i="51"/>
  <c r="C131" i="51" s="1"/>
  <c r="B131" i="51"/>
  <c r="B12" i="52"/>
  <c r="D13" i="52"/>
  <c r="E58" i="52"/>
  <c r="C58" i="52" s="1"/>
  <c r="B58" i="52"/>
  <c r="D59" i="52"/>
  <c r="E70" i="51"/>
  <c r="C70" i="51" s="1"/>
  <c r="D71" i="51"/>
  <c r="B70" i="51"/>
  <c r="B193" i="51"/>
  <c r="E193" i="51"/>
  <c r="C193" i="51" s="1"/>
  <c r="D194" i="51"/>
  <c r="E9" i="51"/>
  <c r="C9" i="51" s="1"/>
  <c r="B9" i="51"/>
  <c r="D10" i="51"/>
  <c r="E227" i="51" l="1"/>
  <c r="C227" i="51" s="1"/>
  <c r="D228" i="51"/>
  <c r="E269" i="51"/>
  <c r="D270" i="51"/>
  <c r="C262" i="51"/>
  <c r="B262" i="51"/>
  <c r="C261" i="51"/>
  <c r="B261" i="51"/>
  <c r="C255" i="51"/>
  <c r="B255" i="51"/>
  <c r="B132" i="51"/>
  <c r="D133" i="51"/>
  <c r="E132" i="51"/>
  <c r="C132" i="51" s="1"/>
  <c r="E60" i="52"/>
  <c r="C60" i="52" s="1"/>
  <c r="B59" i="52"/>
  <c r="E59" i="52"/>
  <c r="C59" i="52" s="1"/>
  <c r="D14" i="52"/>
  <c r="B13" i="52"/>
  <c r="B10" i="51"/>
  <c r="D11" i="51"/>
  <c r="E10" i="51"/>
  <c r="C10" i="51" s="1"/>
  <c r="B71" i="51"/>
  <c r="D72" i="51"/>
  <c r="E71" i="51"/>
  <c r="C71" i="51" s="1"/>
  <c r="B194" i="51"/>
  <c r="D195" i="51"/>
  <c r="E194" i="51"/>
  <c r="C194" i="51" s="1"/>
  <c r="E228" i="51" l="1"/>
  <c r="C228" i="51" s="1"/>
  <c r="D229" i="51"/>
  <c r="E270" i="51"/>
  <c r="D271" i="51"/>
  <c r="B264" i="51"/>
  <c r="C264" i="51"/>
  <c r="B263" i="51"/>
  <c r="C263" i="51"/>
  <c r="C257" i="51"/>
  <c r="B257" i="51"/>
  <c r="E133" i="51"/>
  <c r="C133" i="51" s="1"/>
  <c r="B133" i="51"/>
  <c r="D134" i="51"/>
  <c r="D15" i="52"/>
  <c r="D16" i="52" s="1"/>
  <c r="B14" i="52"/>
  <c r="E61" i="52"/>
  <c r="C61" i="52" s="1"/>
  <c r="B61" i="52"/>
  <c r="E62" i="52"/>
  <c r="C62" i="52" s="1"/>
  <c r="D66" i="52"/>
  <c r="B62" i="52"/>
  <c r="D196" i="51"/>
  <c r="E195" i="51"/>
  <c r="C195" i="51" s="1"/>
  <c r="B195" i="51"/>
  <c r="E11" i="51"/>
  <c r="C11" i="51" s="1"/>
  <c r="D12" i="51"/>
  <c r="B11" i="51"/>
  <c r="D73" i="51"/>
  <c r="B72" i="51"/>
  <c r="E72" i="51"/>
  <c r="C72" i="51" s="1"/>
  <c r="D230" i="51" l="1"/>
  <c r="E229" i="51"/>
  <c r="C229" i="51" s="1"/>
  <c r="D272" i="51"/>
  <c r="E271" i="51"/>
  <c r="C266" i="51"/>
  <c r="B266" i="51"/>
  <c r="C265" i="51"/>
  <c r="B265" i="51"/>
  <c r="C259" i="51"/>
  <c r="B259" i="51"/>
  <c r="D135" i="51"/>
  <c r="B134" i="51"/>
  <c r="E134" i="51"/>
  <c r="C134" i="51" s="1"/>
  <c r="D67" i="52"/>
  <c r="E66" i="52"/>
  <c r="C66" i="52" s="1"/>
  <c r="B66" i="52"/>
  <c r="D17" i="52"/>
  <c r="B16" i="52"/>
  <c r="B73" i="51"/>
  <c r="D74" i="51"/>
  <c r="E73" i="51"/>
  <c r="C73" i="51" s="1"/>
  <c r="D13" i="51"/>
  <c r="E12" i="51"/>
  <c r="C12" i="51" s="1"/>
  <c r="B12" i="51"/>
  <c r="D197" i="51"/>
  <c r="E196" i="51"/>
  <c r="C196" i="51" s="1"/>
  <c r="B196" i="51"/>
  <c r="D231" i="51" l="1"/>
  <c r="E230" i="51"/>
  <c r="C230" i="51" s="1"/>
  <c r="E272" i="51"/>
  <c r="D274" i="51"/>
  <c r="C268" i="51"/>
  <c r="B268" i="51"/>
  <c r="B267" i="51"/>
  <c r="C267" i="51"/>
  <c r="D136" i="51"/>
  <c r="B135" i="51"/>
  <c r="E135" i="51"/>
  <c r="C135" i="51" s="1"/>
  <c r="D18" i="52"/>
  <c r="B17" i="52"/>
  <c r="B67" i="52"/>
  <c r="E67" i="52"/>
  <c r="C67" i="52" s="1"/>
  <c r="D68" i="52"/>
  <c r="B74" i="51"/>
  <c r="D75" i="51"/>
  <c r="E74" i="51"/>
  <c r="C74" i="51" s="1"/>
  <c r="B197" i="51"/>
  <c r="D198" i="51"/>
  <c r="E197" i="51"/>
  <c r="C197" i="51" s="1"/>
  <c r="D14" i="51"/>
  <c r="E13" i="51"/>
  <c r="C13" i="51" s="1"/>
  <c r="B13" i="51"/>
  <c r="D232" i="51" l="1"/>
  <c r="E231" i="51"/>
  <c r="C231" i="51" s="1"/>
  <c r="C270" i="51"/>
  <c r="B270" i="51"/>
  <c r="C269" i="51"/>
  <c r="B269" i="51"/>
  <c r="E136" i="51"/>
  <c r="C136" i="51" s="1"/>
  <c r="D137" i="51"/>
  <c r="B136" i="51"/>
  <c r="E68" i="52"/>
  <c r="C68" i="52" s="1"/>
  <c r="B68" i="52"/>
  <c r="D69" i="52"/>
  <c r="D19" i="52"/>
  <c r="B18" i="52"/>
  <c r="E198" i="51"/>
  <c r="C198" i="51" s="1"/>
  <c r="B198" i="51"/>
  <c r="D199" i="51"/>
  <c r="B14" i="51"/>
  <c r="D15" i="51"/>
  <c r="E14" i="51"/>
  <c r="C14" i="51" s="1"/>
  <c r="E75" i="51"/>
  <c r="C75" i="51" s="1"/>
  <c r="B75" i="51"/>
  <c r="D76" i="51"/>
  <c r="D233" i="51" l="1"/>
  <c r="E232" i="51"/>
  <c r="C232" i="51" s="1"/>
  <c r="C272" i="51"/>
  <c r="B272" i="51"/>
  <c r="B271" i="51"/>
  <c r="D275" i="51"/>
  <c r="D276" i="51" s="1"/>
  <c r="C271" i="51"/>
  <c r="E137" i="51"/>
  <c r="C137" i="51" s="1"/>
  <c r="D138" i="51"/>
  <c r="B137" i="51"/>
  <c r="B19" i="52"/>
  <c r="D20" i="52"/>
  <c r="B69" i="52"/>
  <c r="D70" i="52"/>
  <c r="E69" i="52"/>
  <c r="C69" i="52" s="1"/>
  <c r="B15" i="51"/>
  <c r="D16" i="51"/>
  <c r="E15" i="51"/>
  <c r="C15" i="51" s="1"/>
  <c r="E199" i="51"/>
  <c r="C199" i="51" s="1"/>
  <c r="B199" i="51"/>
  <c r="D200" i="51"/>
  <c r="D77" i="51"/>
  <c r="B76" i="51"/>
  <c r="E76" i="51"/>
  <c r="C76" i="51" s="1"/>
  <c r="E233" i="51" l="1"/>
  <c r="C233" i="51" s="1"/>
  <c r="D234" i="51"/>
  <c r="B276" i="51"/>
  <c r="E276" i="51"/>
  <c r="C276" i="51" s="1"/>
  <c r="D277" i="51"/>
  <c r="E275" i="51"/>
  <c r="C275" i="51" s="1"/>
  <c r="B275" i="51"/>
  <c r="B274" i="51"/>
  <c r="E274" i="51"/>
  <c r="C274" i="51" s="1"/>
  <c r="B138" i="51"/>
  <c r="E138" i="51"/>
  <c r="C138" i="51" s="1"/>
  <c r="D139" i="51"/>
  <c r="D71" i="52"/>
  <c r="E70" i="52"/>
  <c r="C70" i="52" s="1"/>
  <c r="B70" i="52"/>
  <c r="D21" i="52"/>
  <c r="B20" i="52"/>
  <c r="E77" i="51"/>
  <c r="C77" i="51" s="1"/>
  <c r="B77" i="51"/>
  <c r="D78" i="51"/>
  <c r="B200" i="51"/>
  <c r="D201" i="51"/>
  <c r="E200" i="51"/>
  <c r="C200" i="51" s="1"/>
  <c r="B16" i="51"/>
  <c r="D17" i="51"/>
  <c r="E16" i="51"/>
  <c r="C16" i="51" s="1"/>
  <c r="E234" i="51" l="1"/>
  <c r="C234" i="51" s="1"/>
  <c r="D235" i="51"/>
  <c r="B277" i="51"/>
  <c r="E277" i="51"/>
  <c r="C277" i="51" s="1"/>
  <c r="D278" i="51"/>
  <c r="B139" i="51"/>
  <c r="E139" i="51"/>
  <c r="C139" i="51" s="1"/>
  <c r="D140" i="51"/>
  <c r="D22" i="52"/>
  <c r="B21" i="52"/>
  <c r="E71" i="52"/>
  <c r="C71" i="52" s="1"/>
  <c r="B71" i="52"/>
  <c r="D18" i="51"/>
  <c r="E17" i="51"/>
  <c r="C17" i="51" s="1"/>
  <c r="B17" i="51"/>
  <c r="E201" i="51"/>
  <c r="C201" i="51" s="1"/>
  <c r="B201" i="51"/>
  <c r="D202" i="51"/>
  <c r="B78" i="51"/>
  <c r="D79" i="51"/>
  <c r="E78" i="51"/>
  <c r="C78" i="51" s="1"/>
  <c r="E235" i="51" l="1"/>
  <c r="C235" i="51" s="1"/>
  <c r="D236" i="51"/>
  <c r="B278" i="51"/>
  <c r="E278" i="51"/>
  <c r="C278" i="51" s="1"/>
  <c r="D279" i="51"/>
  <c r="E140" i="51"/>
  <c r="C140" i="51" s="1"/>
  <c r="D141" i="51"/>
  <c r="B140" i="51"/>
  <c r="D23" i="52"/>
  <c r="B22" i="52"/>
  <c r="B202" i="51"/>
  <c r="D203" i="51"/>
  <c r="E202" i="51"/>
  <c r="C202" i="51" s="1"/>
  <c r="B79" i="51"/>
  <c r="E79" i="51"/>
  <c r="C79" i="51" s="1"/>
  <c r="D80" i="51"/>
  <c r="D19" i="51"/>
  <c r="E18" i="51"/>
  <c r="C18" i="51" s="1"/>
  <c r="B18" i="51"/>
  <c r="E236" i="51" l="1"/>
  <c r="C236" i="51" s="1"/>
  <c r="D237" i="51"/>
  <c r="B279" i="51"/>
  <c r="E279" i="51"/>
  <c r="C279" i="51" s="1"/>
  <c r="D280" i="51"/>
  <c r="E141" i="51"/>
  <c r="C141" i="51" s="1"/>
  <c r="D142" i="51"/>
  <c r="B141" i="51"/>
  <c r="D24" i="52"/>
  <c r="B23" i="52"/>
  <c r="E19" i="51"/>
  <c r="C19" i="51" s="1"/>
  <c r="B19" i="51"/>
  <c r="D20" i="51"/>
  <c r="B80" i="51"/>
  <c r="E80" i="51"/>
  <c r="C80" i="51" s="1"/>
  <c r="D81" i="51"/>
  <c r="D204" i="51"/>
  <c r="E203" i="51"/>
  <c r="C203" i="51" s="1"/>
  <c r="B203" i="51"/>
  <c r="E237" i="51" l="1"/>
  <c r="C237" i="51" s="1"/>
  <c r="D238" i="51"/>
  <c r="D281" i="51"/>
  <c r="B280" i="51"/>
  <c r="E280" i="51"/>
  <c r="C280" i="51" s="1"/>
  <c r="D143" i="51"/>
  <c r="D144" i="51" s="1"/>
  <c r="E142" i="51"/>
  <c r="C142" i="51" s="1"/>
  <c r="B142" i="51"/>
  <c r="B24" i="52"/>
  <c r="D25" i="52"/>
  <c r="E81" i="51"/>
  <c r="C81" i="51" s="1"/>
  <c r="D82" i="51"/>
  <c r="D83" i="51" s="1"/>
  <c r="B81" i="51"/>
  <c r="E204" i="51"/>
  <c r="C204" i="51" s="1"/>
  <c r="B204" i="51"/>
  <c r="B20" i="51"/>
  <c r="D21" i="51"/>
  <c r="D22" i="51" s="1"/>
  <c r="E20" i="51"/>
  <c r="C20" i="51" s="1"/>
  <c r="E238" i="51" l="1"/>
  <c r="C238" i="51" s="1"/>
  <c r="D239" i="51"/>
  <c r="E144" i="51"/>
  <c r="C144" i="51" s="1"/>
  <c r="D145" i="51"/>
  <c r="E83" i="51"/>
  <c r="C83" i="51" s="1"/>
  <c r="D84" i="51"/>
  <c r="E22" i="51"/>
  <c r="C22" i="51" s="1"/>
  <c r="D23" i="51"/>
  <c r="E281" i="51"/>
  <c r="C281" i="51" s="1"/>
  <c r="D282" i="51"/>
  <c r="B281" i="51"/>
  <c r="E143" i="51"/>
  <c r="C143" i="51" s="1"/>
  <c r="B143" i="51"/>
  <c r="D26" i="52"/>
  <c r="B25" i="52"/>
  <c r="B82" i="51"/>
  <c r="E82" i="51"/>
  <c r="C82" i="51" s="1"/>
  <c r="E21" i="51"/>
  <c r="C21" i="51" s="1"/>
  <c r="B21" i="51"/>
  <c r="D240" i="51" l="1"/>
  <c r="E239" i="51"/>
  <c r="C239" i="51" s="1"/>
  <c r="D146" i="51"/>
  <c r="E145" i="51"/>
  <c r="C145" i="51" s="1"/>
  <c r="E84" i="51"/>
  <c r="C84" i="51" s="1"/>
  <c r="D85" i="51"/>
  <c r="E23" i="51"/>
  <c r="C23" i="51" s="1"/>
  <c r="D24" i="51"/>
  <c r="B282" i="51"/>
  <c r="E282" i="51"/>
  <c r="C282" i="51" s="1"/>
  <c r="D283" i="51"/>
  <c r="D27" i="52"/>
  <c r="B26" i="52"/>
  <c r="E240" i="51" l="1"/>
  <c r="C240" i="51" s="1"/>
  <c r="D241" i="51"/>
  <c r="E146" i="51"/>
  <c r="C146" i="51" s="1"/>
  <c r="D147" i="51"/>
  <c r="D86" i="51"/>
  <c r="E85" i="51"/>
  <c r="C85" i="51" s="1"/>
  <c r="E24" i="51"/>
  <c r="C24" i="51" s="1"/>
  <c r="D25" i="51"/>
  <c r="B283" i="51"/>
  <c r="E283" i="51"/>
  <c r="C283" i="51" s="1"/>
  <c r="D284" i="51"/>
  <c r="D28" i="52"/>
  <c r="B27" i="52"/>
  <c r="E241" i="51" l="1"/>
  <c r="C241" i="51" s="1"/>
  <c r="D242" i="51"/>
  <c r="E147" i="51"/>
  <c r="C147" i="51" s="1"/>
  <c r="D148" i="51"/>
  <c r="E86" i="51"/>
  <c r="C86" i="51" s="1"/>
  <c r="D87" i="51"/>
  <c r="D26" i="51"/>
  <c r="E25" i="51"/>
  <c r="C25" i="51" s="1"/>
  <c r="B284" i="51"/>
  <c r="E284" i="51"/>
  <c r="C284" i="51" s="1"/>
  <c r="D285" i="51"/>
  <c r="D29" i="52"/>
  <c r="B28" i="52"/>
  <c r="D243" i="51" l="1"/>
  <c r="E242" i="51"/>
  <c r="C242" i="51" s="1"/>
  <c r="D149" i="51"/>
  <c r="E148" i="51"/>
  <c r="C148" i="51" s="1"/>
  <c r="E87" i="51"/>
  <c r="C87" i="51" s="1"/>
  <c r="D88" i="51"/>
  <c r="E26" i="51"/>
  <c r="C26" i="51" s="1"/>
  <c r="D27" i="51"/>
  <c r="D287" i="51"/>
  <c r="B285" i="51"/>
  <c r="E285" i="51"/>
  <c r="C285" i="51" s="1"/>
  <c r="D30" i="52"/>
  <c r="B29" i="52"/>
  <c r="D244" i="51" l="1"/>
  <c r="E244" i="51" s="1"/>
  <c r="C244" i="51" s="1"/>
  <c r="E243" i="51"/>
  <c r="C243" i="51" s="1"/>
  <c r="D150" i="51"/>
  <c r="E149" i="51"/>
  <c r="C149" i="51" s="1"/>
  <c r="E88" i="51"/>
  <c r="C88" i="51" s="1"/>
  <c r="D89" i="51"/>
  <c r="E27" i="51"/>
  <c r="C27" i="51" s="1"/>
  <c r="D28" i="51"/>
  <c r="E287" i="51"/>
  <c r="C287" i="51" s="1"/>
  <c r="D288" i="51"/>
  <c r="B287" i="51"/>
  <c r="D31" i="52"/>
  <c r="B30" i="52"/>
  <c r="D151" i="51" l="1"/>
  <c r="E150" i="51"/>
  <c r="C150" i="51" s="1"/>
  <c r="E89" i="51"/>
  <c r="C89" i="51" s="1"/>
  <c r="D90" i="51"/>
  <c r="D29" i="51"/>
  <c r="E28" i="51"/>
  <c r="C28" i="51" s="1"/>
  <c r="B288" i="51"/>
  <c r="E288" i="51"/>
  <c r="C288" i="51" s="1"/>
  <c r="D289" i="51"/>
  <c r="D32" i="52"/>
  <c r="B31" i="52"/>
  <c r="E151" i="51" l="1"/>
  <c r="C151" i="51" s="1"/>
  <c r="D152" i="51"/>
  <c r="E90" i="51"/>
  <c r="C90" i="51" s="1"/>
  <c r="D91" i="51"/>
  <c r="E29" i="51"/>
  <c r="C29" i="51" s="1"/>
  <c r="D30" i="51"/>
  <c r="B289" i="51"/>
  <c r="D290" i="51"/>
  <c r="E289" i="51"/>
  <c r="C289" i="51" s="1"/>
  <c r="D33" i="52"/>
  <c r="B32" i="52"/>
  <c r="E152" i="51" l="1"/>
  <c r="C152" i="51" s="1"/>
  <c r="D153" i="51"/>
  <c r="D92" i="51"/>
  <c r="E91" i="51"/>
  <c r="C91" i="51" s="1"/>
  <c r="E30" i="51"/>
  <c r="C30" i="51" s="1"/>
  <c r="D31" i="51"/>
  <c r="B290" i="51"/>
  <c r="E290" i="51"/>
  <c r="C290" i="51" s="1"/>
  <c r="D291" i="51"/>
  <c r="B33" i="52"/>
  <c r="D34" i="52"/>
  <c r="E153" i="51" l="1"/>
  <c r="C153" i="51" s="1"/>
  <c r="D154" i="51"/>
  <c r="E92" i="51"/>
  <c r="C92" i="51" s="1"/>
  <c r="D93" i="51"/>
  <c r="D32" i="51"/>
  <c r="E31" i="51"/>
  <c r="C31" i="51" s="1"/>
  <c r="D292" i="51"/>
  <c r="B291" i="51"/>
  <c r="E291" i="51"/>
  <c r="C291" i="51" s="1"/>
  <c r="D35" i="52"/>
  <c r="B34" i="52"/>
  <c r="E154" i="51" l="1"/>
  <c r="C154" i="51" s="1"/>
  <c r="D155" i="51"/>
  <c r="E93" i="51"/>
  <c r="C93" i="51" s="1"/>
  <c r="D94" i="51"/>
  <c r="E32" i="51"/>
  <c r="C32" i="51" s="1"/>
  <c r="D33" i="51"/>
  <c r="E292" i="51"/>
  <c r="C292" i="51" s="1"/>
  <c r="D293" i="51"/>
  <c r="B292" i="51"/>
  <c r="D36" i="52"/>
  <c r="B35" i="52"/>
  <c r="E155" i="51" l="1"/>
  <c r="C155" i="51" s="1"/>
  <c r="D156" i="51"/>
  <c r="E94" i="51"/>
  <c r="C94" i="51" s="1"/>
  <c r="D95" i="51"/>
  <c r="E33" i="51"/>
  <c r="C33" i="51" s="1"/>
  <c r="D34" i="51"/>
  <c r="B293" i="51"/>
  <c r="E293" i="51"/>
  <c r="C293" i="51" s="1"/>
  <c r="D294" i="51"/>
  <c r="D37" i="52"/>
  <c r="B36" i="52"/>
  <c r="E156" i="51" l="1"/>
  <c r="C156" i="51" s="1"/>
  <c r="D157" i="51"/>
  <c r="D96" i="51"/>
  <c r="E95" i="51"/>
  <c r="C95" i="51" s="1"/>
  <c r="E34" i="51"/>
  <c r="C34" i="51" s="1"/>
  <c r="D35" i="51"/>
  <c r="B294" i="51"/>
  <c r="E294" i="51"/>
  <c r="C294" i="51" s="1"/>
  <c r="D295" i="51"/>
  <c r="B37" i="52"/>
  <c r="D38" i="52"/>
  <c r="D158" i="51" l="1"/>
  <c r="E157" i="51"/>
  <c r="C157" i="51" s="1"/>
  <c r="E96" i="51"/>
  <c r="C96" i="51" s="1"/>
  <c r="D97" i="51"/>
  <c r="E35" i="51"/>
  <c r="C35" i="51" s="1"/>
  <c r="D36" i="51"/>
  <c r="B295" i="51"/>
  <c r="E295" i="51"/>
  <c r="C295" i="51" s="1"/>
  <c r="D296" i="51"/>
  <c r="D39" i="52"/>
  <c r="B38" i="52"/>
  <c r="E158" i="51" l="1"/>
  <c r="C158" i="51" s="1"/>
  <c r="D159" i="51"/>
  <c r="E97" i="51"/>
  <c r="C97" i="51" s="1"/>
  <c r="D98" i="51"/>
  <c r="E36" i="51"/>
  <c r="C36" i="51" s="1"/>
  <c r="D37" i="51"/>
  <c r="D297" i="51"/>
  <c r="B296" i="51"/>
  <c r="E296" i="51"/>
  <c r="C296" i="51" s="1"/>
  <c r="B39" i="52"/>
  <c r="D40" i="52"/>
  <c r="E159" i="51" l="1"/>
  <c r="C159" i="51" s="1"/>
  <c r="D160" i="51"/>
  <c r="E98" i="51"/>
  <c r="C98" i="51" s="1"/>
  <c r="D99" i="51"/>
  <c r="E37" i="51"/>
  <c r="C37" i="51" s="1"/>
  <c r="D38" i="51"/>
  <c r="E297" i="51"/>
  <c r="C297" i="51" s="1"/>
  <c r="D298" i="51"/>
  <c r="B297" i="51"/>
  <c r="D41" i="52"/>
  <c r="B40" i="52"/>
  <c r="E160" i="51" l="1"/>
  <c r="C160" i="51" s="1"/>
  <c r="D161" i="51"/>
  <c r="E99" i="51"/>
  <c r="C99" i="51" s="1"/>
  <c r="D100" i="51"/>
  <c r="E38" i="51"/>
  <c r="C38" i="51" s="1"/>
  <c r="D39" i="51"/>
  <c r="B298" i="51"/>
  <c r="E298" i="51"/>
  <c r="C298" i="51" s="1"/>
  <c r="B41" i="52"/>
  <c r="D42" i="52"/>
  <c r="B205" i="51"/>
  <c r="E161" i="51" l="1"/>
  <c r="C161" i="51" s="1"/>
  <c r="D162" i="51"/>
  <c r="D101" i="51"/>
  <c r="E100" i="51"/>
  <c r="C100" i="51" s="1"/>
  <c r="D40" i="51"/>
  <c r="E39" i="51"/>
  <c r="C39" i="51" s="1"/>
  <c r="B144" i="51"/>
  <c r="D43" i="52"/>
  <c r="B42" i="52"/>
  <c r="B206" i="51"/>
  <c r="B207" i="51"/>
  <c r="B83" i="51"/>
  <c r="B22" i="51"/>
  <c r="D163" i="51" l="1"/>
  <c r="E162" i="51"/>
  <c r="C162" i="51" s="1"/>
  <c r="E101" i="51"/>
  <c r="C101" i="51" s="1"/>
  <c r="D102" i="51"/>
  <c r="E40" i="51"/>
  <c r="C40" i="51" s="1"/>
  <c r="D41" i="51"/>
  <c r="B145" i="51"/>
  <c r="D44" i="52"/>
  <c r="B43" i="52"/>
  <c r="B24" i="51"/>
  <c r="B23" i="51"/>
  <c r="B85" i="51"/>
  <c r="B84" i="51"/>
  <c r="B208" i="51"/>
  <c r="D164" i="51" l="1"/>
  <c r="E163" i="51"/>
  <c r="C163" i="51" s="1"/>
  <c r="D103" i="51"/>
  <c r="E102" i="51"/>
  <c r="C102" i="51" s="1"/>
  <c r="D42" i="51"/>
  <c r="E41" i="51"/>
  <c r="C41" i="51" s="1"/>
  <c r="B146" i="51"/>
  <c r="B44" i="52"/>
  <c r="D45" i="52"/>
  <c r="B25" i="51"/>
  <c r="B209" i="51"/>
  <c r="B86" i="51"/>
  <c r="D165" i="51" l="1"/>
  <c r="E164" i="51"/>
  <c r="C164" i="51" s="1"/>
  <c r="E103" i="51"/>
  <c r="C103" i="51" s="1"/>
  <c r="D104" i="51"/>
  <c r="E42" i="51"/>
  <c r="C42" i="51" s="1"/>
  <c r="D43" i="51"/>
  <c r="B211" i="51"/>
  <c r="B147" i="51"/>
  <c r="B45" i="52"/>
  <c r="D46" i="52"/>
  <c r="B87" i="51"/>
  <c r="B210" i="51"/>
  <c r="B26" i="51"/>
  <c r="E165" i="51" l="1"/>
  <c r="C165" i="51" s="1"/>
  <c r="D166" i="51"/>
  <c r="E104" i="51"/>
  <c r="C104" i="51" s="1"/>
  <c r="D105" i="51"/>
  <c r="E43" i="51"/>
  <c r="C43" i="51" s="1"/>
  <c r="D44" i="51"/>
  <c r="B28" i="51"/>
  <c r="B148" i="51"/>
  <c r="D47" i="52"/>
  <c r="B46" i="52"/>
  <c r="B212" i="51"/>
  <c r="B89" i="51"/>
  <c r="B88" i="51"/>
  <c r="B27" i="51"/>
  <c r="D167" i="51" l="1"/>
  <c r="E166" i="51"/>
  <c r="C166" i="51" s="1"/>
  <c r="E105" i="51"/>
  <c r="C105" i="51" s="1"/>
  <c r="D106" i="51"/>
  <c r="E44" i="51"/>
  <c r="C44" i="51" s="1"/>
  <c r="D45" i="51"/>
  <c r="B149" i="51"/>
  <c r="D48" i="52"/>
  <c r="B48" i="52" s="1"/>
  <c r="B47" i="52"/>
  <c r="B29" i="51"/>
  <c r="B90" i="51"/>
  <c r="E167" i="51" l="1"/>
  <c r="C167" i="51" s="1"/>
  <c r="D168" i="51"/>
  <c r="E106" i="51"/>
  <c r="C106" i="51" s="1"/>
  <c r="D107" i="51"/>
  <c r="D46" i="51"/>
  <c r="E45" i="51"/>
  <c r="C45" i="51" s="1"/>
  <c r="B213" i="51"/>
  <c r="B150" i="51"/>
  <c r="B214" i="51"/>
  <c r="B91" i="51"/>
  <c r="B30" i="51"/>
  <c r="E168" i="51" l="1"/>
  <c r="C168" i="51" s="1"/>
  <c r="D169" i="51"/>
  <c r="E107" i="51"/>
  <c r="C107" i="51" s="1"/>
  <c r="D108" i="51"/>
  <c r="D47" i="51"/>
  <c r="E46" i="51"/>
  <c r="C46" i="51" s="1"/>
  <c r="B151" i="51"/>
  <c r="B31" i="51"/>
  <c r="B92" i="51"/>
  <c r="E169" i="51" l="1"/>
  <c r="C169" i="51" s="1"/>
  <c r="D170" i="51"/>
  <c r="E108" i="51"/>
  <c r="C108" i="51" s="1"/>
  <c r="D109" i="51"/>
  <c r="D48" i="51"/>
  <c r="E47" i="51"/>
  <c r="C47" i="51" s="1"/>
  <c r="B215" i="51"/>
  <c r="B152" i="51"/>
  <c r="E170" i="51" l="1"/>
  <c r="C170" i="51" s="1"/>
  <c r="D171" i="51"/>
  <c r="E109" i="51"/>
  <c r="C109" i="51" s="1"/>
  <c r="D110" i="51"/>
  <c r="D49" i="51"/>
  <c r="E48" i="51"/>
  <c r="C48" i="51" s="1"/>
  <c r="B93" i="51"/>
  <c r="B32" i="51"/>
  <c r="B153" i="51"/>
  <c r="B216" i="51"/>
  <c r="E171" i="51" l="1"/>
  <c r="C171" i="51" s="1"/>
  <c r="D172" i="51"/>
  <c r="E110" i="51"/>
  <c r="C110" i="51" s="1"/>
  <c r="D111" i="51"/>
  <c r="E49" i="51"/>
  <c r="C49" i="51" s="1"/>
  <c r="D50" i="51"/>
  <c r="B94" i="51"/>
  <c r="B33" i="51"/>
  <c r="B154" i="51"/>
  <c r="B217" i="51"/>
  <c r="E172" i="51" l="1"/>
  <c r="C172" i="51" s="1"/>
  <c r="D173" i="51"/>
  <c r="D112" i="51"/>
  <c r="E111" i="51"/>
  <c r="C111" i="51" s="1"/>
  <c r="E50" i="51"/>
  <c r="C50" i="51" s="1"/>
  <c r="D51" i="51"/>
  <c r="B219" i="51"/>
  <c r="B95" i="51"/>
  <c r="B34" i="51"/>
  <c r="B155" i="51"/>
  <c r="B218" i="51"/>
  <c r="E173" i="51" l="1"/>
  <c r="C173" i="51" s="1"/>
  <c r="D174" i="51"/>
  <c r="E112" i="51"/>
  <c r="C112" i="51" s="1"/>
  <c r="D113" i="51"/>
  <c r="D52" i="51"/>
  <c r="E51" i="51"/>
  <c r="C51" i="51" s="1"/>
  <c r="B220" i="51"/>
  <c r="B97" i="51"/>
  <c r="B96" i="51"/>
  <c r="B35" i="51"/>
  <c r="B156" i="51"/>
  <c r="E174" i="51" l="1"/>
  <c r="C174" i="51" s="1"/>
  <c r="D175" i="51"/>
  <c r="E113" i="51"/>
  <c r="C113" i="51" s="1"/>
  <c r="D114" i="51"/>
  <c r="D53" i="51"/>
  <c r="E52" i="51"/>
  <c r="C52" i="51" s="1"/>
  <c r="B98" i="51"/>
  <c r="B36" i="51"/>
  <c r="B157" i="51"/>
  <c r="E175" i="51" l="1"/>
  <c r="C175" i="51" s="1"/>
  <c r="D176" i="51"/>
  <c r="E114" i="51"/>
  <c r="C114" i="51" s="1"/>
  <c r="D115" i="51"/>
  <c r="E53" i="51"/>
  <c r="C53" i="51" s="1"/>
  <c r="D54" i="51"/>
  <c r="B37" i="51"/>
  <c r="B99" i="51"/>
  <c r="B221" i="51"/>
  <c r="B158" i="51"/>
  <c r="E176" i="51" l="1"/>
  <c r="C176" i="51" s="1"/>
  <c r="D177" i="51"/>
  <c r="D116" i="51"/>
  <c r="E115" i="51"/>
  <c r="C115" i="51" s="1"/>
  <c r="E54" i="51"/>
  <c r="C54" i="51" s="1"/>
  <c r="D55" i="51"/>
  <c r="B100" i="51"/>
  <c r="B38" i="51"/>
  <c r="B222" i="51"/>
  <c r="B159" i="51"/>
  <c r="D178" i="51" l="1"/>
  <c r="E177" i="51"/>
  <c r="C177" i="51" s="1"/>
  <c r="E116" i="51"/>
  <c r="C116" i="51" s="1"/>
  <c r="D117" i="51"/>
  <c r="E55" i="51"/>
  <c r="C55" i="51" s="1"/>
  <c r="D56" i="51"/>
  <c r="B224" i="51"/>
  <c r="B39" i="51"/>
  <c r="B101" i="51"/>
  <c r="B223" i="51"/>
  <c r="B160" i="51"/>
  <c r="E178" i="51" l="1"/>
  <c r="C178" i="51" s="1"/>
  <c r="D179" i="51"/>
  <c r="E117" i="51"/>
  <c r="C117" i="51" s="1"/>
  <c r="D118" i="51"/>
  <c r="E56" i="51"/>
  <c r="C56" i="51" s="1"/>
  <c r="D57" i="51"/>
  <c r="B40" i="51"/>
  <c r="B102" i="51"/>
  <c r="B161" i="51"/>
  <c r="E179" i="51" l="1"/>
  <c r="C179" i="51" s="1"/>
  <c r="D180" i="51"/>
  <c r="E118" i="51"/>
  <c r="C118" i="51" s="1"/>
  <c r="D119" i="51"/>
  <c r="D58" i="51"/>
  <c r="E57" i="51"/>
  <c r="C57" i="51" s="1"/>
  <c r="B103" i="51"/>
  <c r="B41" i="51"/>
  <c r="B162" i="51"/>
  <c r="B225" i="51"/>
  <c r="D181" i="51" l="1"/>
  <c r="E180" i="51"/>
  <c r="C180" i="51" s="1"/>
  <c r="D120" i="51"/>
  <c r="E119" i="51"/>
  <c r="C119" i="51" s="1"/>
  <c r="E58" i="51"/>
  <c r="C58" i="51" s="1"/>
  <c r="D59" i="51"/>
  <c r="B42" i="51"/>
  <c r="B104" i="51"/>
  <c r="B226" i="51"/>
  <c r="B163" i="51"/>
  <c r="D182" i="51" l="1"/>
  <c r="E181" i="51"/>
  <c r="C181" i="51" s="1"/>
  <c r="E120" i="51"/>
  <c r="C120" i="51" s="1"/>
  <c r="D121" i="51"/>
  <c r="D60" i="51"/>
  <c r="E59" i="51"/>
  <c r="C59" i="51" s="1"/>
  <c r="B228" i="51"/>
  <c r="B105" i="51"/>
  <c r="B43" i="51"/>
  <c r="B164" i="51"/>
  <c r="B229" i="51"/>
  <c r="B227" i="51"/>
  <c r="D183" i="51" l="1"/>
  <c r="E183" i="51" s="1"/>
  <c r="C183" i="51" s="1"/>
  <c r="E182" i="51"/>
  <c r="C182" i="51" s="1"/>
  <c r="D122" i="51"/>
  <c r="E122" i="51" s="1"/>
  <c r="C122" i="51" s="1"/>
  <c r="E121" i="51"/>
  <c r="C121" i="51" s="1"/>
  <c r="E60" i="51"/>
  <c r="C60" i="51" s="1"/>
  <c r="D61" i="51"/>
  <c r="E61" i="51" s="1"/>
  <c r="C61" i="51" s="1"/>
  <c r="B44" i="51"/>
  <c r="B106" i="51"/>
  <c r="B165" i="51"/>
  <c r="B45" i="51" l="1"/>
  <c r="B107" i="51"/>
  <c r="B168" i="51"/>
  <c r="B230" i="51"/>
  <c r="B166" i="51"/>
  <c r="B46" i="51" l="1"/>
  <c r="B108" i="51"/>
  <c r="B167" i="51"/>
  <c r="B231" i="51"/>
  <c r="B109" i="51" l="1"/>
  <c r="B47" i="51"/>
  <c r="B232" i="51"/>
  <c r="B169" i="51"/>
  <c r="B48" i="51" l="1"/>
  <c r="B110" i="51"/>
  <c r="B170" i="51"/>
  <c r="B233" i="51"/>
  <c r="B111" i="51" l="1"/>
  <c r="B49" i="51"/>
  <c r="B234" i="51"/>
  <c r="B171" i="51"/>
  <c r="B50" i="51" l="1"/>
  <c r="B112" i="51"/>
  <c r="B172" i="51"/>
  <c r="B235" i="51"/>
  <c r="B113" i="51" l="1"/>
  <c r="B51" i="51"/>
  <c r="B236" i="51"/>
  <c r="B173" i="51"/>
  <c r="B114" i="51" l="1"/>
  <c r="B52" i="51"/>
  <c r="B237" i="51"/>
  <c r="B238" i="51"/>
  <c r="B174" i="51"/>
  <c r="B53" i="51" l="1"/>
  <c r="B239" i="51"/>
  <c r="B175" i="51"/>
  <c r="B115" i="51" l="1"/>
  <c r="B176" i="51"/>
  <c r="B54" i="51"/>
  <c r="B177" i="51"/>
  <c r="B240" i="51"/>
  <c r="B116" i="51" l="1"/>
  <c r="B55" i="51"/>
  <c r="B241" i="51"/>
  <c r="B178" i="51"/>
  <c r="E89" i="34"/>
  <c r="D109" i="13"/>
  <c r="B109" i="13" s="1"/>
  <c r="D110" i="13"/>
  <c r="B110" i="13" s="1"/>
  <c r="B108" i="13"/>
  <c r="E108" i="13"/>
  <c r="D108" i="13"/>
  <c r="B117" i="51" l="1"/>
  <c r="B56" i="51"/>
  <c r="B242" i="51"/>
  <c r="B179" i="51"/>
  <c r="E109" i="13"/>
  <c r="E110" i="13"/>
  <c r="D111" i="13"/>
  <c r="B483" i="8"/>
  <c r="B118" i="51" l="1"/>
  <c r="B57" i="51"/>
  <c r="B243" i="51"/>
  <c r="B180" i="51"/>
  <c r="E111" i="13"/>
  <c r="D112" i="13"/>
  <c r="B111" i="13"/>
  <c r="B24" i="7"/>
  <c r="B23" i="7"/>
  <c r="B22" i="7"/>
  <c r="B21" i="7"/>
  <c r="B20" i="7"/>
  <c r="B19" i="7"/>
  <c r="B18" i="7"/>
  <c r="B482" i="8"/>
  <c r="B119" i="51" l="1"/>
  <c r="B58" i="51"/>
  <c r="B181" i="51"/>
  <c r="B112" i="13"/>
  <c r="E112" i="13"/>
  <c r="D113" i="13"/>
  <c r="E139" i="35"/>
  <c r="D140" i="35" s="1"/>
  <c r="B139" i="35"/>
  <c r="B244" i="51" l="1"/>
  <c r="B120" i="51"/>
  <c r="B59" i="51"/>
  <c r="B182" i="51"/>
  <c r="B113" i="13"/>
  <c r="E113" i="13"/>
  <c r="C139" i="35"/>
  <c r="E140" i="35"/>
  <c r="B140" i="35"/>
  <c r="I136" i="10"/>
  <c r="B121" i="51" l="1"/>
  <c r="B60" i="51"/>
  <c r="B183" i="51"/>
  <c r="D141" i="35"/>
  <c r="C140" i="35"/>
  <c r="B62" i="46"/>
  <c r="B63" i="46"/>
  <c r="D63" i="46"/>
  <c r="E63" i="46" s="1"/>
  <c r="C63" i="46" s="1"/>
  <c r="E149" i="34"/>
  <c r="B444" i="45"/>
  <c r="B122" i="51" l="1"/>
  <c r="B61" i="51"/>
  <c r="E141" i="35"/>
  <c r="B141" i="35"/>
  <c r="D64" i="46"/>
  <c r="B64" i="46" s="1"/>
  <c r="B203" i="8"/>
  <c r="B202" i="8"/>
  <c r="C141" i="35" l="1"/>
  <c r="D142" i="35"/>
  <c r="B142" i="35" l="1"/>
  <c r="E142" i="35"/>
  <c r="C142" i="35" l="1"/>
  <c r="D143" i="35"/>
  <c r="B143" i="35" l="1"/>
  <c r="E143" i="35"/>
  <c r="D144" i="35" l="1"/>
  <c r="C143" i="35"/>
  <c r="E187" i="34"/>
  <c r="D202" i="46"/>
  <c r="B202" i="46" s="1"/>
  <c r="B201" i="46"/>
  <c r="D123" i="46"/>
  <c r="E123" i="46" s="1"/>
  <c r="B122" i="46"/>
  <c r="D4" i="46"/>
  <c r="B4" i="46" s="1"/>
  <c r="B3" i="46"/>
  <c r="E55" i="34"/>
  <c r="E61" i="45"/>
  <c r="D62" i="45" s="1"/>
  <c r="B157" i="45"/>
  <c r="C157" i="45"/>
  <c r="B158" i="45"/>
  <c r="C158" i="45"/>
  <c r="B159" i="45"/>
  <c r="C159" i="45"/>
  <c r="B160" i="45"/>
  <c r="C160" i="45"/>
  <c r="B161" i="45"/>
  <c r="C161" i="45"/>
  <c r="B162" i="45"/>
  <c r="C162" i="45"/>
  <c r="B163" i="45"/>
  <c r="C163" i="45"/>
  <c r="B164" i="45"/>
  <c r="C164" i="45"/>
  <c r="B165" i="45"/>
  <c r="C165" i="45"/>
  <c r="B166" i="45"/>
  <c r="C166" i="45"/>
  <c r="B167" i="45"/>
  <c r="C167" i="45"/>
  <c r="B168" i="45"/>
  <c r="C168" i="45"/>
  <c r="B169" i="45"/>
  <c r="C169" i="45"/>
  <c r="B170" i="45"/>
  <c r="C170" i="45"/>
  <c r="B171" i="45"/>
  <c r="C171" i="45"/>
  <c r="B172" i="45"/>
  <c r="C172" i="45"/>
  <c r="B173" i="45"/>
  <c r="C173" i="45"/>
  <c r="B174" i="45"/>
  <c r="C174" i="45"/>
  <c r="B175" i="45"/>
  <c r="C175" i="45"/>
  <c r="B176" i="45"/>
  <c r="C176" i="45"/>
  <c r="B177" i="45"/>
  <c r="C177" i="45"/>
  <c r="B178" i="45"/>
  <c r="C178" i="45"/>
  <c r="B179" i="45"/>
  <c r="C179" i="45"/>
  <c r="B180" i="45"/>
  <c r="C180" i="45"/>
  <c r="B181" i="45"/>
  <c r="C181" i="45"/>
  <c r="B182" i="45"/>
  <c r="C182" i="45"/>
  <c r="B183" i="45"/>
  <c r="C183" i="45"/>
  <c r="B184" i="45"/>
  <c r="C184" i="45"/>
  <c r="B185" i="45"/>
  <c r="C185" i="45"/>
  <c r="B186" i="45"/>
  <c r="B187" i="45"/>
  <c r="B188" i="45"/>
  <c r="C188" i="45"/>
  <c r="B189" i="45"/>
  <c r="C189" i="45"/>
  <c r="B190" i="45"/>
  <c r="C190" i="45"/>
  <c r="B191" i="45"/>
  <c r="C191" i="45"/>
  <c r="B192" i="45"/>
  <c r="C192" i="45"/>
  <c r="B193" i="45"/>
  <c r="C193" i="45"/>
  <c r="B194" i="45"/>
  <c r="C194" i="45"/>
  <c r="B195" i="45"/>
  <c r="C195" i="45"/>
  <c r="B196" i="45"/>
  <c r="C196" i="45"/>
  <c r="B197" i="45"/>
  <c r="C197" i="45"/>
  <c r="B198" i="45"/>
  <c r="C198" i="45"/>
  <c r="B199" i="45"/>
  <c r="C199" i="45"/>
  <c r="B200" i="45"/>
  <c r="C200" i="45"/>
  <c r="B201" i="45"/>
  <c r="C201" i="45"/>
  <c r="B202" i="45"/>
  <c r="C202" i="45"/>
  <c r="B203" i="45"/>
  <c r="C203" i="45"/>
  <c r="B204" i="45"/>
  <c r="C204" i="45"/>
  <c r="B205" i="45"/>
  <c r="C205" i="45"/>
  <c r="B206" i="45"/>
  <c r="C206" i="45"/>
  <c r="B207" i="45"/>
  <c r="C207" i="45"/>
  <c r="B208" i="45"/>
  <c r="C208" i="45"/>
  <c r="B209" i="45"/>
  <c r="C209" i="45"/>
  <c r="B210" i="45"/>
  <c r="C210" i="45"/>
  <c r="B211" i="45"/>
  <c r="C211" i="45"/>
  <c r="B212" i="45"/>
  <c r="C212" i="45"/>
  <c r="B213" i="45"/>
  <c r="C213" i="45"/>
  <c r="B214" i="45"/>
  <c r="C214" i="45"/>
  <c r="B215" i="45"/>
  <c r="C215" i="45"/>
  <c r="B216" i="45"/>
  <c r="C216" i="45"/>
  <c r="B217" i="45"/>
  <c r="C217" i="45"/>
  <c r="B218" i="45"/>
  <c r="B219" i="45"/>
  <c r="B220" i="45"/>
  <c r="C220" i="45"/>
  <c r="B221" i="45"/>
  <c r="C221" i="45"/>
  <c r="B222" i="45"/>
  <c r="C222" i="45"/>
  <c r="B223" i="45"/>
  <c r="C223" i="45"/>
  <c r="B224" i="45"/>
  <c r="C224" i="45"/>
  <c r="B225" i="45"/>
  <c r="C225" i="45"/>
  <c r="B226" i="45"/>
  <c r="C226" i="45"/>
  <c r="B227" i="45"/>
  <c r="C227" i="45"/>
  <c r="B228" i="45"/>
  <c r="C228" i="45"/>
  <c r="B229" i="45"/>
  <c r="C229" i="45"/>
  <c r="B230" i="45"/>
  <c r="C230" i="45"/>
  <c r="B231" i="45"/>
  <c r="C231" i="45"/>
  <c r="B232" i="45"/>
  <c r="C232" i="45"/>
  <c r="B233" i="45"/>
  <c r="C233" i="45"/>
  <c r="B234" i="45"/>
  <c r="C234" i="45"/>
  <c r="B235" i="45"/>
  <c r="C235" i="45"/>
  <c r="B236" i="45"/>
  <c r="C236" i="45"/>
  <c r="B237" i="45"/>
  <c r="C237" i="45"/>
  <c r="B238" i="45"/>
  <c r="C238" i="45"/>
  <c r="B239" i="45"/>
  <c r="C239" i="45"/>
  <c r="B240" i="45"/>
  <c r="C240" i="45"/>
  <c r="B241" i="45"/>
  <c r="C241" i="45"/>
  <c r="B242" i="45"/>
  <c r="C242" i="45"/>
  <c r="B243" i="45"/>
  <c r="C243" i="45"/>
  <c r="B244" i="45"/>
  <c r="C244" i="45"/>
  <c r="B245" i="45"/>
  <c r="C245" i="45"/>
  <c r="B246" i="45"/>
  <c r="C246" i="45"/>
  <c r="B247" i="45"/>
  <c r="C247" i="45"/>
  <c r="B248" i="45"/>
  <c r="C248" i="45"/>
  <c r="B249" i="45"/>
  <c r="C249" i="45"/>
  <c r="B250" i="45"/>
  <c r="B251" i="45"/>
  <c r="B252" i="45"/>
  <c r="C252" i="45"/>
  <c r="B253" i="45"/>
  <c r="C253" i="45"/>
  <c r="B254" i="45"/>
  <c r="C254" i="45"/>
  <c r="B255" i="45"/>
  <c r="C255" i="45"/>
  <c r="B256" i="45"/>
  <c r="C256" i="45"/>
  <c r="B257" i="45"/>
  <c r="C257" i="45"/>
  <c r="B258" i="45"/>
  <c r="C258" i="45"/>
  <c r="B259" i="45"/>
  <c r="C259" i="45"/>
  <c r="B260" i="45"/>
  <c r="C260" i="45"/>
  <c r="B261" i="45"/>
  <c r="C261" i="45"/>
  <c r="B262" i="45"/>
  <c r="C262" i="45"/>
  <c r="B263" i="45"/>
  <c r="C263" i="45"/>
  <c r="B264" i="45"/>
  <c r="C264" i="45"/>
  <c r="B265" i="45"/>
  <c r="C265" i="45"/>
  <c r="B266" i="45"/>
  <c r="C266" i="45"/>
  <c r="B267" i="45"/>
  <c r="C267" i="45"/>
  <c r="B268" i="45"/>
  <c r="C268" i="45"/>
  <c r="B269" i="45"/>
  <c r="C269" i="45"/>
  <c r="B270" i="45"/>
  <c r="C270" i="45"/>
  <c r="B271" i="45"/>
  <c r="C271" i="45"/>
  <c r="B272" i="45"/>
  <c r="C272" i="45"/>
  <c r="B273" i="45"/>
  <c r="C273" i="45"/>
  <c r="B274" i="45"/>
  <c r="C274" i="45"/>
  <c r="B275" i="45"/>
  <c r="C275" i="45"/>
  <c r="B276" i="45"/>
  <c r="C276" i="45"/>
  <c r="B277" i="45"/>
  <c r="C277" i="45"/>
  <c r="B278" i="45"/>
  <c r="C278" i="45"/>
  <c r="B279" i="45"/>
  <c r="C279" i="45"/>
  <c r="B280" i="45"/>
  <c r="C280" i="45"/>
  <c r="B281" i="45"/>
  <c r="C281" i="45"/>
  <c r="B282" i="45"/>
  <c r="B283" i="45"/>
  <c r="B284" i="45"/>
  <c r="C284" i="45"/>
  <c r="B285" i="45"/>
  <c r="C285" i="45"/>
  <c r="B286" i="45"/>
  <c r="C286" i="45"/>
  <c r="B287" i="45"/>
  <c r="C287" i="45"/>
  <c r="B288" i="45"/>
  <c r="C288" i="45"/>
  <c r="B289" i="45"/>
  <c r="C289" i="45"/>
  <c r="B290" i="45"/>
  <c r="C290" i="45"/>
  <c r="B291" i="45"/>
  <c r="C291" i="45"/>
  <c r="B292" i="45"/>
  <c r="C292" i="45"/>
  <c r="B293" i="45"/>
  <c r="C293" i="45"/>
  <c r="B294" i="45"/>
  <c r="C294" i="45"/>
  <c r="B295" i="45"/>
  <c r="C295" i="45"/>
  <c r="B296" i="45"/>
  <c r="C296" i="45"/>
  <c r="B297" i="45"/>
  <c r="C297" i="45"/>
  <c r="B298" i="45"/>
  <c r="C298" i="45"/>
  <c r="B299" i="45"/>
  <c r="C299" i="45"/>
  <c r="B300" i="45"/>
  <c r="C300" i="45"/>
  <c r="B301" i="45"/>
  <c r="C301" i="45"/>
  <c r="B302" i="45"/>
  <c r="C302" i="45"/>
  <c r="B303" i="45"/>
  <c r="C303" i="45"/>
  <c r="B304" i="45"/>
  <c r="C304" i="45"/>
  <c r="B305" i="45"/>
  <c r="C305" i="45"/>
  <c r="B306" i="45"/>
  <c r="C306" i="45"/>
  <c r="B307" i="45"/>
  <c r="C307" i="45"/>
  <c r="B308" i="45"/>
  <c r="C308" i="45"/>
  <c r="B309" i="45"/>
  <c r="C309" i="45"/>
  <c r="B310" i="45"/>
  <c r="C310" i="45"/>
  <c r="B311" i="45"/>
  <c r="C311" i="45"/>
  <c r="B312" i="45"/>
  <c r="C312" i="45"/>
  <c r="B313" i="45"/>
  <c r="C313" i="45"/>
  <c r="B314" i="45"/>
  <c r="B315" i="45"/>
  <c r="B316" i="45"/>
  <c r="C316" i="45"/>
  <c r="B317" i="45"/>
  <c r="C317" i="45"/>
  <c r="B318" i="45"/>
  <c r="C318" i="45"/>
  <c r="B319" i="45"/>
  <c r="C319" i="45"/>
  <c r="B320" i="45"/>
  <c r="C320" i="45"/>
  <c r="B321" i="45"/>
  <c r="C321" i="45"/>
  <c r="B322" i="45"/>
  <c r="C322" i="45"/>
  <c r="B323" i="45"/>
  <c r="C323" i="45"/>
  <c r="B324" i="45"/>
  <c r="C324" i="45"/>
  <c r="B325" i="45"/>
  <c r="C325" i="45"/>
  <c r="B326" i="45"/>
  <c r="C326" i="45"/>
  <c r="B327" i="45"/>
  <c r="C327" i="45"/>
  <c r="B328" i="45"/>
  <c r="C328" i="45"/>
  <c r="B329" i="45"/>
  <c r="C329" i="45"/>
  <c r="B330" i="45"/>
  <c r="C330" i="45"/>
  <c r="B331" i="45"/>
  <c r="C331" i="45"/>
  <c r="B332" i="45"/>
  <c r="C332" i="45"/>
  <c r="B333" i="45"/>
  <c r="C333" i="45"/>
  <c r="B334" i="45"/>
  <c r="C334" i="45"/>
  <c r="B335" i="45"/>
  <c r="C335" i="45"/>
  <c r="B336" i="45"/>
  <c r="C336" i="45"/>
  <c r="B337" i="45"/>
  <c r="C337" i="45"/>
  <c r="B338" i="45"/>
  <c r="C338" i="45"/>
  <c r="B339" i="45"/>
  <c r="C339" i="45"/>
  <c r="B340" i="45"/>
  <c r="C340" i="45"/>
  <c r="B341" i="45"/>
  <c r="C341" i="45"/>
  <c r="B342" i="45"/>
  <c r="C342" i="45"/>
  <c r="B343" i="45"/>
  <c r="C343" i="45"/>
  <c r="B344" i="45"/>
  <c r="C344" i="45"/>
  <c r="B345" i="45"/>
  <c r="C345" i="45"/>
  <c r="B346" i="45"/>
  <c r="B347" i="45"/>
  <c r="B348" i="45"/>
  <c r="C348" i="45"/>
  <c r="B349" i="45"/>
  <c r="C349" i="45"/>
  <c r="B350" i="45"/>
  <c r="C350" i="45"/>
  <c r="B351" i="45"/>
  <c r="C351" i="45"/>
  <c r="B352" i="45"/>
  <c r="C352" i="45"/>
  <c r="B353" i="45"/>
  <c r="C353" i="45"/>
  <c r="B354" i="45"/>
  <c r="C354" i="45"/>
  <c r="B355" i="45"/>
  <c r="C355" i="45"/>
  <c r="B356" i="45"/>
  <c r="C356" i="45"/>
  <c r="B357" i="45"/>
  <c r="C357" i="45"/>
  <c r="B358" i="45"/>
  <c r="C358" i="45"/>
  <c r="B359" i="45"/>
  <c r="C359" i="45"/>
  <c r="B360" i="45"/>
  <c r="C360" i="45"/>
  <c r="B361" i="45"/>
  <c r="C361" i="45"/>
  <c r="B362" i="45"/>
  <c r="C362" i="45"/>
  <c r="B363" i="45"/>
  <c r="C363" i="45"/>
  <c r="B364" i="45"/>
  <c r="C364" i="45"/>
  <c r="B365" i="45"/>
  <c r="C365" i="45"/>
  <c r="B366" i="45"/>
  <c r="C366" i="45"/>
  <c r="B367" i="45"/>
  <c r="C367" i="45"/>
  <c r="B368" i="45"/>
  <c r="C368" i="45"/>
  <c r="B369" i="45"/>
  <c r="C369" i="45"/>
  <c r="B370" i="45"/>
  <c r="C370" i="45"/>
  <c r="B371" i="45"/>
  <c r="C371" i="45"/>
  <c r="B372" i="45"/>
  <c r="C372" i="45"/>
  <c r="B373" i="45"/>
  <c r="C373" i="45"/>
  <c r="B374" i="45"/>
  <c r="C374" i="45"/>
  <c r="B375" i="45"/>
  <c r="C375" i="45"/>
  <c r="B376" i="45"/>
  <c r="C376" i="45"/>
  <c r="B377" i="45"/>
  <c r="C377" i="45"/>
  <c r="B378" i="45"/>
  <c r="B379" i="45"/>
  <c r="B380" i="45"/>
  <c r="C380" i="45"/>
  <c r="B381" i="45"/>
  <c r="C381" i="45"/>
  <c r="B382" i="45"/>
  <c r="C382" i="45"/>
  <c r="B383" i="45"/>
  <c r="C383" i="45"/>
  <c r="B384" i="45"/>
  <c r="C384" i="45"/>
  <c r="B385" i="45"/>
  <c r="C385" i="45"/>
  <c r="B386" i="45"/>
  <c r="C386" i="45"/>
  <c r="B387" i="45"/>
  <c r="C387" i="45"/>
  <c r="B388" i="45"/>
  <c r="C388" i="45"/>
  <c r="B389" i="45"/>
  <c r="C389" i="45"/>
  <c r="B390" i="45"/>
  <c r="C390" i="45"/>
  <c r="B391" i="45"/>
  <c r="C391" i="45"/>
  <c r="B392" i="45"/>
  <c r="C392" i="45"/>
  <c r="B393" i="45"/>
  <c r="C393" i="45"/>
  <c r="B394" i="45"/>
  <c r="C394" i="45"/>
  <c r="B395" i="45"/>
  <c r="C395" i="45"/>
  <c r="B396" i="45"/>
  <c r="C396" i="45"/>
  <c r="B397" i="45"/>
  <c r="C397" i="45"/>
  <c r="B398" i="45"/>
  <c r="C398" i="45"/>
  <c r="B399" i="45"/>
  <c r="C399" i="45"/>
  <c r="B400" i="45"/>
  <c r="C400" i="45"/>
  <c r="B401" i="45"/>
  <c r="C401" i="45"/>
  <c r="B402" i="45"/>
  <c r="C402" i="45"/>
  <c r="B403" i="45"/>
  <c r="C403" i="45"/>
  <c r="B404" i="45"/>
  <c r="C404" i="45"/>
  <c r="B405" i="45"/>
  <c r="C405" i="45"/>
  <c r="B406" i="45"/>
  <c r="C406" i="45"/>
  <c r="B407" i="45"/>
  <c r="C407" i="45"/>
  <c r="B408" i="45"/>
  <c r="C408" i="45"/>
  <c r="B409" i="45"/>
  <c r="C409" i="45"/>
  <c r="B410" i="45"/>
  <c r="B411" i="45"/>
  <c r="B412" i="45"/>
  <c r="C412" i="45"/>
  <c r="B413" i="45"/>
  <c r="C413" i="45"/>
  <c r="B414" i="45"/>
  <c r="C414" i="45"/>
  <c r="B415" i="45"/>
  <c r="C415" i="45"/>
  <c r="B416" i="45"/>
  <c r="C416" i="45"/>
  <c r="B417" i="45"/>
  <c r="C417" i="45"/>
  <c r="B418" i="45"/>
  <c r="C418" i="45"/>
  <c r="B419" i="45"/>
  <c r="C419" i="45"/>
  <c r="B420" i="45"/>
  <c r="C420" i="45"/>
  <c r="B421" i="45"/>
  <c r="C421" i="45"/>
  <c r="B422" i="45"/>
  <c r="C422" i="45"/>
  <c r="B423" i="45"/>
  <c r="C423" i="45"/>
  <c r="B424" i="45"/>
  <c r="C424" i="45"/>
  <c r="B425" i="45"/>
  <c r="C425" i="45"/>
  <c r="B426" i="45"/>
  <c r="C426" i="45"/>
  <c r="B427" i="45"/>
  <c r="C427" i="45"/>
  <c r="B428" i="45"/>
  <c r="C428" i="45"/>
  <c r="B429" i="45"/>
  <c r="C429" i="45"/>
  <c r="B430" i="45"/>
  <c r="C430" i="45"/>
  <c r="B431" i="45"/>
  <c r="C431" i="45"/>
  <c r="B432" i="45"/>
  <c r="C432" i="45"/>
  <c r="B433" i="45"/>
  <c r="C433" i="45"/>
  <c r="B434" i="45"/>
  <c r="C434" i="45"/>
  <c r="B435" i="45"/>
  <c r="C435" i="45"/>
  <c r="B436" i="45"/>
  <c r="C436" i="45"/>
  <c r="B437" i="45"/>
  <c r="C437" i="45"/>
  <c r="B438" i="45"/>
  <c r="C438" i="45"/>
  <c r="B439" i="45"/>
  <c r="C439" i="45"/>
  <c r="B440" i="45"/>
  <c r="C440" i="45"/>
  <c r="B441" i="45"/>
  <c r="C441" i="45"/>
  <c r="B442" i="45"/>
  <c r="B443" i="45"/>
  <c r="C75" i="45"/>
  <c r="C76" i="45"/>
  <c r="C77" i="45"/>
  <c r="C78" i="45"/>
  <c r="C79" i="45"/>
  <c r="C80" i="45"/>
  <c r="C81" i="45"/>
  <c r="C82" i="45"/>
  <c r="C83" i="45"/>
  <c r="C84" i="45"/>
  <c r="C85" i="45"/>
  <c r="C86" i="45"/>
  <c r="C87" i="45"/>
  <c r="B75" i="45"/>
  <c r="B76" i="45"/>
  <c r="B77" i="45"/>
  <c r="B78" i="45"/>
  <c r="B79" i="45"/>
  <c r="B80" i="45"/>
  <c r="B81" i="45"/>
  <c r="B82" i="45"/>
  <c r="B83" i="45"/>
  <c r="B84" i="45"/>
  <c r="B85" i="45"/>
  <c r="B86" i="45"/>
  <c r="B87" i="45"/>
  <c r="C156" i="45"/>
  <c r="B156" i="45"/>
  <c r="B155" i="45"/>
  <c r="B154" i="45"/>
  <c r="C153" i="45"/>
  <c r="B153" i="45"/>
  <c r="C152" i="45"/>
  <c r="B152" i="45"/>
  <c r="C151" i="45"/>
  <c r="B151" i="45"/>
  <c r="C150" i="45"/>
  <c r="B150" i="45"/>
  <c r="C149" i="45"/>
  <c r="B149" i="45"/>
  <c r="C148" i="45"/>
  <c r="B148" i="45"/>
  <c r="C147" i="45"/>
  <c r="B147" i="45"/>
  <c r="C146" i="45"/>
  <c r="B146" i="45"/>
  <c r="C145" i="45"/>
  <c r="B145" i="45"/>
  <c r="C144" i="45"/>
  <c r="B144" i="45"/>
  <c r="C143" i="45"/>
  <c r="B143" i="45"/>
  <c r="C142" i="45"/>
  <c r="B142" i="45"/>
  <c r="C141" i="45"/>
  <c r="B141" i="45"/>
  <c r="C140" i="45"/>
  <c r="B140" i="45"/>
  <c r="C139" i="45"/>
  <c r="B139" i="45"/>
  <c r="C138" i="45"/>
  <c r="B138" i="45"/>
  <c r="C137" i="45"/>
  <c r="B137" i="45"/>
  <c r="C136" i="45"/>
  <c r="B136" i="45"/>
  <c r="C135" i="45"/>
  <c r="B135" i="45"/>
  <c r="C134" i="45"/>
  <c r="B134" i="45"/>
  <c r="C133" i="45"/>
  <c r="B133" i="45"/>
  <c r="C132" i="45"/>
  <c r="B132" i="45"/>
  <c r="C131" i="45"/>
  <c r="B131" i="45"/>
  <c r="C130" i="45"/>
  <c r="B130" i="45"/>
  <c r="C129" i="45"/>
  <c r="B129" i="45"/>
  <c r="C128" i="45"/>
  <c r="B128" i="45"/>
  <c r="C127" i="45"/>
  <c r="B127" i="45"/>
  <c r="C126" i="45"/>
  <c r="B126" i="45"/>
  <c r="C125" i="45"/>
  <c r="B125" i="45"/>
  <c r="C124" i="45"/>
  <c r="B124" i="45"/>
  <c r="B121" i="45"/>
  <c r="B120" i="45"/>
  <c r="B119" i="45"/>
  <c r="B543" i="45"/>
  <c r="B542" i="45"/>
  <c r="B541" i="45"/>
  <c r="B540" i="45"/>
  <c r="B539" i="45"/>
  <c r="B538" i="45"/>
  <c r="B537" i="45"/>
  <c r="B536" i="45"/>
  <c r="B535" i="45"/>
  <c r="B534" i="45"/>
  <c r="B533" i="45"/>
  <c r="B532" i="45"/>
  <c r="B531" i="45"/>
  <c r="B530" i="45"/>
  <c r="B529" i="45"/>
  <c r="B528" i="45"/>
  <c r="B527" i="45"/>
  <c r="B526" i="45"/>
  <c r="B525" i="45"/>
  <c r="B524" i="45"/>
  <c r="B523" i="45"/>
  <c r="B522" i="45"/>
  <c r="B521" i="45"/>
  <c r="B520" i="45"/>
  <c r="B519" i="45"/>
  <c r="B518" i="45"/>
  <c r="B517" i="45"/>
  <c r="B516" i="45"/>
  <c r="B515" i="45"/>
  <c r="B514" i="45"/>
  <c r="B513" i="45"/>
  <c r="B512" i="45"/>
  <c r="B511" i="45"/>
  <c r="B510" i="45"/>
  <c r="B509" i="45"/>
  <c r="B508" i="45"/>
  <c r="B507" i="45"/>
  <c r="B506" i="45"/>
  <c r="B505" i="45"/>
  <c r="B504" i="45"/>
  <c r="B503" i="45"/>
  <c r="B502" i="45"/>
  <c r="B501" i="45"/>
  <c r="B500" i="45"/>
  <c r="B499" i="45"/>
  <c r="B498" i="45"/>
  <c r="B497" i="45"/>
  <c r="B496" i="45"/>
  <c r="B495" i="45"/>
  <c r="B494" i="45"/>
  <c r="B493" i="45"/>
  <c r="B492" i="45"/>
  <c r="B491" i="45"/>
  <c r="B490" i="45"/>
  <c r="B489" i="45"/>
  <c r="B488" i="45"/>
  <c r="B487" i="45"/>
  <c r="B486" i="45"/>
  <c r="B485" i="45"/>
  <c r="B484" i="45"/>
  <c r="B483" i="45"/>
  <c r="B482" i="45"/>
  <c r="B481" i="45"/>
  <c r="B480" i="45"/>
  <c r="B479" i="45"/>
  <c r="B478" i="45"/>
  <c r="B477" i="45"/>
  <c r="B476" i="45"/>
  <c r="B475" i="45"/>
  <c r="B474" i="45"/>
  <c r="B473" i="45"/>
  <c r="B472" i="45"/>
  <c r="B471" i="45"/>
  <c r="B470" i="45"/>
  <c r="B469" i="45"/>
  <c r="B468" i="45"/>
  <c r="B467" i="45"/>
  <c r="B466" i="45"/>
  <c r="B465" i="45"/>
  <c r="B464" i="45"/>
  <c r="B463" i="45"/>
  <c r="B462" i="45"/>
  <c r="B461" i="45"/>
  <c r="B460" i="45"/>
  <c r="B459" i="45"/>
  <c r="B458" i="45"/>
  <c r="B457" i="45"/>
  <c r="B456" i="45"/>
  <c r="B455" i="45"/>
  <c r="B454" i="45"/>
  <c r="B453" i="45"/>
  <c r="B452" i="45"/>
  <c r="B451" i="45"/>
  <c r="B450" i="45"/>
  <c r="B449" i="45"/>
  <c r="B448" i="45"/>
  <c r="B447" i="45"/>
  <c r="C118" i="45"/>
  <c r="B118" i="45"/>
  <c r="C117" i="45"/>
  <c r="B117" i="45"/>
  <c r="C116" i="45"/>
  <c r="B116" i="45"/>
  <c r="C115" i="45"/>
  <c r="B115" i="45"/>
  <c r="C114" i="45"/>
  <c r="B114" i="45"/>
  <c r="C113" i="45"/>
  <c r="B113" i="45"/>
  <c r="C112" i="45"/>
  <c r="B112" i="45"/>
  <c r="C111" i="45"/>
  <c r="B111" i="45"/>
  <c r="C110" i="45"/>
  <c r="B110" i="45"/>
  <c r="C109" i="45"/>
  <c r="B109" i="45"/>
  <c r="C108" i="45"/>
  <c r="B108" i="45"/>
  <c r="C107" i="45"/>
  <c r="B107" i="45"/>
  <c r="C106" i="45"/>
  <c r="B106" i="45"/>
  <c r="C105" i="45"/>
  <c r="B105" i="45"/>
  <c r="C104" i="45"/>
  <c r="B104" i="45"/>
  <c r="C103" i="45"/>
  <c r="B103" i="45"/>
  <c r="C102" i="45"/>
  <c r="B102" i="45"/>
  <c r="C101" i="45"/>
  <c r="B101" i="45"/>
  <c r="C100" i="45"/>
  <c r="B100" i="45"/>
  <c r="C99" i="45"/>
  <c r="B99" i="45"/>
  <c r="C98" i="45"/>
  <c r="B98" i="45"/>
  <c r="C97" i="45"/>
  <c r="B97" i="45"/>
  <c r="C96" i="45"/>
  <c r="B96" i="45"/>
  <c r="C95" i="45"/>
  <c r="B95" i="45"/>
  <c r="C94" i="45"/>
  <c r="B94" i="45"/>
  <c r="C93" i="45"/>
  <c r="B93" i="45"/>
  <c r="C92" i="45"/>
  <c r="B92" i="45"/>
  <c r="C91" i="45"/>
  <c r="B91" i="45"/>
  <c r="C90" i="45"/>
  <c r="B90" i="45"/>
  <c r="C89" i="45"/>
  <c r="B89" i="45"/>
  <c r="C61" i="45"/>
  <c r="B61" i="45"/>
  <c r="C59" i="45"/>
  <c r="B59" i="45"/>
  <c r="C58" i="45"/>
  <c r="B58" i="45"/>
  <c r="C57" i="45"/>
  <c r="B57" i="45"/>
  <c r="C56" i="45"/>
  <c r="B56" i="45"/>
  <c r="C55" i="45"/>
  <c r="B55" i="45"/>
  <c r="C54" i="45"/>
  <c r="B54" i="45"/>
  <c r="C53" i="45"/>
  <c r="B53" i="45"/>
  <c r="C52" i="45"/>
  <c r="B52" i="45"/>
  <c r="C51" i="45"/>
  <c r="B51" i="45"/>
  <c r="C50" i="45"/>
  <c r="B50" i="45"/>
  <c r="C49" i="45"/>
  <c r="B49" i="45"/>
  <c r="C48" i="45"/>
  <c r="B48" i="45"/>
  <c r="B45" i="45"/>
  <c r="B44" i="45"/>
  <c r="B43" i="45"/>
  <c r="B42" i="45"/>
  <c r="B41" i="45"/>
  <c r="B40" i="45"/>
  <c r="B39" i="45"/>
  <c r="B38" i="45"/>
  <c r="B37" i="45"/>
  <c r="B36" i="45"/>
  <c r="B35" i="45"/>
  <c r="B34" i="45"/>
  <c r="B33" i="45"/>
  <c r="B32" i="45"/>
  <c r="B31" i="45"/>
  <c r="B28" i="45"/>
  <c r="B27" i="45"/>
  <c r="B26" i="45"/>
  <c r="B25" i="45"/>
  <c r="B24" i="45"/>
  <c r="B23" i="45"/>
  <c r="B22" i="45"/>
  <c r="B21" i="45"/>
  <c r="B20" i="45"/>
  <c r="B19" i="45"/>
  <c r="B18" i="45"/>
  <c r="B17" i="45"/>
  <c r="B15" i="45"/>
  <c r="B14" i="45"/>
  <c r="B13" i="45"/>
  <c r="B12" i="45"/>
  <c r="B11" i="45"/>
  <c r="B10" i="45"/>
  <c r="B9" i="45"/>
  <c r="B8" i="45"/>
  <c r="B7" i="45"/>
  <c r="B6" i="45"/>
  <c r="B4" i="45"/>
  <c r="B3" i="45"/>
  <c r="B17" i="25"/>
  <c r="B237" i="10"/>
  <c r="B238" i="10"/>
  <c r="B239" i="10"/>
  <c r="B240" i="10"/>
  <c r="B241" i="10"/>
  <c r="B242" i="10"/>
  <c r="B243" i="10"/>
  <c r="B244" i="10"/>
  <c r="B245" i="10"/>
  <c r="B246" i="10"/>
  <c r="B247" i="10"/>
  <c r="B248" i="10"/>
  <c r="B251" i="10"/>
  <c r="B252" i="10"/>
  <c r="B253" i="10"/>
  <c r="B254" i="10"/>
  <c r="B255" i="10"/>
  <c r="D152" i="44"/>
  <c r="D153" i="44" s="1"/>
  <c r="D154" i="44" s="1"/>
  <c r="B152" i="44"/>
  <c r="E151" i="44"/>
  <c r="C151" i="44"/>
  <c r="B151" i="44"/>
  <c r="D110" i="44"/>
  <c r="E110" i="44" s="1"/>
  <c r="C110" i="44" s="1"/>
  <c r="E109" i="44"/>
  <c r="C109" i="44"/>
  <c r="B109" i="44"/>
  <c r="D83" i="44"/>
  <c r="D84" i="44" s="1"/>
  <c r="B83" i="44"/>
  <c r="E82" i="44"/>
  <c r="C82" i="44"/>
  <c r="B82" i="44"/>
  <c r="D57" i="44"/>
  <c r="D58" i="44" s="1"/>
  <c r="B57" i="44"/>
  <c r="E56" i="44"/>
  <c r="C56" i="44" s="1"/>
  <c r="B56" i="44"/>
  <c r="E144" i="35" l="1"/>
  <c r="B144" i="35"/>
  <c r="D124" i="46"/>
  <c r="D203" i="46"/>
  <c r="E62" i="45"/>
  <c r="B62" i="45"/>
  <c r="E202" i="46"/>
  <c r="C123" i="46"/>
  <c r="B123" i="46"/>
  <c r="D5" i="46"/>
  <c r="E4" i="46"/>
  <c r="C4" i="46" s="1"/>
  <c r="B110" i="44"/>
  <c r="D63" i="45"/>
  <c r="C62" i="45"/>
  <c r="D111" i="44"/>
  <c r="D112" i="44" s="1"/>
  <c r="E112" i="44" s="1"/>
  <c r="C112" i="44" s="1"/>
  <c r="E152" i="44"/>
  <c r="C152" i="44" s="1"/>
  <c r="E154" i="44"/>
  <c r="C154" i="44" s="1"/>
  <c r="B154" i="44"/>
  <c r="D155" i="44"/>
  <c r="B153" i="44"/>
  <c r="E153" i="44"/>
  <c r="C153" i="44" s="1"/>
  <c r="B111" i="44"/>
  <c r="E83" i="44"/>
  <c r="C83" i="44" s="1"/>
  <c r="D85" i="44"/>
  <c r="E84" i="44"/>
  <c r="C84" i="44" s="1"/>
  <c r="B84" i="44"/>
  <c r="D59" i="44"/>
  <c r="B58" i="44"/>
  <c r="E58" i="44"/>
  <c r="C58" i="44" s="1"/>
  <c r="E57" i="44"/>
  <c r="C57" i="44" s="1"/>
  <c r="D145" i="35" l="1"/>
  <c r="C144" i="35"/>
  <c r="C202" i="46"/>
  <c r="B124" i="46"/>
  <c r="D125" i="46"/>
  <c r="D126" i="46" s="1"/>
  <c r="D6" i="46"/>
  <c r="B5" i="46"/>
  <c r="D65" i="46"/>
  <c r="E65" i="46" s="1"/>
  <c r="E111" i="44"/>
  <c r="C111" i="44" s="1"/>
  <c r="D113" i="44"/>
  <c r="B112" i="44"/>
  <c r="E63" i="45"/>
  <c r="B63" i="45"/>
  <c r="B155" i="44"/>
  <c r="D156" i="44"/>
  <c r="E155" i="44"/>
  <c r="C155" i="44" s="1"/>
  <c r="D114" i="44"/>
  <c r="E113" i="44"/>
  <c r="C113" i="44" s="1"/>
  <c r="B113" i="44"/>
  <c r="D86" i="44"/>
  <c r="B85" i="44"/>
  <c r="E85" i="44"/>
  <c r="C85" i="44" s="1"/>
  <c r="D60" i="44"/>
  <c r="E59" i="44"/>
  <c r="C59" i="44" s="1"/>
  <c r="B59" i="44"/>
  <c r="E145" i="35" l="1"/>
  <c r="B145" i="35"/>
  <c r="D204" i="46"/>
  <c r="D205" i="46" s="1"/>
  <c r="B203" i="46"/>
  <c r="B125" i="46"/>
  <c r="E125" i="46"/>
  <c r="E6" i="46"/>
  <c r="C6" i="46" s="1"/>
  <c r="D7" i="46"/>
  <c r="B6" i="46"/>
  <c r="B65" i="46"/>
  <c r="D66" i="46"/>
  <c r="C65" i="46"/>
  <c r="D64" i="45"/>
  <c r="C63" i="45"/>
  <c r="E156" i="44"/>
  <c r="C156" i="44" s="1"/>
  <c r="D157" i="44"/>
  <c r="B156" i="44"/>
  <c r="B114" i="44"/>
  <c r="D115" i="44"/>
  <c r="E114" i="44"/>
  <c r="C114" i="44" s="1"/>
  <c r="D87" i="44"/>
  <c r="E86" i="44"/>
  <c r="C86" i="44" s="1"/>
  <c r="B86" i="44"/>
  <c r="D61" i="44"/>
  <c r="E60" i="44"/>
  <c r="C60" i="44" s="1"/>
  <c r="B60" i="44"/>
  <c r="D146" i="35" l="1"/>
  <c r="C145" i="35"/>
  <c r="E204" i="46"/>
  <c r="B204" i="46"/>
  <c r="C125" i="46"/>
  <c r="D8" i="46"/>
  <c r="B7" i="46"/>
  <c r="B66" i="46"/>
  <c r="D67" i="46"/>
  <c r="E67" i="46" s="1"/>
  <c r="B64" i="45"/>
  <c r="E64" i="45"/>
  <c r="B157" i="44"/>
  <c r="D158" i="44"/>
  <c r="E157" i="44"/>
  <c r="C157" i="44" s="1"/>
  <c r="D116" i="44"/>
  <c r="E115" i="44"/>
  <c r="C115" i="44" s="1"/>
  <c r="B115" i="44"/>
  <c r="D88" i="44"/>
  <c r="E87" i="44"/>
  <c r="C87" i="44" s="1"/>
  <c r="B87" i="44"/>
  <c r="D62" i="44"/>
  <c r="E61" i="44"/>
  <c r="C61" i="44" s="1"/>
  <c r="B61" i="44"/>
  <c r="E146" i="35" l="1"/>
  <c r="B146" i="35"/>
  <c r="C204" i="46"/>
  <c r="D127" i="46"/>
  <c r="D128" i="46" s="1"/>
  <c r="B126" i="46"/>
  <c r="E8" i="46"/>
  <c r="C8" i="46" s="1"/>
  <c r="B8" i="46"/>
  <c r="D9" i="46"/>
  <c r="B67" i="46"/>
  <c r="D68" i="46"/>
  <c r="C67" i="46"/>
  <c r="D65" i="45"/>
  <c r="C64" i="45"/>
  <c r="D159" i="44"/>
  <c r="E158" i="44"/>
  <c r="C158" i="44" s="1"/>
  <c r="B158" i="44"/>
  <c r="D117" i="44"/>
  <c r="E116" i="44"/>
  <c r="C116" i="44" s="1"/>
  <c r="B116" i="44"/>
  <c r="E88" i="44"/>
  <c r="C88" i="44" s="1"/>
  <c r="B88" i="44"/>
  <c r="D89" i="44"/>
  <c r="E62" i="44"/>
  <c r="C62" i="44" s="1"/>
  <c r="B62" i="44"/>
  <c r="D63" i="44"/>
  <c r="C146" i="35" l="1"/>
  <c r="D147" i="35"/>
  <c r="D206" i="46"/>
  <c r="D207" i="46" s="1"/>
  <c r="B205" i="46"/>
  <c r="E127" i="46"/>
  <c r="B127" i="46"/>
  <c r="B9" i="46"/>
  <c r="D10" i="46"/>
  <c r="B68" i="46"/>
  <c r="D69" i="46"/>
  <c r="E69" i="46" s="1"/>
  <c r="E65" i="45"/>
  <c r="B65" i="45"/>
  <c r="D160" i="44"/>
  <c r="E159" i="44"/>
  <c r="C159" i="44" s="1"/>
  <c r="B159" i="44"/>
  <c r="D118" i="44"/>
  <c r="E117" i="44"/>
  <c r="C117" i="44" s="1"/>
  <c r="B117" i="44"/>
  <c r="B89" i="44"/>
  <c r="D90" i="44"/>
  <c r="E89" i="44"/>
  <c r="C89" i="44" s="1"/>
  <c r="D64" i="44"/>
  <c r="B63" i="44"/>
  <c r="E63" i="44"/>
  <c r="C63" i="44" s="1"/>
  <c r="B147" i="35" l="1"/>
  <c r="E147" i="35"/>
  <c r="E206" i="46"/>
  <c r="B206" i="46"/>
  <c r="C127" i="46"/>
  <c r="D11" i="46"/>
  <c r="E10" i="46"/>
  <c r="C10" i="46" s="1"/>
  <c r="B10" i="46"/>
  <c r="D66" i="45"/>
  <c r="C65" i="45"/>
  <c r="E160" i="44"/>
  <c r="C160" i="44" s="1"/>
  <c r="B160" i="44"/>
  <c r="D161" i="44"/>
  <c r="E118" i="44"/>
  <c r="C118" i="44" s="1"/>
  <c r="B118" i="44"/>
  <c r="D119" i="44"/>
  <c r="E90" i="44"/>
  <c r="C90" i="44" s="1"/>
  <c r="D91" i="44"/>
  <c r="B90" i="44"/>
  <c r="B64" i="44"/>
  <c r="D65" i="44"/>
  <c r="E64" i="44"/>
  <c r="C64" i="44" s="1"/>
  <c r="D148" i="35" l="1"/>
  <c r="C147" i="35"/>
  <c r="C206" i="46"/>
  <c r="D129" i="46"/>
  <c r="D130" i="46" s="1"/>
  <c r="B128" i="46"/>
  <c r="B11" i="46"/>
  <c r="D12" i="46"/>
  <c r="E66" i="45"/>
  <c r="B66" i="45"/>
  <c r="D162" i="44"/>
  <c r="B161" i="44"/>
  <c r="E161" i="44"/>
  <c r="C161" i="44" s="1"/>
  <c r="B119" i="44"/>
  <c r="D120" i="44"/>
  <c r="E119" i="44"/>
  <c r="C119" i="44" s="1"/>
  <c r="E91" i="44"/>
  <c r="C91" i="44" s="1"/>
  <c r="B91" i="44"/>
  <c r="D92" i="44"/>
  <c r="D66" i="44"/>
  <c r="E65" i="44"/>
  <c r="C65" i="44" s="1"/>
  <c r="B65" i="44"/>
  <c r="E148" i="35" l="1"/>
  <c r="B148" i="35"/>
  <c r="B207" i="46"/>
  <c r="D208" i="46"/>
  <c r="D209" i="46" s="1"/>
  <c r="E129" i="46"/>
  <c r="B129" i="46"/>
  <c r="B12" i="46"/>
  <c r="D13" i="46"/>
  <c r="E12" i="46"/>
  <c r="C12" i="46" s="1"/>
  <c r="D67" i="45"/>
  <c r="C66" i="45"/>
  <c r="D163" i="44"/>
  <c r="B162" i="44"/>
  <c r="E162" i="44"/>
  <c r="C162" i="44" s="1"/>
  <c r="E120" i="44"/>
  <c r="C120" i="44" s="1"/>
  <c r="D121" i="44"/>
  <c r="B120" i="44"/>
  <c r="B92" i="44"/>
  <c r="E92" i="44"/>
  <c r="C92" i="44" s="1"/>
  <c r="D93" i="44"/>
  <c r="D67" i="44"/>
  <c r="E66" i="44"/>
  <c r="C66" i="44" s="1"/>
  <c r="B66" i="44"/>
  <c r="D149" i="35" l="1"/>
  <c r="C148" i="35"/>
  <c r="E208" i="46"/>
  <c r="B208" i="46"/>
  <c r="C129" i="46"/>
  <c r="D14" i="46"/>
  <c r="B13" i="46"/>
  <c r="E67" i="45"/>
  <c r="B67" i="45"/>
  <c r="B163" i="44"/>
  <c r="D164" i="44"/>
  <c r="E163" i="44"/>
  <c r="C163" i="44" s="1"/>
  <c r="B121" i="44"/>
  <c r="D122" i="44"/>
  <c r="E121" i="44"/>
  <c r="C121" i="44" s="1"/>
  <c r="D94" i="44"/>
  <c r="B93" i="44"/>
  <c r="E93" i="44"/>
  <c r="C93" i="44" s="1"/>
  <c r="D68" i="44"/>
  <c r="E67" i="44"/>
  <c r="C67" i="44" s="1"/>
  <c r="B67" i="44"/>
  <c r="E149" i="35" l="1"/>
  <c r="B149" i="35"/>
  <c r="C208" i="46"/>
  <c r="B130" i="46"/>
  <c r="D131" i="46"/>
  <c r="D132" i="46" s="1"/>
  <c r="E14" i="46"/>
  <c r="C14" i="46" s="1"/>
  <c r="D15" i="46"/>
  <c r="B14" i="46"/>
  <c r="D68" i="45"/>
  <c r="C67" i="45"/>
  <c r="D165" i="44"/>
  <c r="E164" i="44"/>
  <c r="C164" i="44" s="1"/>
  <c r="B164" i="44"/>
  <c r="D123" i="44"/>
  <c r="E122" i="44"/>
  <c r="C122" i="44" s="1"/>
  <c r="B122" i="44"/>
  <c r="E94" i="44"/>
  <c r="C94" i="44" s="1"/>
  <c r="B94" i="44"/>
  <c r="D95" i="44"/>
  <c r="E68" i="44"/>
  <c r="C68" i="44" s="1"/>
  <c r="B68" i="44"/>
  <c r="D69" i="44"/>
  <c r="D150" i="35" l="1"/>
  <c r="C149" i="35"/>
  <c r="D210" i="46"/>
  <c r="D211" i="46" s="1"/>
  <c r="B209" i="46"/>
  <c r="E131" i="46"/>
  <c r="B131" i="46"/>
  <c r="D16" i="46"/>
  <c r="B15" i="46"/>
  <c r="E68" i="45"/>
  <c r="B68" i="45"/>
  <c r="D166" i="44"/>
  <c r="E165" i="44"/>
  <c r="C165" i="44" s="1"/>
  <c r="B165" i="44"/>
  <c r="D124" i="44"/>
  <c r="E123" i="44"/>
  <c r="C123" i="44" s="1"/>
  <c r="B123" i="44"/>
  <c r="E95" i="44"/>
  <c r="C95" i="44" s="1"/>
  <c r="D96" i="44"/>
  <c r="B95" i="44"/>
  <c r="B69" i="44"/>
  <c r="D70" i="44"/>
  <c r="E69" i="44"/>
  <c r="C69" i="44" s="1"/>
  <c r="E150" i="35" l="1"/>
  <c r="B150" i="35"/>
  <c r="E210" i="46"/>
  <c r="B210" i="46"/>
  <c r="C131" i="46"/>
  <c r="D17" i="46"/>
  <c r="E16" i="46"/>
  <c r="C16" i="46" s="1"/>
  <c r="B16" i="46"/>
  <c r="D69" i="45"/>
  <c r="C68" i="45"/>
  <c r="E166" i="44"/>
  <c r="C166" i="44" s="1"/>
  <c r="B166" i="44"/>
  <c r="D167" i="44"/>
  <c r="E124" i="44"/>
  <c r="C124" i="44" s="1"/>
  <c r="B124" i="44"/>
  <c r="D125" i="44"/>
  <c r="D97" i="44"/>
  <c r="B96" i="44"/>
  <c r="E96" i="44"/>
  <c r="C96" i="44" s="1"/>
  <c r="D71" i="44"/>
  <c r="B70" i="44"/>
  <c r="E70" i="44"/>
  <c r="C70" i="44" s="1"/>
  <c r="D151" i="35" l="1"/>
  <c r="C150" i="35"/>
  <c r="C210" i="46"/>
  <c r="D133" i="46"/>
  <c r="D134" i="46" s="1"/>
  <c r="B132" i="46"/>
  <c r="B17" i="46"/>
  <c r="D18" i="46"/>
  <c r="B69" i="45"/>
  <c r="E69" i="45"/>
  <c r="E167" i="44"/>
  <c r="C167" i="44" s="1"/>
  <c r="D168" i="44"/>
  <c r="B167" i="44"/>
  <c r="B125" i="44"/>
  <c r="D126" i="44"/>
  <c r="E125" i="44"/>
  <c r="C125" i="44" s="1"/>
  <c r="D98" i="44"/>
  <c r="E97" i="44"/>
  <c r="C97" i="44" s="1"/>
  <c r="B97" i="44"/>
  <c r="D72" i="44"/>
  <c r="E71" i="44"/>
  <c r="C71" i="44" s="1"/>
  <c r="B71" i="44"/>
  <c r="E151" i="35" l="1"/>
  <c r="B151" i="35"/>
  <c r="D212" i="46"/>
  <c r="D213" i="46" s="1"/>
  <c r="B211" i="46"/>
  <c r="E133" i="46"/>
  <c r="B133" i="46"/>
  <c r="E18" i="46"/>
  <c r="C18" i="46" s="1"/>
  <c r="D19" i="46"/>
  <c r="B18" i="46"/>
  <c r="C69" i="45"/>
  <c r="D70" i="45"/>
  <c r="B168" i="44"/>
  <c r="D169" i="44"/>
  <c r="E168" i="44"/>
  <c r="C168" i="44" s="1"/>
  <c r="B126" i="44"/>
  <c r="E126" i="44"/>
  <c r="C126" i="44" s="1"/>
  <c r="D127" i="44"/>
  <c r="D99" i="44"/>
  <c r="E98" i="44"/>
  <c r="C98" i="44" s="1"/>
  <c r="B98" i="44"/>
  <c r="D73" i="44"/>
  <c r="E72" i="44"/>
  <c r="C72" i="44" s="1"/>
  <c r="B72" i="44"/>
  <c r="C151" i="35" l="1"/>
  <c r="D152" i="35"/>
  <c r="E212" i="46"/>
  <c r="B212" i="46"/>
  <c r="C133" i="46"/>
  <c r="D20" i="46"/>
  <c r="E20" i="46" s="1"/>
  <c r="B19" i="46"/>
  <c r="B70" i="45"/>
  <c r="E70" i="45"/>
  <c r="D170" i="44"/>
  <c r="B169" i="44"/>
  <c r="E169" i="44"/>
  <c r="C169" i="44" s="1"/>
  <c r="E127" i="44"/>
  <c r="C127" i="44" s="1"/>
  <c r="D128" i="44"/>
  <c r="B127" i="44"/>
  <c r="D100" i="44"/>
  <c r="E99" i="44"/>
  <c r="C99" i="44" s="1"/>
  <c r="B99" i="44"/>
  <c r="D74" i="44"/>
  <c r="E73" i="44"/>
  <c r="C73" i="44" s="1"/>
  <c r="B73" i="44"/>
  <c r="E152" i="35" l="1"/>
  <c r="B152" i="35"/>
  <c r="C212" i="46"/>
  <c r="D135" i="46"/>
  <c r="D136" i="46" s="1"/>
  <c r="B134" i="46"/>
  <c r="D71" i="45"/>
  <c r="C70" i="45"/>
  <c r="D171" i="44"/>
  <c r="E170" i="44"/>
  <c r="C170" i="44" s="1"/>
  <c r="B170" i="44"/>
  <c r="D129" i="44"/>
  <c r="E128" i="44"/>
  <c r="C128" i="44" s="1"/>
  <c r="B128" i="44"/>
  <c r="E100" i="44"/>
  <c r="C100" i="44" s="1"/>
  <c r="D101" i="44"/>
  <c r="B100" i="44"/>
  <c r="E74" i="44"/>
  <c r="C74" i="44" s="1"/>
  <c r="B74" i="44"/>
  <c r="D75" i="44"/>
  <c r="C152" i="35" l="1"/>
  <c r="D153" i="35"/>
  <c r="D214" i="46"/>
  <c r="D215" i="46" s="1"/>
  <c r="B213" i="46"/>
  <c r="E135" i="46"/>
  <c r="B135" i="46"/>
  <c r="B71" i="45"/>
  <c r="E71" i="45"/>
  <c r="D172" i="44"/>
  <c r="E171" i="44"/>
  <c r="C171" i="44" s="1"/>
  <c r="B171" i="44"/>
  <c r="D130" i="44"/>
  <c r="E129" i="44"/>
  <c r="C129" i="44" s="1"/>
  <c r="B129" i="44"/>
  <c r="D102" i="44"/>
  <c r="B101" i="44"/>
  <c r="E101" i="44"/>
  <c r="C101" i="44" s="1"/>
  <c r="D76" i="44"/>
  <c r="E75" i="44"/>
  <c r="C75" i="44" s="1"/>
  <c r="B75" i="44"/>
  <c r="B153" i="35" l="1"/>
  <c r="E153" i="35"/>
  <c r="E214" i="46"/>
  <c r="B214" i="46"/>
  <c r="C135" i="46"/>
  <c r="C71" i="45"/>
  <c r="D72" i="45"/>
  <c r="E172" i="44"/>
  <c r="C172" i="44" s="1"/>
  <c r="D173" i="44"/>
  <c r="B172" i="44"/>
  <c r="E130" i="44"/>
  <c r="C130" i="44" s="1"/>
  <c r="B130" i="44"/>
  <c r="D131" i="44"/>
  <c r="B102" i="44"/>
  <c r="D103" i="44"/>
  <c r="E102" i="44"/>
  <c r="C102" i="44" s="1"/>
  <c r="D77" i="44"/>
  <c r="E76" i="44"/>
  <c r="C76" i="44" s="1"/>
  <c r="B76" i="44"/>
  <c r="D154" i="35" l="1"/>
  <c r="C153" i="35"/>
  <c r="C214" i="46"/>
  <c r="D137" i="46"/>
  <c r="D138" i="46" s="1"/>
  <c r="B136" i="46"/>
  <c r="B72" i="45"/>
  <c r="E72" i="45"/>
  <c r="B173" i="44"/>
  <c r="E173" i="44"/>
  <c r="C173" i="44" s="1"/>
  <c r="D174" i="44"/>
  <c r="E131" i="44"/>
  <c r="C131" i="44" s="1"/>
  <c r="D132" i="44"/>
  <c r="B131" i="44"/>
  <c r="E103" i="44"/>
  <c r="C103" i="44" s="1"/>
  <c r="B103" i="44"/>
  <c r="D104" i="44"/>
  <c r="D78" i="44"/>
  <c r="E77" i="44"/>
  <c r="C77" i="44" s="1"/>
  <c r="B77" i="44"/>
  <c r="E154" i="35" l="1"/>
  <c r="B154" i="35"/>
  <c r="D216" i="46"/>
  <c r="D217" i="46" s="1"/>
  <c r="B215" i="46"/>
  <c r="E137" i="46"/>
  <c r="B137" i="46"/>
  <c r="C72" i="45"/>
  <c r="D73" i="45"/>
  <c r="B174" i="44"/>
  <c r="D175" i="44"/>
  <c r="E174" i="44"/>
  <c r="C174" i="44" s="1"/>
  <c r="B132" i="44"/>
  <c r="D133" i="44"/>
  <c r="E132" i="44"/>
  <c r="C132" i="44" s="1"/>
  <c r="B104" i="44"/>
  <c r="D105" i="44"/>
  <c r="E104" i="44"/>
  <c r="C104" i="44" s="1"/>
  <c r="D79" i="44"/>
  <c r="E78" i="44"/>
  <c r="C78" i="44" s="1"/>
  <c r="B78" i="44"/>
  <c r="D155" i="35" l="1"/>
  <c r="C154" i="35"/>
  <c r="E216" i="46"/>
  <c r="B216" i="46"/>
  <c r="C137" i="46"/>
  <c r="E73" i="45"/>
  <c r="B73" i="45"/>
  <c r="B175" i="44"/>
  <c r="D176" i="44"/>
  <c r="E175" i="44"/>
  <c r="C175" i="44" s="1"/>
  <c r="B133" i="44"/>
  <c r="D134" i="44"/>
  <c r="E133" i="44"/>
  <c r="C133" i="44" s="1"/>
  <c r="D106" i="44"/>
  <c r="E105" i="44"/>
  <c r="C105" i="44" s="1"/>
  <c r="B105" i="44"/>
  <c r="D80" i="44"/>
  <c r="E79" i="44"/>
  <c r="C79" i="44" s="1"/>
  <c r="B79" i="44"/>
  <c r="E155" i="35" l="1"/>
  <c r="B155" i="35"/>
  <c r="C216" i="46"/>
  <c r="D139" i="46"/>
  <c r="D140" i="46" s="1"/>
  <c r="B138" i="46"/>
  <c r="C73" i="45"/>
  <c r="D74" i="45"/>
  <c r="D177" i="44"/>
  <c r="E176" i="44"/>
  <c r="C176" i="44" s="1"/>
  <c r="B176" i="44"/>
  <c r="D135" i="44"/>
  <c r="E134" i="44"/>
  <c r="C134" i="44" s="1"/>
  <c r="B134" i="44"/>
  <c r="E106" i="44"/>
  <c r="C106" i="44" s="1"/>
  <c r="B106" i="44"/>
  <c r="E80" i="44"/>
  <c r="C80" i="44" s="1"/>
  <c r="B80" i="44"/>
  <c r="D156" i="35" l="1"/>
  <c r="C155" i="35"/>
  <c r="B217" i="46"/>
  <c r="D218" i="46"/>
  <c r="D219" i="46" s="1"/>
  <c r="E139" i="46"/>
  <c r="B139" i="46"/>
  <c r="E74" i="45"/>
  <c r="C74" i="45" s="1"/>
  <c r="B74" i="45"/>
  <c r="D178" i="44"/>
  <c r="E177" i="44"/>
  <c r="C177" i="44" s="1"/>
  <c r="B177" i="44"/>
  <c r="D136" i="44"/>
  <c r="E135" i="44"/>
  <c r="C135" i="44" s="1"/>
  <c r="B135" i="44"/>
  <c r="E156" i="35" l="1"/>
  <c r="B156" i="35"/>
  <c r="B218" i="46"/>
  <c r="E218" i="46"/>
  <c r="C139" i="46"/>
  <c r="E178" i="44"/>
  <c r="C178" i="44" s="1"/>
  <c r="B178" i="44"/>
  <c r="D179" i="44"/>
  <c r="E136" i="44"/>
  <c r="C136" i="44" s="1"/>
  <c r="B136" i="44"/>
  <c r="D137" i="44"/>
  <c r="C156" i="35" l="1"/>
  <c r="D157" i="35"/>
  <c r="C218" i="46"/>
  <c r="B140" i="46"/>
  <c r="D141" i="46"/>
  <c r="D142" i="46" s="1"/>
  <c r="E179" i="44"/>
  <c r="C179" i="44" s="1"/>
  <c r="D180" i="44"/>
  <c r="B179" i="44"/>
  <c r="B137" i="44"/>
  <c r="E137" i="44"/>
  <c r="C137" i="44" s="1"/>
  <c r="D138" i="44"/>
  <c r="B157" i="35" l="1"/>
  <c r="E157" i="35"/>
  <c r="D220" i="46"/>
  <c r="D221" i="46" s="1"/>
  <c r="B219" i="46"/>
  <c r="B141" i="46"/>
  <c r="E141" i="46"/>
  <c r="B180" i="44"/>
  <c r="D181" i="44"/>
  <c r="E180" i="44"/>
  <c r="C180" i="44" s="1"/>
  <c r="D139" i="44"/>
  <c r="E138" i="44"/>
  <c r="C138" i="44" s="1"/>
  <c r="B138" i="44"/>
  <c r="C157" i="35" l="1"/>
  <c r="D158" i="35"/>
  <c r="E220" i="46"/>
  <c r="B220" i="46"/>
  <c r="C141" i="46"/>
  <c r="D182" i="44"/>
  <c r="B181" i="44"/>
  <c r="E181" i="44"/>
  <c r="C181" i="44" s="1"/>
  <c r="D140" i="44"/>
  <c r="B139" i="44"/>
  <c r="E139" i="44"/>
  <c r="C139" i="44" s="1"/>
  <c r="B158" i="35" l="1"/>
  <c r="E158" i="35"/>
  <c r="C220" i="46"/>
  <c r="D143" i="46"/>
  <c r="D144" i="46" s="1"/>
  <c r="B142" i="46"/>
  <c r="D183" i="44"/>
  <c r="E182" i="44"/>
  <c r="C182" i="44" s="1"/>
  <c r="B182" i="44"/>
  <c r="D141" i="44"/>
  <c r="E140" i="44"/>
  <c r="C140" i="44" s="1"/>
  <c r="B140" i="44"/>
  <c r="D159" i="35" l="1"/>
  <c r="C158" i="35"/>
  <c r="D222" i="46"/>
  <c r="D223" i="46" s="1"/>
  <c r="B221" i="46"/>
  <c r="E143" i="46"/>
  <c r="B143" i="46"/>
  <c r="D184" i="44"/>
  <c r="E183" i="44"/>
  <c r="C183" i="44" s="1"/>
  <c r="B183" i="44"/>
  <c r="D142" i="44"/>
  <c r="E141" i="44"/>
  <c r="C141" i="44" s="1"/>
  <c r="B141" i="44"/>
  <c r="E159" i="35" l="1"/>
  <c r="B159" i="35"/>
  <c r="E222" i="46"/>
  <c r="B222" i="46"/>
  <c r="C143" i="46"/>
  <c r="E184" i="44"/>
  <c r="C184" i="44" s="1"/>
  <c r="B184" i="44"/>
  <c r="D185" i="44"/>
  <c r="E142" i="44"/>
  <c r="C142" i="44" s="1"/>
  <c r="B142" i="44"/>
  <c r="D143" i="44"/>
  <c r="D160" i="35" l="1"/>
  <c r="C159" i="35"/>
  <c r="C222" i="46"/>
  <c r="D145" i="46"/>
  <c r="D146" i="46" s="1"/>
  <c r="B144" i="46"/>
  <c r="E185" i="44"/>
  <c r="C185" i="44" s="1"/>
  <c r="B185" i="44"/>
  <c r="D186" i="44"/>
  <c r="E143" i="44"/>
  <c r="C143" i="44" s="1"/>
  <c r="B143" i="44"/>
  <c r="D144" i="44"/>
  <c r="E160" i="35" l="1"/>
  <c r="B160" i="35"/>
  <c r="B223" i="46"/>
  <c r="D224" i="46"/>
  <c r="D225" i="46" s="1"/>
  <c r="E145" i="46"/>
  <c r="B145" i="46"/>
  <c r="D187" i="44"/>
  <c r="E186" i="44"/>
  <c r="C186" i="44" s="1"/>
  <c r="B186" i="44"/>
  <c r="B144" i="44"/>
  <c r="D145" i="44"/>
  <c r="E144" i="44"/>
  <c r="C144" i="44" s="1"/>
  <c r="D161" i="35" l="1"/>
  <c r="C160" i="35"/>
  <c r="E224" i="46"/>
  <c r="B224" i="46"/>
  <c r="C145" i="46"/>
  <c r="D188" i="44"/>
  <c r="E187" i="44"/>
  <c r="C187" i="44" s="1"/>
  <c r="B187" i="44"/>
  <c r="D146" i="44"/>
  <c r="E145" i="44"/>
  <c r="C145" i="44" s="1"/>
  <c r="B145" i="44"/>
  <c r="E161" i="35" l="1"/>
  <c r="B161" i="35"/>
  <c r="C224" i="46"/>
  <c r="B146" i="46"/>
  <c r="D147" i="46"/>
  <c r="D148" i="46" s="1"/>
  <c r="D189" i="44"/>
  <c r="E188" i="44"/>
  <c r="C188" i="44" s="1"/>
  <c r="B188" i="44"/>
  <c r="D147" i="44"/>
  <c r="E146" i="44"/>
  <c r="C146" i="44" s="1"/>
  <c r="B146" i="44"/>
  <c r="C161" i="35" l="1"/>
  <c r="D162" i="35"/>
  <c r="D226" i="46"/>
  <c r="D227" i="46" s="1"/>
  <c r="B225" i="46"/>
  <c r="E147" i="46"/>
  <c r="B147" i="46"/>
  <c r="D190" i="44"/>
  <c r="E189" i="44"/>
  <c r="C189" i="44" s="1"/>
  <c r="B189" i="44"/>
  <c r="D148" i="44"/>
  <c r="E147" i="44"/>
  <c r="C147" i="44" s="1"/>
  <c r="B147" i="44"/>
  <c r="E162" i="35" l="1"/>
  <c r="B162" i="35"/>
  <c r="E226" i="46"/>
  <c r="B226" i="46"/>
  <c r="C147" i="46"/>
  <c r="E190" i="44"/>
  <c r="C190" i="44" s="1"/>
  <c r="B190" i="44"/>
  <c r="E148" i="44"/>
  <c r="C148" i="44" s="1"/>
  <c r="B148" i="44"/>
  <c r="D163" i="35" l="1"/>
  <c r="C162" i="35"/>
  <c r="C226" i="46"/>
  <c r="D149" i="46"/>
  <c r="D150" i="46" s="1"/>
  <c r="B148" i="46"/>
  <c r="D30" i="44"/>
  <c r="D31" i="44" s="1"/>
  <c r="D32" i="44" s="1"/>
  <c r="D33" i="44" s="1"/>
  <c r="D34" i="44" s="1"/>
  <c r="E34" i="44" s="1"/>
  <c r="C34" i="44" s="1"/>
  <c r="C27" i="44"/>
  <c r="C26" i="44"/>
  <c r="C25" i="44"/>
  <c r="C24" i="44"/>
  <c r="C23" i="44"/>
  <c r="C22" i="44"/>
  <c r="C21" i="44"/>
  <c r="C20" i="44"/>
  <c r="C19" i="44"/>
  <c r="C18" i="44"/>
  <c r="C17" i="44"/>
  <c r="C16" i="44"/>
  <c r="C15" i="44"/>
  <c r="C14" i="44"/>
  <c r="C13" i="44"/>
  <c r="C12" i="44"/>
  <c r="C11" i="44"/>
  <c r="C10" i="44"/>
  <c r="C9" i="44"/>
  <c r="C8" i="44"/>
  <c r="C4" i="44"/>
  <c r="C5" i="44"/>
  <c r="C6" i="44"/>
  <c r="C7" i="44"/>
  <c r="C3" i="44"/>
  <c r="B27" i="44"/>
  <c r="B26" i="44"/>
  <c r="B25" i="44"/>
  <c r="B24" i="44"/>
  <c r="B23" i="44"/>
  <c r="B22" i="44"/>
  <c r="B21" i="44"/>
  <c r="B20" i="44"/>
  <c r="B19" i="44"/>
  <c r="B18" i="44"/>
  <c r="B17" i="44"/>
  <c r="B16" i="44"/>
  <c r="B15" i="44"/>
  <c r="B14" i="44"/>
  <c r="B13" i="44"/>
  <c r="B12" i="44"/>
  <c r="B11" i="44"/>
  <c r="B10" i="44"/>
  <c r="B9" i="44"/>
  <c r="B8" i="44"/>
  <c r="B4" i="44"/>
  <c r="B5" i="44"/>
  <c r="B6" i="44"/>
  <c r="B7" i="44"/>
  <c r="B3" i="44"/>
  <c r="B97" i="6"/>
  <c r="B94" i="6"/>
  <c r="E94" i="6"/>
  <c r="C94" i="6" s="1"/>
  <c r="B163" i="35" l="1"/>
  <c r="E163" i="35"/>
  <c r="D228" i="46"/>
  <c r="D229" i="46" s="1"/>
  <c r="B227" i="46"/>
  <c r="E149" i="46"/>
  <c r="B149" i="46"/>
  <c r="E33" i="44"/>
  <c r="E32" i="44"/>
  <c r="E31" i="44"/>
  <c r="B34" i="44"/>
  <c r="D35" i="44"/>
  <c r="E35" i="44" s="1"/>
  <c r="C35" i="44" s="1"/>
  <c r="E30" i="44"/>
  <c r="C30" i="44" s="1"/>
  <c r="B30" i="44"/>
  <c r="E29" i="44"/>
  <c r="C29" i="44" s="1"/>
  <c r="B29" i="44"/>
  <c r="C163" i="35" l="1"/>
  <c r="D164" i="35"/>
  <c r="E228" i="46"/>
  <c r="B228" i="46"/>
  <c r="C149" i="46"/>
  <c r="D36" i="44"/>
  <c r="E36" i="44" s="1"/>
  <c r="C36" i="44" s="1"/>
  <c r="B35" i="44"/>
  <c r="C31" i="44"/>
  <c r="B31" i="44"/>
  <c r="E164" i="35" l="1"/>
  <c r="B164" i="35"/>
  <c r="C228" i="46"/>
  <c r="D151" i="46"/>
  <c r="D152" i="46" s="1"/>
  <c r="B150" i="46"/>
  <c r="B36" i="44"/>
  <c r="D37" i="44"/>
  <c r="E37" i="44" s="1"/>
  <c r="C37" i="44" s="1"/>
  <c r="B32" i="44"/>
  <c r="C32" i="44"/>
  <c r="D165" i="35" l="1"/>
  <c r="C164" i="35"/>
  <c r="D230" i="46"/>
  <c r="D231" i="46" s="1"/>
  <c r="B229" i="46"/>
  <c r="E151" i="46"/>
  <c r="B151" i="46"/>
  <c r="B37" i="44"/>
  <c r="D38" i="44"/>
  <c r="E38" i="44" s="1"/>
  <c r="C38" i="44" s="1"/>
  <c r="B33" i="44"/>
  <c r="C33" i="44"/>
  <c r="E165" i="35" l="1"/>
  <c r="B165" i="35"/>
  <c r="E230" i="46"/>
  <c r="B230" i="46"/>
  <c r="C151" i="46"/>
  <c r="B38" i="44"/>
  <c r="D39" i="44"/>
  <c r="E39" i="44" s="1"/>
  <c r="C39" i="44" s="1"/>
  <c r="D166" i="35" l="1"/>
  <c r="C165" i="35"/>
  <c r="C230" i="46"/>
  <c r="D153" i="46"/>
  <c r="B152" i="46"/>
  <c r="B39" i="44"/>
  <c r="D40" i="44"/>
  <c r="E40" i="44" s="1"/>
  <c r="C40" i="44" s="1"/>
  <c r="E166" i="35" l="1"/>
  <c r="B166" i="35"/>
  <c r="D232" i="46"/>
  <c r="D233" i="46" s="1"/>
  <c r="B231" i="46"/>
  <c r="D154" i="46"/>
  <c r="E153" i="46"/>
  <c r="C153" i="46" s="1"/>
  <c r="B153" i="46"/>
  <c r="B40" i="44"/>
  <c r="D41" i="44"/>
  <c r="E41" i="44" s="1"/>
  <c r="C41" i="44" s="1"/>
  <c r="D167" i="35" l="1"/>
  <c r="C166" i="35"/>
  <c r="E232" i="46"/>
  <c r="B232" i="46"/>
  <c r="D155" i="46"/>
  <c r="D156" i="46" s="1"/>
  <c r="B154" i="46"/>
  <c r="B41" i="44"/>
  <c r="D42" i="44"/>
  <c r="E42" i="44" s="1"/>
  <c r="C42" i="44" s="1"/>
  <c r="B167" i="35" l="1"/>
  <c r="E167" i="35"/>
  <c r="C232" i="46"/>
  <c r="E155" i="46"/>
  <c r="B155" i="46"/>
  <c r="B42" i="44"/>
  <c r="D43" i="44"/>
  <c r="E43" i="44" s="1"/>
  <c r="C43" i="44" s="1"/>
  <c r="C167" i="35" l="1"/>
  <c r="D168" i="35"/>
  <c r="B233" i="46"/>
  <c r="D234" i="46"/>
  <c r="D235" i="46" s="1"/>
  <c r="C155" i="46"/>
  <c r="D44" i="44"/>
  <c r="E44" i="44" s="1"/>
  <c r="C44" i="44" s="1"/>
  <c r="B43" i="44"/>
  <c r="E168" i="35" l="1"/>
  <c r="B168" i="35"/>
  <c r="B234" i="46"/>
  <c r="E234" i="46"/>
  <c r="B156" i="46"/>
  <c r="D157" i="46"/>
  <c r="D158" i="46" s="1"/>
  <c r="B44" i="44"/>
  <c r="D45" i="44"/>
  <c r="E45" i="44" s="1"/>
  <c r="C45" i="44" s="1"/>
  <c r="C168" i="35" l="1"/>
  <c r="D169" i="35"/>
  <c r="C234" i="46"/>
  <c r="B157" i="46"/>
  <c r="E157" i="46"/>
  <c r="D46" i="44"/>
  <c r="E46" i="44" s="1"/>
  <c r="C46" i="44" s="1"/>
  <c r="B45" i="44"/>
  <c r="E169" i="35" l="1"/>
  <c r="B169" i="35"/>
  <c r="D236" i="46"/>
  <c r="D237" i="46" s="1"/>
  <c r="B235" i="46"/>
  <c r="C157" i="46"/>
  <c r="D47" i="44"/>
  <c r="E47" i="44" s="1"/>
  <c r="C47" i="44" s="1"/>
  <c r="B46" i="44"/>
  <c r="D170" i="35" l="1"/>
  <c r="C169" i="35"/>
  <c r="E236" i="46"/>
  <c r="B236" i="46"/>
  <c r="D159" i="46"/>
  <c r="D160" i="46" s="1"/>
  <c r="B158" i="46"/>
  <c r="D48" i="44"/>
  <c r="E48" i="44" s="1"/>
  <c r="C48" i="44" s="1"/>
  <c r="B47" i="44"/>
  <c r="E170" i="35" l="1"/>
  <c r="B170" i="35"/>
  <c r="C236" i="46"/>
  <c r="E159" i="46"/>
  <c r="B159" i="46"/>
  <c r="B48" i="44"/>
  <c r="D49" i="44"/>
  <c r="E49" i="44" s="1"/>
  <c r="C49" i="44" s="1"/>
  <c r="D171" i="35" l="1"/>
  <c r="C170" i="35"/>
  <c r="D238" i="46"/>
  <c r="D239" i="46" s="1"/>
  <c r="B237" i="46"/>
  <c r="C159" i="46"/>
  <c r="D50" i="44"/>
  <c r="E50" i="44" s="1"/>
  <c r="C50" i="44" s="1"/>
  <c r="B49" i="44"/>
  <c r="E171" i="35" l="1"/>
  <c r="B171" i="35"/>
  <c r="E238" i="46"/>
  <c r="B238" i="46"/>
  <c r="D161" i="46"/>
  <c r="B160" i="46"/>
  <c r="D51" i="44"/>
  <c r="E51" i="44" s="1"/>
  <c r="C51" i="44" s="1"/>
  <c r="B50" i="44"/>
  <c r="D172" i="35" l="1"/>
  <c r="C171" i="35"/>
  <c r="C238" i="46"/>
  <c r="D162" i="46"/>
  <c r="E161" i="46"/>
  <c r="C161" i="46" s="1"/>
  <c r="B161" i="46"/>
  <c r="B51" i="44"/>
  <c r="D52" i="44"/>
  <c r="E52" i="44" s="1"/>
  <c r="C52" i="44" s="1"/>
  <c r="B172" i="35" l="1"/>
  <c r="E172" i="35"/>
  <c r="B239" i="46"/>
  <c r="D240" i="46"/>
  <c r="D241" i="46" s="1"/>
  <c r="B162" i="46"/>
  <c r="D163" i="46"/>
  <c r="D164" i="46" s="1"/>
  <c r="D53" i="44"/>
  <c r="B52" i="44"/>
  <c r="D173" i="35" l="1"/>
  <c r="C172" i="35"/>
  <c r="E240" i="46"/>
  <c r="B240" i="46"/>
  <c r="E163" i="46"/>
  <c r="B163" i="46"/>
  <c r="B53" i="44"/>
  <c r="E53" i="44"/>
  <c r="C53" i="44" s="1"/>
  <c r="B173" i="35" l="1"/>
  <c r="E173" i="35"/>
  <c r="C240" i="46"/>
  <c r="C163" i="46"/>
  <c r="D73" i="43"/>
  <c r="D74" i="43" s="1"/>
  <c r="E72" i="43"/>
  <c r="C72" i="43"/>
  <c r="B72" i="43"/>
  <c r="D63" i="43"/>
  <c r="D64" i="43" s="1"/>
  <c r="B63" i="43"/>
  <c r="E62" i="43"/>
  <c r="C62" i="43" s="1"/>
  <c r="B62" i="43"/>
  <c r="D54" i="43"/>
  <c r="D55" i="43" s="1"/>
  <c r="B53" i="43"/>
  <c r="D31" i="43"/>
  <c r="B31" i="43" s="1"/>
  <c r="B30" i="43"/>
  <c r="D4" i="43"/>
  <c r="D5" i="43" s="1"/>
  <c r="B3" i="43"/>
  <c r="E111" i="34"/>
  <c r="E36" i="34"/>
  <c r="J14" i="36"/>
  <c r="I108" i="8"/>
  <c r="B3" i="36"/>
  <c r="B80" i="13"/>
  <c r="B70" i="13"/>
  <c r="B67" i="13"/>
  <c r="B66" i="13"/>
  <c r="B65" i="13"/>
  <c r="B64" i="13"/>
  <c r="B63" i="13"/>
  <c r="B62" i="13"/>
  <c r="B61" i="13"/>
  <c r="B60" i="13"/>
  <c r="B30" i="13"/>
  <c r="B3" i="13"/>
  <c r="C3" i="29"/>
  <c r="B3" i="29"/>
  <c r="B107" i="11"/>
  <c r="B55" i="11"/>
  <c r="B3" i="11"/>
  <c r="B23" i="25"/>
  <c r="B3" i="25"/>
  <c r="B42" i="9"/>
  <c r="C38" i="9"/>
  <c r="C37" i="9"/>
  <c r="B35" i="9"/>
  <c r="B28" i="9"/>
  <c r="B21" i="9"/>
  <c r="B16" i="9"/>
  <c r="B15" i="9"/>
  <c r="B3" i="9"/>
  <c r="B20" i="6"/>
  <c r="B19" i="6"/>
  <c r="B18" i="6"/>
  <c r="B17" i="6"/>
  <c r="B16" i="6"/>
  <c r="B15" i="6"/>
  <c r="B14" i="6"/>
  <c r="B13" i="6"/>
  <c r="B12" i="6"/>
  <c r="B11" i="6"/>
  <c r="B10" i="6"/>
  <c r="B9" i="6"/>
  <c r="B8" i="6"/>
  <c r="B7" i="6"/>
  <c r="B6" i="6"/>
  <c r="B5" i="6"/>
  <c r="B4" i="6"/>
  <c r="B3" i="6"/>
  <c r="B21" i="26"/>
  <c r="B3" i="26"/>
  <c r="B108" i="37"/>
  <c r="B74" i="37"/>
  <c r="B71" i="37"/>
  <c r="B70" i="37"/>
  <c r="B69" i="37"/>
  <c r="B68" i="37"/>
  <c r="B67" i="37"/>
  <c r="B66" i="37"/>
  <c r="B65" i="37"/>
  <c r="B64" i="37"/>
  <c r="B63" i="37"/>
  <c r="B62" i="37"/>
  <c r="B61" i="37"/>
  <c r="B60" i="37"/>
  <c r="B59" i="37"/>
  <c r="B58" i="37"/>
  <c r="B57" i="37"/>
  <c r="B56" i="37"/>
  <c r="B55" i="37"/>
  <c r="B54" i="37"/>
  <c r="B53" i="37"/>
  <c r="B52" i="37"/>
  <c r="B51" i="37"/>
  <c r="B50" i="37"/>
  <c r="B49" i="37"/>
  <c r="B48" i="37"/>
  <c r="B47" i="37"/>
  <c r="B46" i="37"/>
  <c r="B45" i="37"/>
  <c r="B44" i="37"/>
  <c r="B43" i="37"/>
  <c r="B42" i="37"/>
  <c r="B41" i="37"/>
  <c r="B40" i="37"/>
  <c r="B39" i="37"/>
  <c r="B38" i="37"/>
  <c r="B37" i="37"/>
  <c r="B3" i="37"/>
  <c r="B91" i="35"/>
  <c r="B47" i="35"/>
  <c r="B3" i="35"/>
  <c r="B316" i="10"/>
  <c r="B308" i="10"/>
  <c r="B301" i="10"/>
  <c r="B258" i="10"/>
  <c r="B200" i="10"/>
  <c r="B291" i="10"/>
  <c r="B275" i="10"/>
  <c r="B269" i="10"/>
  <c r="B266" i="10"/>
  <c r="B190" i="10"/>
  <c r="B153" i="10"/>
  <c r="B138" i="10"/>
  <c r="B121" i="10"/>
  <c r="B78" i="10"/>
  <c r="B42" i="10"/>
  <c r="B66" i="7"/>
  <c r="B60" i="7"/>
  <c r="B59" i="7"/>
  <c r="B58" i="7"/>
  <c r="B57" i="7"/>
  <c r="B56" i="7"/>
  <c r="B55" i="7"/>
  <c r="B54" i="7"/>
  <c r="B53" i="7"/>
  <c r="B52" i="7"/>
  <c r="B51" i="7"/>
  <c r="B50" i="7"/>
  <c r="B49" i="7"/>
  <c r="B48" i="7"/>
  <c r="B47" i="7"/>
  <c r="B46" i="7"/>
  <c r="B45" i="7"/>
  <c r="B44" i="7"/>
  <c r="B43" i="7"/>
  <c r="B42" i="7"/>
  <c r="B41" i="7"/>
  <c r="B32" i="7"/>
  <c r="B30" i="7"/>
  <c r="B28" i="7"/>
  <c r="C26" i="7"/>
  <c r="B26" i="7"/>
  <c r="B13" i="7"/>
  <c r="B12" i="7"/>
  <c r="B11" i="7"/>
  <c r="B10" i="7"/>
  <c r="B9" i="7"/>
  <c r="B8" i="7"/>
  <c r="B7" i="7"/>
  <c r="B6" i="7"/>
  <c r="B5" i="7"/>
  <c r="B4" i="7"/>
  <c r="B3" i="7"/>
  <c r="B357" i="8"/>
  <c r="B232" i="8"/>
  <c r="B201" i="8"/>
  <c r="B200" i="8"/>
  <c r="B199" i="8"/>
  <c r="B198" i="8"/>
  <c r="B197" i="8"/>
  <c r="B196" i="8"/>
  <c r="B195" i="8"/>
  <c r="B194" i="8"/>
  <c r="B193" i="8"/>
  <c r="B192" i="8"/>
  <c r="B191" i="8"/>
  <c r="B166" i="8"/>
  <c r="B160" i="8"/>
  <c r="B157" i="8"/>
  <c r="B156" i="8"/>
  <c r="B155" i="8"/>
  <c r="B154" i="8"/>
  <c r="B153" i="8"/>
  <c r="B152" i="8"/>
  <c r="B149" i="8"/>
  <c r="B148" i="8"/>
  <c r="B147" i="8"/>
  <c r="B146" i="8"/>
  <c r="B145" i="8"/>
  <c r="B144" i="8"/>
  <c r="B143" i="8"/>
  <c r="B140" i="8"/>
  <c r="B139" i="8"/>
  <c r="B138" i="8"/>
  <c r="B137" i="8"/>
  <c r="B136" i="8"/>
  <c r="B133" i="8"/>
  <c r="B132" i="8"/>
  <c r="B131" i="8"/>
  <c r="B130" i="8"/>
  <c r="B129" i="8"/>
  <c r="B128" i="8"/>
  <c r="B125" i="8"/>
  <c r="B124" i="8"/>
  <c r="B123" i="8"/>
  <c r="B122" i="8"/>
  <c r="B121" i="8"/>
  <c r="B120" i="8"/>
  <c r="B119" i="8"/>
  <c r="B116" i="8"/>
  <c r="B115" i="8"/>
  <c r="B114" i="8"/>
  <c r="B113" i="8"/>
  <c r="B112" i="8"/>
  <c r="B80" i="8"/>
  <c r="B71" i="8"/>
  <c r="B52" i="8"/>
  <c r="B3" i="8"/>
  <c r="B129" i="24"/>
  <c r="C124" i="24"/>
  <c r="B124" i="24"/>
  <c r="C123" i="24"/>
  <c r="B123" i="24"/>
  <c r="C122" i="24"/>
  <c r="B122" i="24"/>
  <c r="C121" i="24"/>
  <c r="B121" i="24"/>
  <c r="C120" i="24"/>
  <c r="B120" i="24"/>
  <c r="C119" i="24"/>
  <c r="B119" i="24"/>
  <c r="C118" i="24"/>
  <c r="B118" i="24"/>
  <c r="C117" i="24"/>
  <c r="B117" i="24"/>
  <c r="C116" i="24"/>
  <c r="B116" i="24"/>
  <c r="C115" i="24"/>
  <c r="B115" i="24"/>
  <c r="C114" i="24"/>
  <c r="B114" i="24"/>
  <c r="C113" i="24"/>
  <c r="B113" i="24"/>
  <c r="C112" i="24"/>
  <c r="B112" i="24"/>
  <c r="C111" i="24"/>
  <c r="B111" i="24"/>
  <c r="C110" i="24"/>
  <c r="B110" i="24"/>
  <c r="C109" i="24"/>
  <c r="B109" i="24"/>
  <c r="C108" i="24"/>
  <c r="B108" i="24"/>
  <c r="C107" i="24"/>
  <c r="B107" i="24"/>
  <c r="C106" i="24"/>
  <c r="B106" i="24"/>
  <c r="C105" i="24"/>
  <c r="B105" i="24"/>
  <c r="C104" i="24"/>
  <c r="B104" i="24"/>
  <c r="C103" i="24"/>
  <c r="B103" i="24"/>
  <c r="C102" i="24"/>
  <c r="B102" i="24"/>
  <c r="C101" i="24"/>
  <c r="B101" i="24"/>
  <c r="C100" i="24"/>
  <c r="B100" i="24"/>
  <c r="C99" i="24"/>
  <c r="B99" i="24"/>
  <c r="C98" i="24"/>
  <c r="B98" i="24"/>
  <c r="C97" i="24"/>
  <c r="B97" i="24"/>
  <c r="B13" i="24"/>
  <c r="B3" i="24"/>
  <c r="B30" i="5"/>
  <c r="B26" i="5"/>
  <c r="B25" i="5"/>
  <c r="B24" i="5"/>
  <c r="B23" i="5"/>
  <c r="B22" i="5"/>
  <c r="B21" i="5"/>
  <c r="B20" i="5"/>
  <c r="B19" i="5"/>
  <c r="B16" i="5"/>
  <c r="B15" i="5"/>
  <c r="B14" i="5"/>
  <c r="B13" i="5"/>
  <c r="B12" i="5"/>
  <c r="B11" i="5"/>
  <c r="B10" i="5"/>
  <c r="B9" i="5"/>
  <c r="B5" i="5"/>
  <c r="B4" i="5"/>
  <c r="B3" i="5"/>
  <c r="B116" i="4"/>
  <c r="B114" i="4"/>
  <c r="B113" i="4"/>
  <c r="B109" i="4"/>
  <c r="B107" i="4"/>
  <c r="B98" i="4"/>
  <c r="B85" i="4"/>
  <c r="B24" i="4"/>
  <c r="B3" i="4"/>
  <c r="E225" i="34"/>
  <c r="E223" i="34"/>
  <c r="E221" i="34"/>
  <c r="E218" i="34"/>
  <c r="E216" i="34"/>
  <c r="E212" i="34"/>
  <c r="E210" i="34"/>
  <c r="E208" i="34"/>
  <c r="E207" i="34"/>
  <c r="E205" i="34"/>
  <c r="E201" i="34"/>
  <c r="E200" i="34"/>
  <c r="E199" i="34"/>
  <c r="E197" i="34"/>
  <c r="E195" i="34"/>
  <c r="E193" i="34"/>
  <c r="E192" i="34"/>
  <c r="E191" i="34"/>
  <c r="E186" i="34"/>
  <c r="E185" i="34"/>
  <c r="E184" i="34"/>
  <c r="E183" i="34"/>
  <c r="E182" i="34"/>
  <c r="E181" i="34"/>
  <c r="E178" i="34"/>
  <c r="E167" i="34"/>
  <c r="E166" i="34"/>
  <c r="E165" i="34"/>
  <c r="E164" i="34"/>
  <c r="E163" i="34"/>
  <c r="E162" i="34"/>
  <c r="E160" i="34"/>
  <c r="E158" i="34"/>
  <c r="E156" i="34"/>
  <c r="E154" i="34"/>
  <c r="E153" i="34"/>
  <c r="E151" i="34"/>
  <c r="E147" i="34"/>
  <c r="E146" i="34"/>
  <c r="E145" i="34"/>
  <c r="E143" i="34"/>
  <c r="E141" i="34"/>
  <c r="E139" i="34"/>
  <c r="E137" i="34"/>
  <c r="E135" i="34"/>
  <c r="E134" i="34"/>
  <c r="E132" i="34"/>
  <c r="E131" i="34"/>
  <c r="E129" i="34"/>
  <c r="E127" i="34"/>
  <c r="E125" i="34"/>
  <c r="E123" i="34"/>
  <c r="E121" i="34"/>
  <c r="E119" i="34"/>
  <c r="E117" i="34"/>
  <c r="E115" i="34"/>
  <c r="E107" i="34"/>
  <c r="E103" i="34"/>
  <c r="E102" i="34"/>
  <c r="E101" i="34"/>
  <c r="E99" i="34"/>
  <c r="E98" i="34"/>
  <c r="E96" i="34"/>
  <c r="E95" i="34"/>
  <c r="E93" i="34"/>
  <c r="E91" i="34"/>
  <c r="E88" i="34"/>
  <c r="E87" i="34"/>
  <c r="E86" i="34"/>
  <c r="E85" i="34"/>
  <c r="E84" i="34"/>
  <c r="E83" i="34"/>
  <c r="E82" i="34"/>
  <c r="E81" i="34"/>
  <c r="E80" i="34"/>
  <c r="E78" i="34"/>
  <c r="E77" i="34"/>
  <c r="E76" i="34"/>
  <c r="E74" i="34"/>
  <c r="E72" i="34"/>
  <c r="E70" i="34"/>
  <c r="E68" i="34"/>
  <c r="E65" i="34"/>
  <c r="E63" i="34"/>
  <c r="E59" i="34"/>
  <c r="E57" i="34"/>
  <c r="E53" i="34"/>
  <c r="E51" i="34"/>
  <c r="E48" i="34"/>
  <c r="E46" i="34"/>
  <c r="E44" i="34"/>
  <c r="E34" i="34"/>
  <c r="E27" i="34"/>
  <c r="E26" i="34"/>
  <c r="E25" i="34"/>
  <c r="E24" i="34"/>
  <c r="E23" i="34"/>
  <c r="E22" i="34"/>
  <c r="E21" i="34"/>
  <c r="E20" i="34"/>
  <c r="E16" i="34"/>
  <c r="E14" i="34"/>
  <c r="E12" i="34"/>
  <c r="E11" i="34"/>
  <c r="E9" i="34"/>
  <c r="E7" i="34"/>
  <c r="E5" i="34"/>
  <c r="E4" i="34"/>
  <c r="E2" i="34"/>
  <c r="E3" i="36"/>
  <c r="C3" i="36" s="1"/>
  <c r="E70" i="13"/>
  <c r="C70" i="13" s="1"/>
  <c r="E30" i="13"/>
  <c r="C30" i="13" s="1"/>
  <c r="E23" i="25"/>
  <c r="C23" i="25" s="1"/>
  <c r="E42" i="9"/>
  <c r="C42" i="9" s="1"/>
  <c r="E35" i="9"/>
  <c r="C35" i="9" s="1"/>
  <c r="E28" i="9"/>
  <c r="C28" i="9" s="1"/>
  <c r="E16" i="9"/>
  <c r="C16" i="9" s="1"/>
  <c r="E15" i="9"/>
  <c r="C15" i="9" s="1"/>
  <c r="E20" i="6"/>
  <c r="C20" i="6" s="1"/>
  <c r="E21" i="26"/>
  <c r="C21" i="26" s="1"/>
  <c r="E3" i="26"/>
  <c r="C3" i="26" s="1"/>
  <c r="E74" i="37"/>
  <c r="C74" i="37" s="1"/>
  <c r="E71" i="37"/>
  <c r="C71" i="37" s="1"/>
  <c r="E70" i="37"/>
  <c r="C70" i="37" s="1"/>
  <c r="E69" i="37"/>
  <c r="C69" i="37" s="1"/>
  <c r="E68" i="37"/>
  <c r="C68" i="37" s="1"/>
  <c r="E67" i="37"/>
  <c r="C67" i="37" s="1"/>
  <c r="E66" i="37"/>
  <c r="C66" i="37" s="1"/>
  <c r="E65" i="37"/>
  <c r="C65" i="37" s="1"/>
  <c r="E64" i="37"/>
  <c r="C64" i="37" s="1"/>
  <c r="E63" i="37"/>
  <c r="C63" i="37" s="1"/>
  <c r="E62" i="37"/>
  <c r="C62" i="37" s="1"/>
  <c r="E61" i="37"/>
  <c r="C61" i="37" s="1"/>
  <c r="E60" i="37"/>
  <c r="C60" i="37" s="1"/>
  <c r="E59" i="37"/>
  <c r="C59" i="37" s="1"/>
  <c r="E58" i="37"/>
  <c r="C58" i="37" s="1"/>
  <c r="E57" i="37"/>
  <c r="C57" i="37" s="1"/>
  <c r="E56" i="37"/>
  <c r="C56" i="37" s="1"/>
  <c r="E55" i="37"/>
  <c r="C55" i="37" s="1"/>
  <c r="E54" i="37"/>
  <c r="C54" i="37" s="1"/>
  <c r="E53" i="37"/>
  <c r="C53" i="37" s="1"/>
  <c r="E52" i="37"/>
  <c r="C52" i="37" s="1"/>
  <c r="E51" i="37"/>
  <c r="C51" i="37" s="1"/>
  <c r="E50" i="37"/>
  <c r="C50" i="37" s="1"/>
  <c r="E49" i="37"/>
  <c r="C49" i="37" s="1"/>
  <c r="E48" i="37"/>
  <c r="C48" i="37" s="1"/>
  <c r="E47" i="37"/>
  <c r="C47" i="37" s="1"/>
  <c r="E46" i="37"/>
  <c r="C46" i="37" s="1"/>
  <c r="E45" i="37"/>
  <c r="C45" i="37" s="1"/>
  <c r="E44" i="37"/>
  <c r="C44" i="37" s="1"/>
  <c r="E43" i="37"/>
  <c r="C43" i="37" s="1"/>
  <c r="E42" i="37"/>
  <c r="C42" i="37" s="1"/>
  <c r="E41" i="37"/>
  <c r="C41" i="37" s="1"/>
  <c r="E40" i="37"/>
  <c r="C40" i="37" s="1"/>
  <c r="E39" i="37"/>
  <c r="C39" i="37" s="1"/>
  <c r="E38" i="37"/>
  <c r="C38" i="37" s="1"/>
  <c r="E37" i="37"/>
  <c r="C37" i="37" s="1"/>
  <c r="E91" i="35"/>
  <c r="C91" i="35" s="1"/>
  <c r="E47" i="35"/>
  <c r="C47" i="35" s="1"/>
  <c r="E316" i="10"/>
  <c r="C316" i="10" s="1"/>
  <c r="E308" i="10"/>
  <c r="C308" i="10" s="1"/>
  <c r="E301" i="10"/>
  <c r="C301" i="10" s="1"/>
  <c r="E258" i="10"/>
  <c r="C258" i="10" s="1"/>
  <c r="E291" i="10"/>
  <c r="C291" i="10" s="1"/>
  <c r="E275" i="10"/>
  <c r="C275" i="10" s="1"/>
  <c r="E269" i="10"/>
  <c r="C269" i="10" s="1"/>
  <c r="E266" i="10"/>
  <c r="C266" i="10" s="1"/>
  <c r="E190" i="10"/>
  <c r="C190" i="10" s="1"/>
  <c r="E153" i="10"/>
  <c r="C153" i="10" s="1"/>
  <c r="E138" i="10"/>
  <c r="C138" i="10" s="1"/>
  <c r="E121" i="10"/>
  <c r="C121" i="10" s="1"/>
  <c r="E78" i="10"/>
  <c r="C78" i="10" s="1"/>
  <c r="E42" i="10"/>
  <c r="C42" i="10" s="1"/>
  <c r="E3" i="10"/>
  <c r="C3" i="10" s="1"/>
  <c r="E35" i="7"/>
  <c r="C35" i="7" s="1"/>
  <c r="E32" i="7"/>
  <c r="C32" i="7" s="1"/>
  <c r="E30" i="7"/>
  <c r="C30" i="7" s="1"/>
  <c r="E28" i="7"/>
  <c r="C28" i="7" s="1"/>
  <c r="E160" i="8"/>
  <c r="C160" i="8" s="1"/>
  <c r="E129" i="24"/>
  <c r="C129" i="24" s="1"/>
  <c r="E13" i="24"/>
  <c r="C13" i="24" s="1"/>
  <c r="E109" i="4"/>
  <c r="C109" i="4" s="1"/>
  <c r="E107" i="4"/>
  <c r="C107" i="4" s="1"/>
  <c r="E98" i="4"/>
  <c r="C98" i="4" s="1"/>
  <c r="D174" i="35" l="1"/>
  <c r="C173" i="35"/>
  <c r="D242" i="46"/>
  <c r="D243" i="46" s="1"/>
  <c r="B241" i="46"/>
  <c r="D165" i="46"/>
  <c r="D166" i="46" s="1"/>
  <c r="B164" i="46"/>
  <c r="D65" i="43"/>
  <c r="B64" i="43"/>
  <c r="E63" i="43"/>
  <c r="C63" i="43" s="1"/>
  <c r="B73" i="43"/>
  <c r="D32" i="43"/>
  <c r="D6" i="43"/>
  <c r="B5" i="43"/>
  <c r="B55" i="43"/>
  <c r="D56" i="43"/>
  <c r="D66" i="43"/>
  <c r="E65" i="43"/>
  <c r="C65" i="43" s="1"/>
  <c r="B65" i="43"/>
  <c r="D75" i="43"/>
  <c r="E74" i="43"/>
  <c r="C74" i="43" s="1"/>
  <c r="B74" i="43"/>
  <c r="E73" i="43"/>
  <c r="C73" i="43" s="1"/>
  <c r="B4" i="43"/>
  <c r="E64" i="43"/>
  <c r="C64" i="43" s="1"/>
  <c r="B54" i="43"/>
  <c r="F20" i="34"/>
  <c r="D167" i="8"/>
  <c r="B167" i="8" s="1"/>
  <c r="D75" i="37"/>
  <c r="D4" i="37"/>
  <c r="D109" i="37"/>
  <c r="E174" i="35" l="1"/>
  <c r="B174" i="35"/>
  <c r="E242" i="46"/>
  <c r="B242" i="46"/>
  <c r="E165" i="46"/>
  <c r="B165" i="46"/>
  <c r="B109" i="37"/>
  <c r="E109" i="37"/>
  <c r="C109" i="37" s="1"/>
  <c r="E75" i="37"/>
  <c r="C75" i="37" s="1"/>
  <c r="B75" i="37"/>
  <c r="D5" i="37"/>
  <c r="B4" i="37"/>
  <c r="D33" i="43"/>
  <c r="B32" i="43"/>
  <c r="D76" i="43"/>
  <c r="E75" i="43"/>
  <c r="C75" i="43" s="1"/>
  <c r="B75" i="43"/>
  <c r="B66" i="43"/>
  <c r="E66" i="43"/>
  <c r="C66" i="43" s="1"/>
  <c r="D57" i="43"/>
  <c r="D7" i="43"/>
  <c r="B6" i="43"/>
  <c r="D168" i="8"/>
  <c r="D76" i="37"/>
  <c r="D21" i="6"/>
  <c r="D4" i="36"/>
  <c r="D175" i="35" l="1"/>
  <c r="C174" i="35"/>
  <c r="C242" i="46"/>
  <c r="C165" i="46"/>
  <c r="B4" i="36"/>
  <c r="E4" i="36"/>
  <c r="C4" i="36" s="1"/>
  <c r="D22" i="6"/>
  <c r="B21" i="6"/>
  <c r="E21" i="6"/>
  <c r="C21" i="6" s="1"/>
  <c r="E76" i="37"/>
  <c r="C76" i="37" s="1"/>
  <c r="B76" i="37"/>
  <c r="D6" i="37"/>
  <c r="B5" i="37"/>
  <c r="D34" i="43"/>
  <c r="B33" i="43"/>
  <c r="D8" i="43"/>
  <c r="B7" i="43"/>
  <c r="E57" i="43"/>
  <c r="C57" i="43" s="1"/>
  <c r="B57" i="43"/>
  <c r="D77" i="43"/>
  <c r="E76" i="43"/>
  <c r="C76" i="43" s="1"/>
  <c r="B76" i="43"/>
  <c r="D169" i="8"/>
  <c r="B168" i="8"/>
  <c r="D77" i="37"/>
  <c r="D23" i="6"/>
  <c r="D5" i="36"/>
  <c r="E175" i="35" l="1"/>
  <c r="B175" i="35"/>
  <c r="D244" i="46"/>
  <c r="D245" i="46" s="1"/>
  <c r="B243" i="46"/>
  <c r="D167" i="46"/>
  <c r="D168" i="46" s="1"/>
  <c r="B166" i="46"/>
  <c r="B5" i="36"/>
  <c r="E5" i="36"/>
  <c r="C5" i="36" s="1"/>
  <c r="B23" i="6"/>
  <c r="E23" i="6"/>
  <c r="C23" i="6" s="1"/>
  <c r="B22" i="6"/>
  <c r="E22" i="6"/>
  <c r="C22" i="6" s="1"/>
  <c r="D7" i="37"/>
  <c r="B6" i="37"/>
  <c r="E77" i="37"/>
  <c r="C77" i="37" s="1"/>
  <c r="B77" i="37"/>
  <c r="B34" i="43"/>
  <c r="D35" i="43"/>
  <c r="E77" i="43"/>
  <c r="C77" i="43" s="1"/>
  <c r="B77" i="43"/>
  <c r="D9" i="43"/>
  <c r="B8" i="43"/>
  <c r="D170" i="8"/>
  <c r="B169" i="8"/>
  <c r="D78" i="37"/>
  <c r="D24" i="6"/>
  <c r="D6" i="36"/>
  <c r="D176" i="35" l="1"/>
  <c r="C175" i="35"/>
  <c r="E244" i="46"/>
  <c r="B244" i="46"/>
  <c r="E167" i="46"/>
  <c r="B167" i="46"/>
  <c r="B6" i="36"/>
  <c r="E6" i="36"/>
  <c r="C6" i="36" s="1"/>
  <c r="B24" i="6"/>
  <c r="E24" i="6"/>
  <c r="C24" i="6" s="1"/>
  <c r="B78" i="37"/>
  <c r="E78" i="37"/>
  <c r="C78" i="37" s="1"/>
  <c r="D8" i="37"/>
  <c r="B7" i="37"/>
  <c r="D36" i="43"/>
  <c r="B35" i="43"/>
  <c r="B9" i="43"/>
  <c r="D10" i="43"/>
  <c r="B170" i="8"/>
  <c r="D171" i="8"/>
  <c r="D79" i="37"/>
  <c r="D25" i="6"/>
  <c r="D7" i="36"/>
  <c r="E176" i="35" l="1"/>
  <c r="C176" i="35" s="1"/>
  <c r="B176" i="35"/>
  <c r="C244" i="46"/>
  <c r="C167" i="46"/>
  <c r="B7" i="36"/>
  <c r="E7" i="36"/>
  <c r="C7" i="36" s="1"/>
  <c r="E25" i="6"/>
  <c r="C25" i="6" s="1"/>
  <c r="B25" i="6"/>
  <c r="E79" i="37"/>
  <c r="C79" i="37" s="1"/>
  <c r="B79" i="37"/>
  <c r="D9" i="37"/>
  <c r="B8" i="37"/>
  <c r="D37" i="43"/>
  <c r="B36" i="43"/>
  <c r="B10" i="43"/>
  <c r="D11" i="43"/>
  <c r="B171" i="8"/>
  <c r="D172" i="8"/>
  <c r="D80" i="37"/>
  <c r="D26" i="6"/>
  <c r="D8" i="36"/>
  <c r="D246" i="46" l="1"/>
  <c r="D247" i="46" s="1"/>
  <c r="B245" i="46"/>
  <c r="D169" i="46"/>
  <c r="D170" i="46" s="1"/>
  <c r="B168" i="46"/>
  <c r="E8" i="36"/>
  <c r="C8" i="36" s="1"/>
  <c r="B8" i="36"/>
  <c r="E26" i="6"/>
  <c r="C26" i="6" s="1"/>
  <c r="B26" i="6"/>
  <c r="B80" i="37"/>
  <c r="E80" i="37"/>
  <c r="C80" i="37" s="1"/>
  <c r="D10" i="37"/>
  <c r="B9" i="37"/>
  <c r="D38" i="43"/>
  <c r="B37" i="43"/>
  <c r="D12" i="43"/>
  <c r="B11" i="43"/>
  <c r="B172" i="8"/>
  <c r="D173" i="8"/>
  <c r="B173" i="8" s="1"/>
  <c r="D81" i="37"/>
  <c r="D27" i="6"/>
  <c r="D9" i="36"/>
  <c r="E246" i="46" l="1"/>
  <c r="B246" i="46"/>
  <c r="E169" i="46"/>
  <c r="B169" i="46"/>
  <c r="E9" i="36"/>
  <c r="C9" i="36" s="1"/>
  <c r="B9" i="36"/>
  <c r="E27" i="6"/>
  <c r="C27" i="6" s="1"/>
  <c r="B27" i="6"/>
  <c r="B81" i="37"/>
  <c r="E81" i="37"/>
  <c r="C81" i="37" s="1"/>
  <c r="D11" i="37"/>
  <c r="B10" i="37"/>
  <c r="D39" i="43"/>
  <c r="B38" i="43"/>
  <c r="D13" i="43"/>
  <c r="B12" i="43"/>
  <c r="D82" i="37"/>
  <c r="D28" i="6"/>
  <c r="D10" i="36"/>
  <c r="C246" i="46" l="1"/>
  <c r="C169" i="46"/>
  <c r="E10" i="36"/>
  <c r="C10" i="36" s="1"/>
  <c r="B10" i="36"/>
  <c r="E28" i="6"/>
  <c r="C28" i="6" s="1"/>
  <c r="B28" i="6"/>
  <c r="B82" i="37"/>
  <c r="E82" i="37"/>
  <c r="C82" i="37" s="1"/>
  <c r="D12" i="37"/>
  <c r="B11" i="37"/>
  <c r="D40" i="43"/>
  <c r="B39" i="43"/>
  <c r="D14" i="43"/>
  <c r="B13" i="43"/>
  <c r="D83" i="37"/>
  <c r="D29" i="6"/>
  <c r="D11" i="36"/>
  <c r="D248" i="46" l="1"/>
  <c r="D249" i="46" s="1"/>
  <c r="B247" i="46"/>
  <c r="D171" i="46"/>
  <c r="D172" i="46" s="1"/>
  <c r="B170" i="46"/>
  <c r="E11" i="36"/>
  <c r="C11" i="36" s="1"/>
  <c r="B11" i="36"/>
  <c r="E29" i="6"/>
  <c r="C29" i="6" s="1"/>
  <c r="B29" i="6"/>
  <c r="B83" i="37"/>
  <c r="E83" i="37"/>
  <c r="C83" i="37" s="1"/>
  <c r="D13" i="37"/>
  <c r="B12" i="37"/>
  <c r="D41" i="43"/>
  <c r="B40" i="43"/>
  <c r="D15" i="43"/>
  <c r="B14" i="43"/>
  <c r="D84" i="37"/>
  <c r="D30" i="6"/>
  <c r="E248" i="46" l="1"/>
  <c r="B248" i="46"/>
  <c r="E171" i="46"/>
  <c r="B171" i="46"/>
  <c r="E30" i="6"/>
  <c r="C30" i="6" s="1"/>
  <c r="B30" i="6"/>
  <c r="B84" i="37"/>
  <c r="E84" i="37"/>
  <c r="C84" i="37" s="1"/>
  <c r="D14" i="37"/>
  <c r="B13" i="37"/>
  <c r="D42" i="43"/>
  <c r="B41" i="43"/>
  <c r="E41" i="43"/>
  <c r="C41" i="43" s="1"/>
  <c r="D16" i="43"/>
  <c r="B15" i="43"/>
  <c r="D85" i="37"/>
  <c r="D31" i="6"/>
  <c r="D13" i="36"/>
  <c r="C248" i="46" l="1"/>
  <c r="C171" i="46"/>
  <c r="E13" i="36"/>
  <c r="C13" i="36" s="1"/>
  <c r="B13" i="36"/>
  <c r="E31" i="6"/>
  <c r="C31" i="6" s="1"/>
  <c r="B31" i="6"/>
  <c r="B85" i="37"/>
  <c r="E85" i="37"/>
  <c r="C85" i="37" s="1"/>
  <c r="D15" i="37"/>
  <c r="B14" i="37"/>
  <c r="E42" i="43"/>
  <c r="C42" i="43" s="1"/>
  <c r="D43" i="43"/>
  <c r="B42" i="43"/>
  <c r="D17" i="43"/>
  <c r="B16" i="43"/>
  <c r="D86" i="37"/>
  <c r="D32" i="6"/>
  <c r="D14" i="36"/>
  <c r="B249" i="46" l="1"/>
  <c r="D250" i="46"/>
  <c r="D251" i="46" s="1"/>
  <c r="B172" i="46"/>
  <c r="D173" i="46"/>
  <c r="D174" i="46" s="1"/>
  <c r="E14" i="36"/>
  <c r="C14" i="36" s="1"/>
  <c r="B14" i="36"/>
  <c r="E32" i="6"/>
  <c r="C32" i="6" s="1"/>
  <c r="B32" i="6"/>
  <c r="D16" i="37"/>
  <c r="B15" i="37"/>
  <c r="B86" i="37"/>
  <c r="E86" i="37"/>
  <c r="C86" i="37" s="1"/>
  <c r="B43" i="43"/>
  <c r="D44" i="43"/>
  <c r="E43" i="43"/>
  <c r="C43" i="43" s="1"/>
  <c r="D18" i="43"/>
  <c r="B17" i="43"/>
  <c r="D87" i="37"/>
  <c r="D33" i="6"/>
  <c r="D15" i="36"/>
  <c r="B250" i="46" l="1"/>
  <c r="E250" i="46"/>
  <c r="B173" i="46"/>
  <c r="E173" i="46"/>
  <c r="E15" i="36"/>
  <c r="C15" i="36" s="1"/>
  <c r="B15" i="36"/>
  <c r="B33" i="6"/>
  <c r="E33" i="6"/>
  <c r="C33" i="6" s="1"/>
  <c r="B87" i="37"/>
  <c r="E87" i="37"/>
  <c r="C87" i="37" s="1"/>
  <c r="D17" i="37"/>
  <c r="B16" i="37"/>
  <c r="E44" i="43"/>
  <c r="C44" i="43" s="1"/>
  <c r="D45" i="43"/>
  <c r="B44" i="43"/>
  <c r="D19" i="43"/>
  <c r="B18" i="43"/>
  <c r="D88" i="37"/>
  <c r="D34" i="6"/>
  <c r="D16" i="36"/>
  <c r="C250" i="46" l="1"/>
  <c r="C173" i="46"/>
  <c r="E16" i="36"/>
  <c r="C16" i="36" s="1"/>
  <c r="B16" i="36"/>
  <c r="B34" i="6"/>
  <c r="E34" i="6"/>
  <c r="C34" i="6" s="1"/>
  <c r="B88" i="37"/>
  <c r="E88" i="37"/>
  <c r="C88" i="37" s="1"/>
  <c r="D18" i="37"/>
  <c r="B17" i="37"/>
  <c r="D46" i="43"/>
  <c r="E45" i="43"/>
  <c r="C45" i="43" s="1"/>
  <c r="B45" i="43"/>
  <c r="D20" i="43"/>
  <c r="B19" i="43"/>
  <c r="D89" i="37"/>
  <c r="D35" i="6"/>
  <c r="D17" i="36"/>
  <c r="D252" i="46" l="1"/>
  <c r="D253" i="46" s="1"/>
  <c r="B251" i="46"/>
  <c r="D175" i="46"/>
  <c r="D176" i="46" s="1"/>
  <c r="B174" i="46"/>
  <c r="E17" i="36"/>
  <c r="C17" i="36" s="1"/>
  <c r="B17" i="36"/>
  <c r="B35" i="6"/>
  <c r="E35" i="6"/>
  <c r="C35" i="6" s="1"/>
  <c r="B89" i="37"/>
  <c r="E89" i="37"/>
  <c r="C89" i="37" s="1"/>
  <c r="D19" i="37"/>
  <c r="B18" i="37"/>
  <c r="D47" i="43"/>
  <c r="E46" i="43"/>
  <c r="C46" i="43" s="1"/>
  <c r="B46" i="43"/>
  <c r="D21" i="43"/>
  <c r="B20" i="43"/>
  <c r="D90" i="37"/>
  <c r="D36" i="6"/>
  <c r="D18" i="36"/>
  <c r="E252" i="46" l="1"/>
  <c r="B252" i="46"/>
  <c r="E175" i="46"/>
  <c r="B175" i="46"/>
  <c r="E18" i="36"/>
  <c r="C18" i="36" s="1"/>
  <c r="B18" i="36"/>
  <c r="E36" i="6"/>
  <c r="C36" i="6" s="1"/>
  <c r="B36" i="6"/>
  <c r="B90" i="37"/>
  <c r="E90" i="37"/>
  <c r="C90" i="37" s="1"/>
  <c r="D20" i="37"/>
  <c r="B19" i="37"/>
  <c r="D48" i="43"/>
  <c r="E47" i="43"/>
  <c r="C47" i="43" s="1"/>
  <c r="B47" i="43"/>
  <c r="B21" i="43"/>
  <c r="D22" i="43"/>
  <c r="D91" i="37"/>
  <c r="D37" i="6"/>
  <c r="D19" i="36"/>
  <c r="C252" i="46" l="1"/>
  <c r="C175" i="46"/>
  <c r="E19" i="36"/>
  <c r="C19" i="36" s="1"/>
  <c r="B19" i="36"/>
  <c r="E37" i="6"/>
  <c r="C37" i="6" s="1"/>
  <c r="B37" i="6"/>
  <c r="E91" i="37"/>
  <c r="C91" i="37" s="1"/>
  <c r="B91" i="37"/>
  <c r="D21" i="37"/>
  <c r="B20" i="37"/>
  <c r="D49" i="43"/>
  <c r="E48" i="43"/>
  <c r="C48" i="43" s="1"/>
  <c r="B48" i="43"/>
  <c r="D23" i="43"/>
  <c r="B22" i="43"/>
  <c r="D92" i="37"/>
  <c r="D38" i="6"/>
  <c r="D20" i="36"/>
  <c r="D254" i="46" l="1"/>
  <c r="D255" i="46" s="1"/>
  <c r="B253" i="46"/>
  <c r="D177" i="46"/>
  <c r="D178" i="46" s="1"/>
  <c r="B176" i="46"/>
  <c r="E20" i="36"/>
  <c r="C20" i="36" s="1"/>
  <c r="B20" i="36"/>
  <c r="E38" i="6"/>
  <c r="C38" i="6" s="1"/>
  <c r="B38" i="6"/>
  <c r="D22" i="37"/>
  <c r="B21" i="37"/>
  <c r="E92" i="37"/>
  <c r="C92" i="37" s="1"/>
  <c r="B92" i="37"/>
  <c r="B49" i="43"/>
  <c r="E49" i="43"/>
  <c r="C49" i="43" s="1"/>
  <c r="D24" i="43"/>
  <c r="B23" i="43"/>
  <c r="D93" i="37"/>
  <c r="D39" i="6"/>
  <c r="D21" i="36"/>
  <c r="E254" i="46" l="1"/>
  <c r="B254" i="46"/>
  <c r="E177" i="46"/>
  <c r="B177" i="46"/>
  <c r="E21" i="36"/>
  <c r="C21" i="36" s="1"/>
  <c r="B21" i="36"/>
  <c r="E39" i="6"/>
  <c r="C39" i="6" s="1"/>
  <c r="B39" i="6"/>
  <c r="E93" i="37"/>
  <c r="C93" i="37" s="1"/>
  <c r="B93" i="37"/>
  <c r="D23" i="37"/>
  <c r="B22" i="37"/>
  <c r="D25" i="43"/>
  <c r="B24" i="43"/>
  <c r="D94" i="37"/>
  <c r="D40" i="6"/>
  <c r="D22" i="36"/>
  <c r="C254" i="46" l="1"/>
  <c r="C177" i="46"/>
  <c r="E22" i="36"/>
  <c r="C22" i="36" s="1"/>
  <c r="B22" i="36"/>
  <c r="B40" i="6"/>
  <c r="E40" i="6"/>
  <c r="C40" i="6" s="1"/>
  <c r="D24" i="37"/>
  <c r="B23" i="37"/>
  <c r="E94" i="37"/>
  <c r="C94" i="37" s="1"/>
  <c r="B94" i="37"/>
  <c r="D26" i="43"/>
  <c r="B25" i="43"/>
  <c r="D95" i="37"/>
  <c r="D41" i="6"/>
  <c r="D23" i="36"/>
  <c r="B255" i="46" l="1"/>
  <c r="D256" i="46"/>
  <c r="D257" i="46" s="1"/>
  <c r="B178" i="46"/>
  <c r="D179" i="46"/>
  <c r="D180" i="46" s="1"/>
  <c r="E23" i="36"/>
  <c r="C23" i="36" s="1"/>
  <c r="B23" i="36"/>
  <c r="B41" i="6"/>
  <c r="E41" i="6"/>
  <c r="C41" i="6" s="1"/>
  <c r="E95" i="37"/>
  <c r="C95" i="37" s="1"/>
  <c r="B95" i="37"/>
  <c r="D25" i="37"/>
  <c r="B24" i="37"/>
  <c r="D27" i="43"/>
  <c r="B27" i="43" s="1"/>
  <c r="B26" i="43"/>
  <c r="D96" i="37"/>
  <c r="D42" i="6"/>
  <c r="D24" i="36"/>
  <c r="E256" i="46" l="1"/>
  <c r="B256" i="46"/>
  <c r="E179" i="46"/>
  <c r="B179" i="46"/>
  <c r="E24" i="36"/>
  <c r="C24" i="36" s="1"/>
  <c r="B24" i="36"/>
  <c r="B42" i="6"/>
  <c r="E42" i="6"/>
  <c r="C42" i="6" s="1"/>
  <c r="E96" i="37"/>
  <c r="C96" i="37" s="1"/>
  <c r="B96" i="37"/>
  <c r="D26" i="37"/>
  <c r="B25" i="37"/>
  <c r="D97" i="37"/>
  <c r="D110" i="37"/>
  <c r="B110" i="37" s="1"/>
  <c r="D43" i="6"/>
  <c r="D25" i="36"/>
  <c r="C256" i="46" l="1"/>
  <c r="C179" i="46"/>
  <c r="E25" i="36"/>
  <c r="C25" i="36" s="1"/>
  <c r="B25" i="36"/>
  <c r="B43" i="6"/>
  <c r="E43" i="6"/>
  <c r="C43" i="6" s="1"/>
  <c r="D27" i="37"/>
  <c r="B26" i="37"/>
  <c r="B97" i="37"/>
  <c r="E97" i="37"/>
  <c r="C97" i="37" s="1"/>
  <c r="D98" i="37"/>
  <c r="D111" i="37"/>
  <c r="B111" i="37" s="1"/>
  <c r="D44" i="6"/>
  <c r="D26" i="36"/>
  <c r="D258" i="46" l="1"/>
  <c r="D259" i="46" s="1"/>
  <c r="B257" i="46"/>
  <c r="D181" i="46"/>
  <c r="D182" i="46" s="1"/>
  <c r="B180" i="46"/>
  <c r="E26" i="36"/>
  <c r="C26" i="36" s="1"/>
  <c r="B26" i="36"/>
  <c r="B44" i="6"/>
  <c r="E44" i="6"/>
  <c r="C44" i="6" s="1"/>
  <c r="B98" i="37"/>
  <c r="E98" i="37"/>
  <c r="C98" i="37" s="1"/>
  <c r="D28" i="37"/>
  <c r="B27" i="37"/>
  <c r="D99" i="37"/>
  <c r="D112" i="37"/>
  <c r="D45" i="6"/>
  <c r="D27" i="36"/>
  <c r="E258" i="46" l="1"/>
  <c r="B258" i="46"/>
  <c r="E181" i="46"/>
  <c r="B181" i="46"/>
  <c r="E27" i="36"/>
  <c r="C27" i="36" s="1"/>
  <c r="B27" i="36"/>
  <c r="B45" i="6"/>
  <c r="E45" i="6"/>
  <c r="C45" i="6" s="1"/>
  <c r="D113" i="37"/>
  <c r="B112" i="37"/>
  <c r="B99" i="37"/>
  <c r="E99" i="37"/>
  <c r="C99" i="37" s="1"/>
  <c r="D29" i="37"/>
  <c r="B28" i="37"/>
  <c r="D100" i="37"/>
  <c r="D46" i="6"/>
  <c r="D28" i="36"/>
  <c r="C258" i="46" l="1"/>
  <c r="C181" i="46"/>
  <c r="E28" i="36"/>
  <c r="C28" i="36" s="1"/>
  <c r="B28" i="36"/>
  <c r="B46" i="6"/>
  <c r="E46" i="6"/>
  <c r="C46" i="6" s="1"/>
  <c r="E100" i="37"/>
  <c r="C100" i="37" s="1"/>
  <c r="B100" i="37"/>
  <c r="D30" i="37"/>
  <c r="B29" i="37"/>
  <c r="B113" i="37"/>
  <c r="E113" i="37"/>
  <c r="C113" i="37" s="1"/>
  <c r="D101" i="37"/>
  <c r="D116" i="37"/>
  <c r="D47" i="6"/>
  <c r="D29" i="36"/>
  <c r="D260" i="46" l="1"/>
  <c r="D261" i="46" s="1"/>
  <c r="B259" i="46"/>
  <c r="D183" i="46"/>
  <c r="D184" i="46" s="1"/>
  <c r="B182" i="46"/>
  <c r="E29" i="36"/>
  <c r="C29" i="36" s="1"/>
  <c r="B29" i="36"/>
  <c r="B47" i="6"/>
  <c r="E47" i="6"/>
  <c r="C47" i="6" s="1"/>
  <c r="E116" i="37"/>
  <c r="C116" i="37" s="1"/>
  <c r="B116" i="37"/>
  <c r="D31" i="37"/>
  <c r="B30" i="37"/>
  <c r="B101" i="37"/>
  <c r="E101" i="37"/>
  <c r="C101" i="37" s="1"/>
  <c r="D102" i="37"/>
  <c r="D48" i="6"/>
  <c r="D30" i="36"/>
  <c r="E260" i="46" l="1"/>
  <c r="B260" i="46"/>
  <c r="E183" i="46"/>
  <c r="B183" i="46"/>
  <c r="E30" i="36"/>
  <c r="C30" i="36" s="1"/>
  <c r="B30" i="36"/>
  <c r="E48" i="6"/>
  <c r="C48" i="6" s="1"/>
  <c r="B48" i="6"/>
  <c r="B102" i="37"/>
  <c r="E102" i="37"/>
  <c r="C102" i="37" s="1"/>
  <c r="D32" i="37"/>
  <c r="B31" i="37"/>
  <c r="D103" i="37"/>
  <c r="D117" i="37"/>
  <c r="D49" i="6"/>
  <c r="D31" i="36"/>
  <c r="C260" i="46" l="1"/>
  <c r="C183" i="46"/>
  <c r="E31" i="36"/>
  <c r="C31" i="36" s="1"/>
  <c r="B31" i="36"/>
  <c r="E49" i="6"/>
  <c r="C49" i="6" s="1"/>
  <c r="B49" i="6"/>
  <c r="E117" i="37"/>
  <c r="C117" i="37" s="1"/>
  <c r="B117" i="37"/>
  <c r="E103" i="37"/>
  <c r="C103" i="37" s="1"/>
  <c r="B103" i="37"/>
  <c r="D33" i="37"/>
  <c r="B32" i="37"/>
  <c r="D104" i="37"/>
  <c r="D50" i="6"/>
  <c r="D32" i="36"/>
  <c r="D262" i="46" l="1"/>
  <c r="D263" i="46" s="1"/>
  <c r="B261" i="46"/>
  <c r="D185" i="46"/>
  <c r="D186" i="46" s="1"/>
  <c r="B184" i="46"/>
  <c r="E32" i="36"/>
  <c r="C32" i="36" s="1"/>
  <c r="B32" i="36"/>
  <c r="E50" i="6"/>
  <c r="C50" i="6" s="1"/>
  <c r="B50" i="6"/>
  <c r="B104" i="37"/>
  <c r="E104" i="37"/>
  <c r="C104" i="37" s="1"/>
  <c r="D34" i="37"/>
  <c r="B34" i="37" s="1"/>
  <c r="B33" i="37"/>
  <c r="D105" i="37"/>
  <c r="D51" i="6"/>
  <c r="D33" i="36"/>
  <c r="E262" i="46" l="1"/>
  <c r="B262" i="46"/>
  <c r="E185" i="46"/>
  <c r="B185" i="46"/>
  <c r="E33" i="36"/>
  <c r="C33" i="36" s="1"/>
  <c r="B33" i="36"/>
  <c r="E51" i="6"/>
  <c r="C51" i="6" s="1"/>
  <c r="B51" i="6"/>
  <c r="B105" i="37"/>
  <c r="E105" i="37"/>
  <c r="C105" i="37" s="1"/>
  <c r="D52" i="6"/>
  <c r="D34" i="36"/>
  <c r="C262" i="46" l="1"/>
  <c r="C185" i="46"/>
  <c r="E34" i="36"/>
  <c r="C34" i="36" s="1"/>
  <c r="B34" i="36"/>
  <c r="E52" i="6"/>
  <c r="C52" i="6" s="1"/>
  <c r="B52" i="6"/>
  <c r="D53" i="6"/>
  <c r="D35" i="36"/>
  <c r="D264" i="46" l="1"/>
  <c r="D265" i="46" s="1"/>
  <c r="B263" i="46"/>
  <c r="D187" i="46"/>
  <c r="D188" i="46" s="1"/>
  <c r="B186" i="46"/>
  <c r="E35" i="36"/>
  <c r="C35" i="36" s="1"/>
  <c r="B35" i="36"/>
  <c r="E53" i="6"/>
  <c r="C53" i="6" s="1"/>
  <c r="B53" i="6"/>
  <c r="D54" i="6"/>
  <c r="D36" i="36"/>
  <c r="E264" i="46" l="1"/>
  <c r="B264" i="46"/>
  <c r="E187" i="46"/>
  <c r="B187" i="46"/>
  <c r="E36" i="36"/>
  <c r="C36" i="36" s="1"/>
  <c r="B36" i="36"/>
  <c r="E54" i="6"/>
  <c r="C54" i="6" s="1"/>
  <c r="B54" i="6"/>
  <c r="D55" i="6"/>
  <c r="D37" i="36"/>
  <c r="C264" i="46" l="1"/>
  <c r="C187" i="46"/>
  <c r="E37" i="36"/>
  <c r="C37" i="36" s="1"/>
  <c r="B37" i="36"/>
  <c r="E55" i="6"/>
  <c r="C55" i="6" s="1"/>
  <c r="B55" i="6"/>
  <c r="D56" i="6"/>
  <c r="D38" i="36"/>
  <c r="B265" i="46" l="1"/>
  <c r="D266" i="46"/>
  <c r="D267" i="46" s="1"/>
  <c r="B188" i="46"/>
  <c r="D189" i="46"/>
  <c r="D190" i="46" s="1"/>
  <c r="E38" i="36"/>
  <c r="C38" i="36" s="1"/>
  <c r="B38" i="36"/>
  <c r="B56" i="6"/>
  <c r="E56" i="6"/>
  <c r="C56" i="6" s="1"/>
  <c r="D57" i="6"/>
  <c r="D39" i="36"/>
  <c r="B266" i="46" l="1"/>
  <c r="E266" i="46"/>
  <c r="B189" i="46"/>
  <c r="E189" i="46"/>
  <c r="E39" i="36"/>
  <c r="C39" i="36" s="1"/>
  <c r="B39" i="36"/>
  <c r="B57" i="6"/>
  <c r="E57" i="6"/>
  <c r="C57" i="6" s="1"/>
  <c r="D58" i="6"/>
  <c r="D40" i="36"/>
  <c r="C266" i="46" l="1"/>
  <c r="C189" i="46"/>
  <c r="E40" i="36"/>
  <c r="C40" i="36" s="1"/>
  <c r="B40" i="36"/>
  <c r="B58" i="6"/>
  <c r="E58" i="6"/>
  <c r="C58" i="6" s="1"/>
  <c r="D59" i="6"/>
  <c r="D41" i="36"/>
  <c r="D268" i="46" l="1"/>
  <c r="D269" i="46" s="1"/>
  <c r="B267" i="46"/>
  <c r="D191" i="46"/>
  <c r="D192" i="46" s="1"/>
  <c r="B190" i="46"/>
  <c r="E41" i="36"/>
  <c r="C41" i="36" s="1"/>
  <c r="B41" i="36"/>
  <c r="B59" i="6"/>
  <c r="E59" i="6"/>
  <c r="C59" i="6" s="1"/>
  <c r="D60" i="6"/>
  <c r="D42" i="36"/>
  <c r="E268" i="46" l="1"/>
  <c r="B268" i="46"/>
  <c r="E191" i="46"/>
  <c r="B191" i="46"/>
  <c r="E42" i="36"/>
  <c r="C42" i="36" s="1"/>
  <c r="B42" i="36"/>
  <c r="E60" i="6"/>
  <c r="C60" i="6" s="1"/>
  <c r="B60" i="6"/>
  <c r="D61" i="6"/>
  <c r="D43" i="36"/>
  <c r="C268" i="46" l="1"/>
  <c r="C191" i="46"/>
  <c r="E43" i="36"/>
  <c r="C43" i="36" s="1"/>
  <c r="B43" i="36"/>
  <c r="E61" i="6"/>
  <c r="C61" i="6" s="1"/>
  <c r="B61" i="6"/>
  <c r="D62" i="6"/>
  <c r="D44" i="36"/>
  <c r="D270" i="46" l="1"/>
  <c r="D271" i="46" s="1"/>
  <c r="B269" i="46"/>
  <c r="D193" i="46"/>
  <c r="D194" i="46" s="1"/>
  <c r="B192" i="46"/>
  <c r="E44" i="36"/>
  <c r="C44" i="36" s="1"/>
  <c r="B44" i="36"/>
  <c r="E62" i="6"/>
  <c r="C62" i="6" s="1"/>
  <c r="B62" i="6"/>
  <c r="D63" i="6"/>
  <c r="D45" i="36"/>
  <c r="E270" i="46" l="1"/>
  <c r="B270" i="46"/>
  <c r="E193" i="46"/>
  <c r="B193" i="46"/>
  <c r="E45" i="36"/>
  <c r="C45" i="36" s="1"/>
  <c r="B45" i="36"/>
  <c r="E63" i="6"/>
  <c r="C63" i="6" s="1"/>
  <c r="B63" i="6"/>
  <c r="D64" i="6"/>
  <c r="D46" i="36"/>
  <c r="C270" i="46" l="1"/>
  <c r="C193" i="46"/>
  <c r="E46" i="36"/>
  <c r="C46" i="36" s="1"/>
  <c r="B46" i="36"/>
  <c r="E64" i="6"/>
  <c r="C64" i="6" s="1"/>
  <c r="B64" i="6"/>
  <c r="D65" i="6"/>
  <c r="D47" i="36"/>
  <c r="B271" i="46" l="1"/>
  <c r="D272" i="46"/>
  <c r="D273" i="46" s="1"/>
  <c r="B194" i="46"/>
  <c r="D195" i="46"/>
  <c r="D196" i="46" s="1"/>
  <c r="E47" i="36"/>
  <c r="C47" i="36" s="1"/>
  <c r="B47" i="36"/>
  <c r="B65" i="6"/>
  <c r="E65" i="6"/>
  <c r="C65" i="6" s="1"/>
  <c r="D66" i="6"/>
  <c r="D48" i="36"/>
  <c r="E272" i="46" l="1"/>
  <c r="B272" i="46"/>
  <c r="E195" i="46"/>
  <c r="B195" i="46"/>
  <c r="E48" i="36"/>
  <c r="C48" i="36" s="1"/>
  <c r="B48" i="36"/>
  <c r="B66" i="6"/>
  <c r="E66" i="6"/>
  <c r="C66" i="6" s="1"/>
  <c r="D67" i="6"/>
  <c r="D49" i="36"/>
  <c r="C272" i="46" l="1"/>
  <c r="C195" i="46"/>
  <c r="E49" i="36"/>
  <c r="C49" i="36" s="1"/>
  <c r="B49" i="36"/>
  <c r="B67" i="6"/>
  <c r="E67" i="6"/>
  <c r="C67" i="6" s="1"/>
  <c r="D68" i="6"/>
  <c r="D50" i="36"/>
  <c r="D274" i="46" l="1"/>
  <c r="D275" i="46" s="1"/>
  <c r="B273" i="46"/>
  <c r="D197" i="46"/>
  <c r="D198" i="46" s="1"/>
  <c r="B196" i="46"/>
  <c r="E50" i="36"/>
  <c r="C50" i="36" s="1"/>
  <c r="B50" i="36"/>
  <c r="B68" i="6"/>
  <c r="E68" i="6"/>
  <c r="C68" i="6" s="1"/>
  <c r="D69" i="6"/>
  <c r="D52" i="36"/>
  <c r="E274" i="46" l="1"/>
  <c r="B274" i="46"/>
  <c r="E197" i="46"/>
  <c r="B197" i="46"/>
  <c r="E52" i="36"/>
  <c r="C52" i="36" s="1"/>
  <c r="B52" i="36"/>
  <c r="B69" i="6"/>
  <c r="E69" i="6"/>
  <c r="C69" i="6" s="1"/>
  <c r="D70" i="6"/>
  <c r="D53" i="36"/>
  <c r="C274" i="46" l="1"/>
  <c r="C197" i="46"/>
  <c r="E53" i="36"/>
  <c r="C53" i="36" s="1"/>
  <c r="B53" i="36"/>
  <c r="B70" i="6"/>
  <c r="E70" i="6"/>
  <c r="C70" i="6" s="1"/>
  <c r="D71" i="6"/>
  <c r="D54" i="36"/>
  <c r="D276" i="46" l="1"/>
  <c r="B275" i="46"/>
  <c r="D199" i="46"/>
  <c r="B198" i="46"/>
  <c r="E54" i="36"/>
  <c r="C54" i="36" s="1"/>
  <c r="B54" i="36"/>
  <c r="B71" i="6"/>
  <c r="E71" i="6"/>
  <c r="C71" i="6" s="1"/>
  <c r="D72" i="6"/>
  <c r="D55" i="36"/>
  <c r="E276" i="46" l="1"/>
  <c r="C276" i="46" s="1"/>
  <c r="B276" i="46"/>
  <c r="E199" i="46"/>
  <c r="C199" i="46" s="1"/>
  <c r="B199" i="46"/>
  <c r="E55" i="36"/>
  <c r="C55" i="36" s="1"/>
  <c r="B55" i="36"/>
  <c r="B72" i="6"/>
  <c r="E72" i="6"/>
  <c r="C72" i="6" s="1"/>
  <c r="D73" i="6"/>
  <c r="D56" i="36"/>
  <c r="E56" i="36" l="1"/>
  <c r="C56" i="36" s="1"/>
  <c r="B56" i="36"/>
  <c r="E73" i="6"/>
  <c r="C73" i="6" s="1"/>
  <c r="B73" i="6"/>
  <c r="D74" i="6"/>
  <c r="D57" i="36"/>
  <c r="E57" i="36" l="1"/>
  <c r="C57" i="36" s="1"/>
  <c r="B57" i="36"/>
  <c r="E74" i="6"/>
  <c r="C74" i="6" s="1"/>
  <c r="B74" i="6"/>
  <c r="D75" i="6"/>
  <c r="D58" i="36"/>
  <c r="E58" i="36" l="1"/>
  <c r="C58" i="36" s="1"/>
  <c r="B58" i="36"/>
  <c r="E75" i="6"/>
  <c r="C75" i="6" s="1"/>
  <c r="B75" i="6"/>
  <c r="D76" i="6"/>
  <c r="D59" i="36"/>
  <c r="E59" i="36" l="1"/>
  <c r="C59" i="36" s="1"/>
  <c r="B59" i="36"/>
  <c r="E76" i="6"/>
  <c r="C76" i="6" s="1"/>
  <c r="B76" i="6"/>
  <c r="D77" i="6"/>
  <c r="D60" i="36"/>
  <c r="E60" i="36" l="1"/>
  <c r="C60" i="36" s="1"/>
  <c r="B60" i="36"/>
  <c r="E77" i="6"/>
  <c r="C77" i="6" s="1"/>
  <c r="B77" i="6"/>
  <c r="D78" i="6"/>
  <c r="D62" i="36"/>
  <c r="E62" i="36" l="1"/>
  <c r="C62" i="36" s="1"/>
  <c r="B62" i="36"/>
  <c r="E78" i="6"/>
  <c r="C78" i="6" s="1"/>
  <c r="B78" i="6"/>
  <c r="D79" i="6"/>
  <c r="D63" i="36"/>
  <c r="E63" i="36" l="1"/>
  <c r="C63" i="36" s="1"/>
  <c r="B63" i="36"/>
  <c r="E79" i="6"/>
  <c r="C79" i="6" s="1"/>
  <c r="B79" i="6"/>
  <c r="D80" i="6"/>
  <c r="D64" i="36"/>
  <c r="E64" i="36" l="1"/>
  <c r="C64" i="36" s="1"/>
  <c r="B64" i="36"/>
  <c r="B80" i="6"/>
  <c r="E80" i="6"/>
  <c r="C80" i="6" s="1"/>
  <c r="D81" i="6"/>
  <c r="D65" i="36"/>
  <c r="E65" i="36" l="1"/>
  <c r="C65" i="36" s="1"/>
  <c r="B65" i="36"/>
  <c r="B81" i="6"/>
  <c r="E81" i="6"/>
  <c r="C81" i="6" s="1"/>
  <c r="D82" i="6"/>
  <c r="D66" i="36"/>
  <c r="E66" i="36" l="1"/>
  <c r="C66" i="36" s="1"/>
  <c r="B66" i="36"/>
  <c r="B82" i="6"/>
  <c r="E82" i="6"/>
  <c r="C82" i="6" s="1"/>
  <c r="D83" i="6"/>
  <c r="D67" i="36"/>
  <c r="E67" i="36" l="1"/>
  <c r="C67" i="36" s="1"/>
  <c r="B67" i="36"/>
  <c r="B83" i="6"/>
  <c r="E83" i="6"/>
  <c r="C83" i="6" s="1"/>
  <c r="D84" i="6"/>
  <c r="D68" i="36"/>
  <c r="E68" i="36" l="1"/>
  <c r="C68" i="36" s="1"/>
  <c r="B68" i="36"/>
  <c r="E84" i="6"/>
  <c r="C84" i="6" s="1"/>
  <c r="B84" i="6"/>
  <c r="D85" i="6"/>
  <c r="D69" i="36"/>
  <c r="E69" i="36" l="1"/>
  <c r="C69" i="36" s="1"/>
  <c r="B69" i="36"/>
  <c r="E85" i="6"/>
  <c r="C85" i="6" s="1"/>
  <c r="B85" i="6"/>
  <c r="D86" i="6"/>
  <c r="D70" i="36"/>
  <c r="E70" i="36" l="1"/>
  <c r="C70" i="36" s="1"/>
  <c r="B70" i="36"/>
  <c r="E86" i="6"/>
  <c r="C86" i="6" s="1"/>
  <c r="B86" i="6"/>
  <c r="D87" i="6"/>
  <c r="D72" i="36"/>
  <c r="E72" i="36" l="1"/>
  <c r="C72" i="36" s="1"/>
  <c r="B72" i="36"/>
  <c r="E87" i="6"/>
  <c r="C87" i="6" s="1"/>
  <c r="B87" i="6"/>
  <c r="D88" i="6"/>
  <c r="D73" i="36"/>
  <c r="E73" i="36" l="1"/>
  <c r="C73" i="36" s="1"/>
  <c r="B73" i="36"/>
  <c r="B88" i="6"/>
  <c r="E88" i="6"/>
  <c r="C88" i="6" s="1"/>
  <c r="D89" i="6"/>
  <c r="B89" i="6" s="1"/>
  <c r="D74" i="36"/>
  <c r="E74" i="36" l="1"/>
  <c r="C74" i="36" s="1"/>
  <c r="B74" i="36"/>
  <c r="D90" i="6"/>
  <c r="B90" i="6" s="1"/>
  <c r="D75" i="36"/>
  <c r="E75" i="36" l="1"/>
  <c r="C75" i="36" s="1"/>
  <c r="B75" i="36"/>
  <c r="D91" i="6"/>
  <c r="B91" i="6" s="1"/>
  <c r="D76" i="36"/>
  <c r="E76" i="36" l="1"/>
  <c r="C76" i="36" s="1"/>
  <c r="B76" i="36"/>
  <c r="D77" i="36"/>
  <c r="E77" i="36" l="1"/>
  <c r="C77" i="36" s="1"/>
  <c r="B77" i="36"/>
  <c r="D78" i="36"/>
  <c r="E78" i="36" l="1"/>
  <c r="C78" i="36" s="1"/>
  <c r="B78" i="36"/>
  <c r="D79" i="36"/>
  <c r="E79" i="36" l="1"/>
  <c r="C79" i="36" s="1"/>
  <c r="B79" i="36"/>
  <c r="D80" i="36"/>
  <c r="E80" i="36" l="1"/>
  <c r="C80" i="36" s="1"/>
  <c r="B80" i="36"/>
  <c r="D81" i="36"/>
  <c r="E81" i="36" l="1"/>
  <c r="C81" i="36" s="1"/>
  <c r="B81" i="36"/>
  <c r="D82" i="36"/>
  <c r="E82" i="36" l="1"/>
  <c r="C82" i="36" s="1"/>
  <c r="B82" i="36"/>
  <c r="D83" i="36"/>
  <c r="E83" i="36" l="1"/>
  <c r="C83" i="36" s="1"/>
  <c r="B83" i="36"/>
  <c r="D84" i="36"/>
  <c r="E84" i="36" l="1"/>
  <c r="C84" i="36" s="1"/>
  <c r="B84" i="36"/>
  <c r="D85" i="36"/>
  <c r="E85" i="36" l="1"/>
  <c r="C85" i="36" s="1"/>
  <c r="B85" i="36"/>
  <c r="D86" i="36"/>
  <c r="E86" i="36" l="1"/>
  <c r="C86" i="36" s="1"/>
  <c r="B86" i="36"/>
  <c r="D87" i="36"/>
  <c r="E87" i="36" l="1"/>
  <c r="C87" i="36" s="1"/>
  <c r="B87" i="36"/>
  <c r="D88" i="36"/>
  <c r="E88" i="36" l="1"/>
  <c r="C88" i="36" s="1"/>
  <c r="B88" i="36"/>
  <c r="D90" i="36"/>
  <c r="E90" i="36" l="1"/>
  <c r="C90" i="36" s="1"/>
  <c r="B90" i="36"/>
  <c r="D91" i="36"/>
  <c r="E91" i="36" l="1"/>
  <c r="C91" i="36" s="1"/>
  <c r="B91" i="36"/>
  <c r="D92" i="36"/>
  <c r="E92" i="36" l="1"/>
  <c r="C92" i="36" s="1"/>
  <c r="B92" i="36"/>
  <c r="D99" i="4"/>
  <c r="D87" i="4"/>
  <c r="D26" i="4"/>
  <c r="D5" i="4"/>
  <c r="D48" i="35"/>
  <c r="D92" i="35"/>
  <c r="D4" i="35"/>
  <c r="D5" i="35" l="1"/>
  <c r="B4" i="35"/>
  <c r="B92" i="35"/>
  <c r="E92" i="35"/>
  <c r="C92" i="35" s="1"/>
  <c r="B48" i="35"/>
  <c r="E48" i="35"/>
  <c r="C48" i="35" s="1"/>
  <c r="D89" i="4"/>
  <c r="B89" i="4" s="1"/>
  <c r="B87" i="4"/>
  <c r="D7" i="4"/>
  <c r="B7" i="4" s="1"/>
  <c r="B5" i="4"/>
  <c r="D28" i="4"/>
  <c r="B28" i="4" s="1"/>
  <c r="B26" i="4"/>
  <c r="E99" i="4"/>
  <c r="C99" i="4" s="1"/>
  <c r="B99" i="4"/>
  <c r="D91" i="4"/>
  <c r="B91" i="4" s="1"/>
  <c r="D9" i="4"/>
  <c r="B9" i="4" s="1"/>
  <c r="D93" i="35"/>
  <c r="D49" i="35"/>
  <c r="D30" i="4" l="1"/>
  <c r="B30" i="4" s="1"/>
  <c r="B49" i="35"/>
  <c r="E49" i="35"/>
  <c r="C49" i="35" s="1"/>
  <c r="D94" i="35"/>
  <c r="E93" i="35"/>
  <c r="C93" i="35" s="1"/>
  <c r="B93" i="35"/>
  <c r="D6" i="35"/>
  <c r="B5" i="35"/>
  <c r="D95" i="35"/>
  <c r="D100" i="4"/>
  <c r="D11" i="4"/>
  <c r="B11" i="4" s="1"/>
  <c r="D34" i="4"/>
  <c r="B34" i="4" s="1"/>
  <c r="D50" i="35"/>
  <c r="D96" i="35"/>
  <c r="B50" i="35" l="1"/>
  <c r="E50" i="35"/>
  <c r="C50" i="35" s="1"/>
  <c r="B96" i="35"/>
  <c r="E96" i="35"/>
  <c r="C96" i="35" s="1"/>
  <c r="B94" i="35"/>
  <c r="E94" i="35"/>
  <c r="C94" i="35" s="1"/>
  <c r="B6" i="35"/>
  <c r="D7" i="35"/>
  <c r="B95" i="35"/>
  <c r="E95" i="35"/>
  <c r="C95" i="35" s="1"/>
  <c r="E100" i="4"/>
  <c r="C100" i="4" s="1"/>
  <c r="B100" i="4"/>
  <c r="D36" i="4"/>
  <c r="B36" i="4" s="1"/>
  <c r="D13" i="4"/>
  <c r="B13" i="4" s="1"/>
  <c r="D51" i="35"/>
  <c r="D97" i="35"/>
  <c r="B97" i="35" l="1"/>
  <c r="E97" i="35"/>
  <c r="C97" i="35" s="1"/>
  <c r="B51" i="35"/>
  <c r="E51" i="35"/>
  <c r="C51" i="35" s="1"/>
  <c r="B7" i="35"/>
  <c r="D8" i="35"/>
  <c r="D101" i="4"/>
  <c r="B101" i="4" s="1"/>
  <c r="D15" i="4"/>
  <c r="B15" i="4" s="1"/>
  <c r="D38" i="4"/>
  <c r="B38" i="4" s="1"/>
  <c r="D52" i="35"/>
  <c r="D98" i="35"/>
  <c r="B52" i="35" l="1"/>
  <c r="E52" i="35"/>
  <c r="C52" i="35" s="1"/>
  <c r="B8" i="35"/>
  <c r="D9" i="35"/>
  <c r="B98" i="35"/>
  <c r="E98" i="35"/>
  <c r="C98" i="35" s="1"/>
  <c r="D40" i="4"/>
  <c r="B40" i="4" s="1"/>
  <c r="D17" i="4"/>
  <c r="B17" i="4" s="1"/>
  <c r="D102" i="4"/>
  <c r="B102" i="4" s="1"/>
  <c r="D53" i="35"/>
  <c r="D99" i="35"/>
  <c r="B9" i="35" l="1"/>
  <c r="D10" i="35"/>
  <c r="B99" i="35"/>
  <c r="E99" i="35"/>
  <c r="C99" i="35" s="1"/>
  <c r="B53" i="35"/>
  <c r="E53" i="35"/>
  <c r="C53" i="35" s="1"/>
  <c r="D19" i="4"/>
  <c r="B19" i="4" s="1"/>
  <c r="D103" i="4"/>
  <c r="B103" i="4" s="1"/>
  <c r="D44" i="4"/>
  <c r="B44" i="4" s="1"/>
  <c r="D54" i="35"/>
  <c r="D100" i="35"/>
  <c r="B100" i="35" l="1"/>
  <c r="E100" i="35"/>
  <c r="C100" i="35" s="1"/>
  <c r="B54" i="35"/>
  <c r="E54" i="35"/>
  <c r="C54" i="35" s="1"/>
  <c r="B10" i="35"/>
  <c r="D11" i="35"/>
  <c r="D46" i="4"/>
  <c r="B46" i="4" s="1"/>
  <c r="D104" i="4"/>
  <c r="D55" i="35"/>
  <c r="D101" i="35"/>
  <c r="B101" i="35" l="1"/>
  <c r="E101" i="35"/>
  <c r="C101" i="35" s="1"/>
  <c r="E55" i="35"/>
  <c r="C55" i="35" s="1"/>
  <c r="B55" i="35"/>
  <c r="B11" i="35"/>
  <c r="D12" i="35"/>
  <c r="D105" i="4"/>
  <c r="B105" i="4" s="1"/>
  <c r="B104" i="4"/>
  <c r="D106" i="4"/>
  <c r="D48" i="4"/>
  <c r="B48" i="4" s="1"/>
  <c r="D56" i="35"/>
  <c r="D102" i="35"/>
  <c r="B12" i="35" l="1"/>
  <c r="D13" i="35"/>
  <c r="E56" i="35"/>
  <c r="C56" i="35" s="1"/>
  <c r="B56" i="35"/>
  <c r="B102" i="35"/>
  <c r="E102" i="35"/>
  <c r="C102" i="35" s="1"/>
  <c r="E106" i="4"/>
  <c r="C106" i="4" s="1"/>
  <c r="B106" i="4"/>
  <c r="D50" i="4"/>
  <c r="B50" i="4" s="1"/>
  <c r="D57" i="35"/>
  <c r="D103" i="35"/>
  <c r="E57" i="35" l="1"/>
  <c r="C57" i="35" s="1"/>
  <c r="B57" i="35"/>
  <c r="B103" i="35"/>
  <c r="E103" i="35"/>
  <c r="C103" i="35" s="1"/>
  <c r="B13" i="35"/>
  <c r="D14" i="35"/>
  <c r="D54" i="4"/>
  <c r="B54" i="4" s="1"/>
  <c r="D58" i="35"/>
  <c r="D104" i="35"/>
  <c r="E58" i="35" l="1"/>
  <c r="C58" i="35" s="1"/>
  <c r="B58" i="35"/>
  <c r="B14" i="35"/>
  <c r="D15" i="35"/>
  <c r="B104" i="35"/>
  <c r="E104" i="35"/>
  <c r="C104" i="35" s="1"/>
  <c r="D56" i="4"/>
  <c r="B56" i="4" s="1"/>
  <c r="D59" i="35"/>
  <c r="D105" i="35"/>
  <c r="E105" i="35" l="1"/>
  <c r="C105" i="35" s="1"/>
  <c r="B105" i="35"/>
  <c r="E59" i="35"/>
  <c r="C59" i="35" s="1"/>
  <c r="B59" i="35"/>
  <c r="B15" i="35"/>
  <c r="D16" i="35"/>
  <c r="D58" i="4"/>
  <c r="B58" i="4" s="1"/>
  <c r="D60" i="35"/>
  <c r="D106" i="35"/>
  <c r="B16" i="35" l="1"/>
  <c r="D17" i="35"/>
  <c r="E106" i="35"/>
  <c r="C106" i="35" s="1"/>
  <c r="B106" i="35"/>
  <c r="E60" i="35"/>
  <c r="C60" i="35" s="1"/>
  <c r="B60" i="35"/>
  <c r="D60" i="4"/>
  <c r="B60" i="4" s="1"/>
  <c r="D61" i="35"/>
  <c r="D107" i="35"/>
  <c r="E107" i="35" l="1"/>
  <c r="C107" i="35" s="1"/>
  <c r="B107" i="35"/>
  <c r="E61" i="35"/>
  <c r="C61" i="35" s="1"/>
  <c r="B61" i="35"/>
  <c r="B17" i="35"/>
  <c r="D18" i="35"/>
  <c r="D64" i="4"/>
  <c r="B64" i="4" s="1"/>
  <c r="D62" i="35"/>
  <c r="D108" i="35"/>
  <c r="E62" i="35" l="1"/>
  <c r="C62" i="35" s="1"/>
  <c r="B62" i="35"/>
  <c r="E108" i="35"/>
  <c r="C108" i="35" s="1"/>
  <c r="B108" i="35"/>
  <c r="B18" i="35"/>
  <c r="D19" i="35"/>
  <c r="D66" i="4"/>
  <c r="B66" i="4" s="1"/>
  <c r="D63" i="35"/>
  <c r="D109" i="35"/>
  <c r="E109" i="35" l="1"/>
  <c r="C109" i="35" s="1"/>
  <c r="B109" i="35"/>
  <c r="E63" i="35"/>
  <c r="C63" i="35" s="1"/>
  <c r="B63" i="35"/>
  <c r="B19" i="35"/>
  <c r="D20" i="35"/>
  <c r="D68" i="4"/>
  <c r="B68" i="4" s="1"/>
  <c r="D64" i="35"/>
  <c r="D110" i="35"/>
  <c r="E110" i="35" l="1"/>
  <c r="C110" i="35" s="1"/>
  <c r="B110" i="35"/>
  <c r="E64" i="35"/>
  <c r="C64" i="35" s="1"/>
  <c r="B64" i="35"/>
  <c r="B20" i="35"/>
  <c r="D21" i="35"/>
  <c r="D70" i="4"/>
  <c r="B70" i="4" s="1"/>
  <c r="D65" i="35"/>
  <c r="D111" i="35"/>
  <c r="E111" i="35" l="1"/>
  <c r="C111" i="35" s="1"/>
  <c r="B111" i="35"/>
  <c r="E65" i="35"/>
  <c r="C65" i="35" s="1"/>
  <c r="B65" i="35"/>
  <c r="B21" i="35"/>
  <c r="D22" i="35"/>
  <c r="D74" i="4"/>
  <c r="B74" i="4" s="1"/>
  <c r="D66" i="35"/>
  <c r="D112" i="35"/>
  <c r="B66" i="35" l="1"/>
  <c r="E66" i="35"/>
  <c r="C66" i="35" s="1"/>
  <c r="E112" i="35"/>
  <c r="C112" i="35" s="1"/>
  <c r="B112" i="35"/>
  <c r="B22" i="35"/>
  <c r="D23" i="35"/>
  <c r="D76" i="4"/>
  <c r="B76" i="4" s="1"/>
  <c r="D67" i="35"/>
  <c r="D113" i="35"/>
  <c r="E113" i="35" l="1"/>
  <c r="C113" i="35" s="1"/>
  <c r="B113" i="35"/>
  <c r="E67" i="35"/>
  <c r="C67" i="35" s="1"/>
  <c r="B67" i="35"/>
  <c r="B23" i="35"/>
  <c r="D24" i="35"/>
  <c r="D78" i="4"/>
  <c r="B78" i="4" s="1"/>
  <c r="D68" i="35"/>
  <c r="D114" i="35"/>
  <c r="B68" i="35" l="1"/>
  <c r="E68" i="35"/>
  <c r="C68" i="35" s="1"/>
  <c r="B24" i="35"/>
  <c r="D25" i="35"/>
  <c r="E114" i="35"/>
  <c r="C114" i="35" s="1"/>
  <c r="B114" i="35"/>
  <c r="D80" i="4"/>
  <c r="B80" i="4" s="1"/>
  <c r="D69" i="35"/>
  <c r="D115" i="35"/>
  <c r="E115" i="35" l="1"/>
  <c r="C115" i="35" s="1"/>
  <c r="B115" i="35"/>
  <c r="B69" i="35"/>
  <c r="E69" i="35"/>
  <c r="C69" i="35" s="1"/>
  <c r="B25" i="35"/>
  <c r="D26" i="35"/>
  <c r="D70" i="35"/>
  <c r="D116" i="35"/>
  <c r="B116" i="35" l="1"/>
  <c r="E116" i="35"/>
  <c r="C116" i="35" s="1"/>
  <c r="B26" i="35"/>
  <c r="D27" i="35"/>
  <c r="B70" i="35"/>
  <c r="E70" i="35"/>
  <c r="C70" i="35" s="1"/>
  <c r="D71" i="35"/>
  <c r="D117" i="35"/>
  <c r="E117" i="35" l="1"/>
  <c r="C117" i="35" s="1"/>
  <c r="B117" i="35"/>
  <c r="B71" i="35"/>
  <c r="E71" i="35"/>
  <c r="C71" i="35" s="1"/>
  <c r="B27" i="35"/>
  <c r="D28" i="35"/>
  <c r="D72" i="35"/>
  <c r="D118" i="35"/>
  <c r="B72" i="35" l="1"/>
  <c r="E72" i="35"/>
  <c r="C72" i="35" s="1"/>
  <c r="B28" i="35"/>
  <c r="D29" i="35"/>
  <c r="B118" i="35"/>
  <c r="E118" i="35"/>
  <c r="C118" i="35" s="1"/>
  <c r="D73" i="35"/>
  <c r="D119" i="35"/>
  <c r="B29" i="35" l="1"/>
  <c r="D30" i="35"/>
  <c r="B119" i="35"/>
  <c r="E119" i="35"/>
  <c r="C119" i="35" s="1"/>
  <c r="B73" i="35"/>
  <c r="E73" i="35"/>
  <c r="C73" i="35" s="1"/>
  <c r="D74" i="35"/>
  <c r="D120" i="35"/>
  <c r="B74" i="35" l="1"/>
  <c r="E74" i="35"/>
  <c r="C74" i="35" s="1"/>
  <c r="B120" i="35"/>
  <c r="E120" i="35"/>
  <c r="C120" i="35" s="1"/>
  <c r="B30" i="35"/>
  <c r="D31" i="35"/>
  <c r="D75" i="35"/>
  <c r="D121" i="35"/>
  <c r="B121" i="35" l="1"/>
  <c r="E121" i="35"/>
  <c r="C121" i="35" s="1"/>
  <c r="B75" i="35"/>
  <c r="E75" i="35"/>
  <c r="C75" i="35" s="1"/>
  <c r="B31" i="35"/>
  <c r="D32" i="35"/>
  <c r="D76" i="35"/>
  <c r="D122" i="35"/>
  <c r="B76" i="35" l="1"/>
  <c r="E76" i="35"/>
  <c r="C76" i="35" s="1"/>
  <c r="B122" i="35"/>
  <c r="E122" i="35"/>
  <c r="C122" i="35" s="1"/>
  <c r="B32" i="35"/>
  <c r="D33" i="35"/>
  <c r="D77" i="35"/>
  <c r="D123" i="35"/>
  <c r="B33" i="35" l="1"/>
  <c r="D34" i="35"/>
  <c r="B77" i="35"/>
  <c r="E77" i="35"/>
  <c r="C77" i="35" s="1"/>
  <c r="B123" i="35"/>
  <c r="E123" i="35"/>
  <c r="C123" i="35" s="1"/>
  <c r="D78" i="35"/>
  <c r="D124" i="35"/>
  <c r="B124" i="35" l="1"/>
  <c r="E124" i="35"/>
  <c r="C124" i="35" s="1"/>
  <c r="B78" i="35"/>
  <c r="E78" i="35"/>
  <c r="C78" i="35" s="1"/>
  <c r="B34" i="35"/>
  <c r="D35" i="35"/>
  <c r="D79" i="35"/>
  <c r="D125" i="35"/>
  <c r="B125" i="35" l="1"/>
  <c r="E125" i="35"/>
  <c r="C125" i="35" s="1"/>
  <c r="B35" i="35"/>
  <c r="D36" i="35"/>
  <c r="E79" i="35"/>
  <c r="C79" i="35" s="1"/>
  <c r="B79" i="35"/>
  <c r="D80" i="35"/>
  <c r="D126" i="35"/>
  <c r="B126" i="35" l="1"/>
  <c r="E126" i="35"/>
  <c r="C126" i="35" s="1"/>
  <c r="E80" i="35"/>
  <c r="C80" i="35" s="1"/>
  <c r="B80" i="35"/>
  <c r="B36" i="35"/>
  <c r="D37" i="35"/>
  <c r="D81" i="35"/>
  <c r="D127" i="35"/>
  <c r="B127" i="35" l="1"/>
  <c r="E127" i="35"/>
  <c r="C127" i="35" s="1"/>
  <c r="E81" i="35"/>
  <c r="C81" i="35" s="1"/>
  <c r="B81" i="35"/>
  <c r="B37" i="35"/>
  <c r="D38" i="35"/>
  <c r="D82" i="35"/>
  <c r="D128" i="35"/>
  <c r="B128" i="35" l="1"/>
  <c r="E128" i="35"/>
  <c r="C128" i="35" s="1"/>
  <c r="B38" i="35"/>
  <c r="D39" i="35"/>
  <c r="E82" i="35"/>
  <c r="C82" i="35" s="1"/>
  <c r="B82" i="35"/>
  <c r="D83" i="35"/>
  <c r="D129" i="35"/>
  <c r="E83" i="35" l="1"/>
  <c r="C83" i="35" s="1"/>
  <c r="B83" i="35"/>
  <c r="B39" i="35"/>
  <c r="D40" i="35"/>
  <c r="E129" i="35"/>
  <c r="C129" i="35" s="1"/>
  <c r="B129" i="35"/>
  <c r="D84" i="35"/>
  <c r="D130" i="35"/>
  <c r="E130" i="35" l="1"/>
  <c r="C130" i="35" s="1"/>
  <c r="B130" i="35"/>
  <c r="E84" i="35"/>
  <c r="C84" i="35" s="1"/>
  <c r="B84" i="35"/>
  <c r="B40" i="35"/>
  <c r="D41" i="35"/>
  <c r="D85" i="35"/>
  <c r="D131" i="35"/>
  <c r="E131" i="35" l="1"/>
  <c r="C131" i="35" s="1"/>
  <c r="B131" i="35"/>
  <c r="E85" i="35"/>
  <c r="C85" i="35" s="1"/>
  <c r="B85" i="35"/>
  <c r="B41" i="35"/>
  <c r="D42" i="35"/>
  <c r="D86" i="35"/>
  <c r="D132" i="35"/>
  <c r="D133" i="35" s="1"/>
  <c r="D134" i="35" l="1"/>
  <c r="E133" i="35"/>
  <c r="C133" i="35" s="1"/>
  <c r="B133" i="35"/>
  <c r="E86" i="35"/>
  <c r="C86" i="35" s="1"/>
  <c r="B86" i="35"/>
  <c r="B42" i="35"/>
  <c r="D43" i="35"/>
  <c r="E132" i="35"/>
  <c r="C132" i="35" s="1"/>
  <c r="B132" i="35"/>
  <c r="D87" i="35"/>
  <c r="D135" i="35" l="1"/>
  <c r="E134" i="35"/>
  <c r="C134" i="35" s="1"/>
  <c r="B134" i="35"/>
  <c r="E87" i="35"/>
  <c r="C87" i="35" s="1"/>
  <c r="B87" i="35"/>
  <c r="B43" i="35"/>
  <c r="D44" i="35"/>
  <c r="B44" i="35" s="1"/>
  <c r="D88" i="35"/>
  <c r="E135" i="35" l="1"/>
  <c r="C135" i="35" s="1"/>
  <c r="B135" i="35"/>
  <c r="D136" i="35"/>
  <c r="E88" i="35"/>
  <c r="C88" i="35" s="1"/>
  <c r="B88" i="35"/>
  <c r="D4" i="10"/>
  <c r="D4" i="24"/>
  <c r="D14" i="24"/>
  <c r="D137" i="35" l="1"/>
  <c r="E136" i="35"/>
  <c r="C136" i="35" s="1"/>
  <c r="B136" i="35"/>
  <c r="E14" i="24"/>
  <c r="C14" i="24" s="1"/>
  <c r="B14" i="24"/>
  <c r="D5" i="24"/>
  <c r="B4" i="24"/>
  <c r="E4" i="10"/>
  <c r="C4" i="10" s="1"/>
  <c r="B4" i="10"/>
  <c r="D15" i="24"/>
  <c r="D5" i="10"/>
  <c r="D6" i="10" s="1"/>
  <c r="D317" i="10"/>
  <c r="D4" i="8"/>
  <c r="D4" i="29"/>
  <c r="D161" i="8"/>
  <c r="D22" i="26"/>
  <c r="D23" i="26" s="1"/>
  <c r="D4" i="26"/>
  <c r="D24" i="25"/>
  <c r="D18" i="25"/>
  <c r="D4" i="25"/>
  <c r="D67" i="7"/>
  <c r="D309" i="10"/>
  <c r="D302" i="10"/>
  <c r="D259" i="10"/>
  <c r="D201" i="10"/>
  <c r="D292" i="10"/>
  <c r="D276" i="10"/>
  <c r="D191" i="10"/>
  <c r="D270" i="10"/>
  <c r="D154" i="10"/>
  <c r="D139" i="10"/>
  <c r="D122" i="10"/>
  <c r="D79" i="10"/>
  <c r="D43" i="10"/>
  <c r="D33" i="7"/>
  <c r="D358" i="8"/>
  <c r="B358" i="8" s="1"/>
  <c r="D233" i="8"/>
  <c r="D81" i="8"/>
  <c r="B81" i="8" s="1"/>
  <c r="D29" i="9"/>
  <c r="D30" i="9" s="1"/>
  <c r="B30" i="9" s="1"/>
  <c r="D22" i="9"/>
  <c r="B22" i="9" s="1"/>
  <c r="D81" i="13"/>
  <c r="B81" i="13" s="1"/>
  <c r="D71" i="13"/>
  <c r="D31" i="13"/>
  <c r="D4" i="13"/>
  <c r="B4" i="13" s="1"/>
  <c r="D108" i="11"/>
  <c r="D109" i="11" s="1"/>
  <c r="D56" i="11"/>
  <c r="D57" i="11" s="1"/>
  <c r="D4" i="11"/>
  <c r="D4" i="9"/>
  <c r="B4" i="9" s="1"/>
  <c r="D72" i="8"/>
  <c r="B72" i="8" s="1"/>
  <c r="D14" i="7"/>
  <c r="D32" i="5"/>
  <c r="B32" i="5" s="1"/>
  <c r="D43" i="9"/>
  <c r="D36" i="9"/>
  <c r="D37" i="9" s="1"/>
  <c r="D53" i="8"/>
  <c r="D130" i="24"/>
  <c r="E137" i="35" l="1"/>
  <c r="C137" i="35" s="1"/>
  <c r="B137" i="35"/>
  <c r="E71" i="13"/>
  <c r="C71" i="13" s="1"/>
  <c r="B71" i="13"/>
  <c r="B31" i="13"/>
  <c r="E31" i="13"/>
  <c r="C31" i="13" s="1"/>
  <c r="D72" i="13"/>
  <c r="D5" i="13"/>
  <c r="D32" i="13"/>
  <c r="D82" i="13"/>
  <c r="E4" i="29"/>
  <c r="C4" i="29" s="1"/>
  <c r="B4" i="29"/>
  <c r="D5" i="29"/>
  <c r="D58" i="11"/>
  <c r="D59" i="11" s="1"/>
  <c r="B59" i="11" s="1"/>
  <c r="B57" i="11"/>
  <c r="B109" i="11"/>
  <c r="E109" i="11"/>
  <c r="D110" i="11"/>
  <c r="B4" i="11"/>
  <c r="E4" i="11"/>
  <c r="C4" i="11" s="1"/>
  <c r="B56" i="11"/>
  <c r="E56" i="11"/>
  <c r="C56" i="11" s="1"/>
  <c r="D5" i="11"/>
  <c r="B108" i="11"/>
  <c r="E108" i="11"/>
  <c r="C108" i="11" s="1"/>
  <c r="D5" i="25"/>
  <c r="D6" i="25" s="1"/>
  <c r="B4" i="25"/>
  <c r="D19" i="25"/>
  <c r="B18" i="25"/>
  <c r="E24" i="25"/>
  <c r="C24" i="25" s="1"/>
  <c r="B24" i="25"/>
  <c r="D25" i="25"/>
  <c r="D5" i="9"/>
  <c r="D6" i="9" s="1"/>
  <c r="D23" i="9"/>
  <c r="B6" i="9"/>
  <c r="E6" i="9"/>
  <c r="C6" i="9" s="1"/>
  <c r="D7" i="9"/>
  <c r="B37" i="9"/>
  <c r="D38" i="9"/>
  <c r="B23" i="9"/>
  <c r="E23" i="9"/>
  <c r="C23" i="9" s="1"/>
  <c r="B43" i="9"/>
  <c r="E43" i="9"/>
  <c r="C43" i="9" s="1"/>
  <c r="D24" i="9"/>
  <c r="B29" i="9"/>
  <c r="E29" i="9"/>
  <c r="C29" i="9" s="1"/>
  <c r="D44" i="9"/>
  <c r="B5" i="9"/>
  <c r="E5" i="9"/>
  <c r="C5" i="9" s="1"/>
  <c r="D31" i="9"/>
  <c r="E36" i="9"/>
  <c r="C36" i="9" s="1"/>
  <c r="B36" i="9"/>
  <c r="B23" i="26"/>
  <c r="E23" i="26"/>
  <c r="C23" i="26" s="1"/>
  <c r="D24" i="26"/>
  <c r="B4" i="26"/>
  <c r="E4" i="26"/>
  <c r="C4" i="26" s="1"/>
  <c r="D5" i="26"/>
  <c r="B22" i="26"/>
  <c r="E22" i="26"/>
  <c r="C22" i="26" s="1"/>
  <c r="D68" i="7"/>
  <c r="B68" i="7" s="1"/>
  <c r="B67" i="7"/>
  <c r="E33" i="7"/>
  <c r="C33" i="7" s="1"/>
  <c r="B33" i="7"/>
  <c r="D15" i="7"/>
  <c r="B14" i="7"/>
  <c r="E15" i="24"/>
  <c r="C15" i="24" s="1"/>
  <c r="B15" i="24"/>
  <c r="B130" i="24"/>
  <c r="E130" i="24"/>
  <c r="C130" i="24" s="1"/>
  <c r="D6" i="24"/>
  <c r="B5" i="24"/>
  <c r="E43" i="10"/>
  <c r="C43" i="10" s="1"/>
  <c r="B43" i="10"/>
  <c r="D80" i="10"/>
  <c r="D81" i="10" s="1"/>
  <c r="B79" i="10"/>
  <c r="E79" i="10"/>
  <c r="C79" i="10" s="1"/>
  <c r="B122" i="10"/>
  <c r="E122" i="10"/>
  <c r="C122" i="10" s="1"/>
  <c r="E139" i="10"/>
  <c r="C139" i="10" s="1"/>
  <c r="B139" i="10"/>
  <c r="D155" i="10"/>
  <c r="D156" i="10" s="1"/>
  <c r="E154" i="10"/>
  <c r="C154" i="10" s="1"/>
  <c r="B154" i="10"/>
  <c r="D271" i="10"/>
  <c r="B270" i="10"/>
  <c r="E270" i="10"/>
  <c r="C270" i="10" s="1"/>
  <c r="D318" i="10"/>
  <c r="D319" i="10" s="1"/>
  <c r="B317" i="10"/>
  <c r="E317" i="10"/>
  <c r="C317" i="10" s="1"/>
  <c r="D192" i="10"/>
  <c r="E191" i="10"/>
  <c r="C191" i="10" s="1"/>
  <c r="B191" i="10"/>
  <c r="B276" i="10"/>
  <c r="E276" i="10"/>
  <c r="C276" i="10" s="1"/>
  <c r="E292" i="10"/>
  <c r="C292" i="10" s="1"/>
  <c r="B292" i="10"/>
  <c r="B6" i="10"/>
  <c r="E6" i="10"/>
  <c r="C6" i="10" s="1"/>
  <c r="D202" i="10"/>
  <c r="B202" i="10" s="1"/>
  <c r="B201" i="10"/>
  <c r="B5" i="10"/>
  <c r="E5" i="10"/>
  <c r="C5" i="10" s="1"/>
  <c r="D260" i="10"/>
  <c r="E259" i="10"/>
  <c r="C259" i="10" s="1"/>
  <c r="B259" i="10"/>
  <c r="D303" i="10"/>
  <c r="E302" i="10"/>
  <c r="C302" i="10" s="1"/>
  <c r="B302" i="10"/>
  <c r="D310" i="10"/>
  <c r="E309" i="10"/>
  <c r="C309" i="10" s="1"/>
  <c r="B309" i="10"/>
  <c r="D234" i="8"/>
  <c r="B234" i="8" s="1"/>
  <c r="B233" i="8"/>
  <c r="D162" i="8"/>
  <c r="E161" i="8"/>
  <c r="C161" i="8" s="1"/>
  <c r="B161" i="8"/>
  <c r="D54" i="8"/>
  <c r="B54" i="8" s="1"/>
  <c r="B53" i="8"/>
  <c r="D5" i="8"/>
  <c r="B5" i="8" s="1"/>
  <c r="B4" i="8"/>
  <c r="D20" i="25"/>
  <c r="D16" i="24"/>
  <c r="D359" i="8"/>
  <c r="B359" i="8" s="1"/>
  <c r="D73" i="8"/>
  <c r="D82" i="8"/>
  <c r="B82" i="8" s="1"/>
  <c r="D131" i="24"/>
  <c r="D34" i="5"/>
  <c r="B34" i="5" s="1"/>
  <c r="D277" i="10"/>
  <c r="D123" i="10"/>
  <c r="D140" i="10"/>
  <c r="D44" i="10"/>
  <c r="B32" i="13" l="1"/>
  <c r="E32" i="13"/>
  <c r="C32" i="13" s="1"/>
  <c r="D33" i="13"/>
  <c r="B5" i="13"/>
  <c r="D6" i="13"/>
  <c r="E72" i="13"/>
  <c r="C72" i="13" s="1"/>
  <c r="B72" i="13"/>
  <c r="D73" i="13"/>
  <c r="B82" i="13"/>
  <c r="D83" i="13"/>
  <c r="E5" i="29"/>
  <c r="C5" i="29" s="1"/>
  <c r="B5" i="29"/>
  <c r="D6" i="29"/>
  <c r="B5" i="11"/>
  <c r="D6" i="11"/>
  <c r="B110" i="11"/>
  <c r="E110" i="11"/>
  <c r="C110" i="11" s="1"/>
  <c r="D111" i="11"/>
  <c r="B58" i="11"/>
  <c r="E58" i="11"/>
  <c r="C58" i="11" s="1"/>
  <c r="E20" i="25"/>
  <c r="C20" i="25" s="1"/>
  <c r="B20" i="25"/>
  <c r="B25" i="25"/>
  <c r="D26" i="25"/>
  <c r="E19" i="25"/>
  <c r="C19" i="25" s="1"/>
  <c r="B19" i="25"/>
  <c r="E6" i="25"/>
  <c r="C6" i="25" s="1"/>
  <c r="B6" i="25"/>
  <c r="E5" i="25"/>
  <c r="C5" i="25" s="1"/>
  <c r="B5" i="25"/>
  <c r="B24" i="9"/>
  <c r="E24" i="9"/>
  <c r="C24" i="9" s="1"/>
  <c r="B31" i="9"/>
  <c r="D32" i="9"/>
  <c r="B44" i="9"/>
  <c r="D45" i="9"/>
  <c r="B7" i="9"/>
  <c r="D8" i="9"/>
  <c r="B38" i="9"/>
  <c r="D39" i="9"/>
  <c r="B5" i="26"/>
  <c r="E5" i="26"/>
  <c r="C5" i="26" s="1"/>
  <c r="D6" i="26"/>
  <c r="B24" i="26"/>
  <c r="E24" i="26"/>
  <c r="C24" i="26" s="1"/>
  <c r="D25" i="26"/>
  <c r="D69" i="7"/>
  <c r="D16" i="7"/>
  <c r="B15" i="7"/>
  <c r="B69" i="7"/>
  <c r="E69" i="7"/>
  <c r="C69" i="7" s="1"/>
  <c r="D235" i="8"/>
  <c r="B235" i="8" s="1"/>
  <c r="D55" i="8"/>
  <c r="B55" i="8" s="1"/>
  <c r="E16" i="24"/>
  <c r="C16" i="24" s="1"/>
  <c r="B16" i="24"/>
  <c r="B6" i="24"/>
  <c r="D7" i="24"/>
  <c r="B131" i="24"/>
  <c r="E131" i="24"/>
  <c r="C131" i="24" s="1"/>
  <c r="E319" i="10"/>
  <c r="C319" i="10" s="1"/>
  <c r="B319" i="10"/>
  <c r="B303" i="10"/>
  <c r="E303" i="10"/>
  <c r="C303" i="10" s="1"/>
  <c r="B271" i="10"/>
  <c r="E271" i="10"/>
  <c r="C271" i="10" s="1"/>
  <c r="D261" i="10"/>
  <c r="E260" i="10"/>
  <c r="C260" i="10" s="1"/>
  <c r="B260" i="10"/>
  <c r="B155" i="10"/>
  <c r="E155" i="10"/>
  <c r="C155" i="10" s="1"/>
  <c r="E192" i="10"/>
  <c r="C192" i="10" s="1"/>
  <c r="B192" i="10"/>
  <c r="D311" i="10"/>
  <c r="E310" i="10"/>
  <c r="C310" i="10" s="1"/>
  <c r="B310" i="10"/>
  <c r="E80" i="10"/>
  <c r="C80" i="10" s="1"/>
  <c r="B80" i="10"/>
  <c r="B44" i="10"/>
  <c r="E44" i="10"/>
  <c r="C44" i="10" s="1"/>
  <c r="B277" i="10"/>
  <c r="E277" i="10"/>
  <c r="C277" i="10" s="1"/>
  <c r="D193" i="10"/>
  <c r="D194" i="10" s="1"/>
  <c r="B140" i="10"/>
  <c r="E140" i="10"/>
  <c r="C140" i="10" s="1"/>
  <c r="B318" i="10"/>
  <c r="E318" i="10"/>
  <c r="C318" i="10" s="1"/>
  <c r="B156" i="10"/>
  <c r="E156" i="10"/>
  <c r="C156" i="10" s="1"/>
  <c r="E81" i="10"/>
  <c r="C81" i="10" s="1"/>
  <c r="B81" i="10"/>
  <c r="D203" i="10"/>
  <c r="B203" i="10" s="1"/>
  <c r="D304" i="10"/>
  <c r="D305" i="10" s="1"/>
  <c r="B123" i="10"/>
  <c r="E123" i="10"/>
  <c r="C123" i="10" s="1"/>
  <c r="D163" i="8"/>
  <c r="E162" i="8"/>
  <c r="C162" i="8" s="1"/>
  <c r="B162" i="8"/>
  <c r="D74" i="8"/>
  <c r="B73" i="8"/>
  <c r="D6" i="8"/>
  <c r="B6" i="8" s="1"/>
  <c r="D60" i="11"/>
  <c r="D7" i="25"/>
  <c r="B7" i="25" s="1"/>
  <c r="D17" i="24"/>
  <c r="D360" i="8"/>
  <c r="B360" i="8" s="1"/>
  <c r="D83" i="8"/>
  <c r="B83" i="8" s="1"/>
  <c r="D70" i="7"/>
  <c r="D278" i="10"/>
  <c r="D279" i="10" s="1"/>
  <c r="D132" i="24"/>
  <c r="D124" i="10"/>
  <c r="D141" i="10"/>
  <c r="D293" i="10"/>
  <c r="D82" i="10"/>
  <c r="D45" i="10"/>
  <c r="D157" i="10"/>
  <c r="D320" i="10"/>
  <c r="D236" i="8" l="1"/>
  <c r="B236" i="8" s="1"/>
  <c r="D56" i="8"/>
  <c r="B56" i="8" s="1"/>
  <c r="D7" i="8"/>
  <c r="B7" i="8" s="1"/>
  <c r="B83" i="13"/>
  <c r="D84" i="13"/>
  <c r="B6" i="13"/>
  <c r="D7" i="13"/>
  <c r="B33" i="13"/>
  <c r="E33" i="13"/>
  <c r="C33" i="13" s="1"/>
  <c r="D34" i="13"/>
  <c r="E73" i="13"/>
  <c r="C73" i="13" s="1"/>
  <c r="B73" i="13"/>
  <c r="D74" i="13"/>
  <c r="E6" i="29"/>
  <c r="C6" i="29" s="1"/>
  <c r="B6" i="29"/>
  <c r="D7" i="29"/>
  <c r="B60" i="11"/>
  <c r="E60" i="11"/>
  <c r="C60" i="11" s="1"/>
  <c r="B111" i="11"/>
  <c r="E111" i="11"/>
  <c r="D112" i="11"/>
  <c r="B6" i="11"/>
  <c r="E6" i="11"/>
  <c r="C6" i="11" s="1"/>
  <c r="D7" i="11"/>
  <c r="B26" i="25"/>
  <c r="D27" i="25"/>
  <c r="E39" i="9"/>
  <c r="C39" i="9" s="1"/>
  <c r="B39" i="9"/>
  <c r="D40" i="9"/>
  <c r="B32" i="9"/>
  <c r="E32" i="9"/>
  <c r="C32" i="9" s="1"/>
  <c r="D33" i="9"/>
  <c r="B8" i="9"/>
  <c r="D9" i="9"/>
  <c r="B45" i="9"/>
  <c r="D46" i="9"/>
  <c r="E6" i="26"/>
  <c r="C6" i="26" s="1"/>
  <c r="B6" i="26"/>
  <c r="D7" i="26"/>
  <c r="B25" i="26"/>
  <c r="E25" i="26"/>
  <c r="C25" i="26" s="1"/>
  <c r="D26" i="26"/>
  <c r="B70" i="7"/>
  <c r="E70" i="7"/>
  <c r="C70" i="7" s="1"/>
  <c r="B16" i="7"/>
  <c r="D17" i="7"/>
  <c r="B17" i="7" s="1"/>
  <c r="B132" i="24"/>
  <c r="E132" i="24"/>
  <c r="C132" i="24" s="1"/>
  <c r="E17" i="24"/>
  <c r="C17" i="24" s="1"/>
  <c r="B17" i="24"/>
  <c r="B7" i="24"/>
  <c r="D8" i="24"/>
  <c r="B8" i="24" s="1"/>
  <c r="D204" i="10"/>
  <c r="B204" i="10" s="1"/>
  <c r="B157" i="10"/>
  <c r="E157" i="10"/>
  <c r="C157" i="10" s="1"/>
  <c r="E293" i="10"/>
  <c r="C293" i="10" s="1"/>
  <c r="B293" i="10"/>
  <c r="B45" i="10"/>
  <c r="E45" i="10"/>
  <c r="C45" i="10" s="1"/>
  <c r="E320" i="10"/>
  <c r="C320" i="10" s="1"/>
  <c r="B320" i="10"/>
  <c r="E82" i="10"/>
  <c r="C82" i="10" s="1"/>
  <c r="B82" i="10"/>
  <c r="E305" i="10"/>
  <c r="C305" i="10" s="1"/>
  <c r="B305" i="10"/>
  <c r="B261" i="10"/>
  <c r="E261" i="10"/>
  <c r="C261" i="10" s="1"/>
  <c r="D262" i="10"/>
  <c r="D280" i="10"/>
  <c r="E279" i="10"/>
  <c r="C279" i="10" s="1"/>
  <c r="B279" i="10"/>
  <c r="B194" i="10"/>
  <c r="E194" i="10"/>
  <c r="C194" i="10" s="1"/>
  <c r="B124" i="10"/>
  <c r="E124" i="10"/>
  <c r="C124" i="10" s="1"/>
  <c r="B311" i="10"/>
  <c r="E311" i="10"/>
  <c r="C311" i="10" s="1"/>
  <c r="D312" i="10"/>
  <c r="B278" i="10"/>
  <c r="E278" i="10"/>
  <c r="C278" i="10" s="1"/>
  <c r="B193" i="10"/>
  <c r="E193" i="10"/>
  <c r="C193" i="10" s="1"/>
  <c r="E304" i="10"/>
  <c r="C304" i="10" s="1"/>
  <c r="B304" i="10"/>
  <c r="B141" i="10"/>
  <c r="E141" i="10"/>
  <c r="C141" i="10" s="1"/>
  <c r="D75" i="8"/>
  <c r="B74" i="8"/>
  <c r="D164" i="8"/>
  <c r="E163" i="8"/>
  <c r="C163" i="8" s="1"/>
  <c r="B163" i="8"/>
  <c r="D61" i="11"/>
  <c r="B61" i="11" s="1"/>
  <c r="D8" i="25"/>
  <c r="B8" i="25" s="1"/>
  <c r="D18" i="24"/>
  <c r="D361" i="8"/>
  <c r="B361" i="8" s="1"/>
  <c r="D84" i="8"/>
  <c r="B84" i="8" s="1"/>
  <c r="D133" i="24"/>
  <c r="D237" i="8"/>
  <c r="B237" i="8" s="1"/>
  <c r="D306" i="10"/>
  <c r="D125" i="10"/>
  <c r="D321" i="10"/>
  <c r="D46" i="10"/>
  <c r="D83" i="10"/>
  <c r="D142" i="10"/>
  <c r="D158" i="10"/>
  <c r="D195" i="10"/>
  <c r="D8" i="8" l="1"/>
  <c r="B8" i="8" s="1"/>
  <c r="D205" i="10"/>
  <c r="B205" i="10" s="1"/>
  <c r="D57" i="8"/>
  <c r="B57" i="8" s="1"/>
  <c r="B74" i="13"/>
  <c r="E74" i="13"/>
  <c r="C74" i="13" s="1"/>
  <c r="D75" i="13"/>
  <c r="B7" i="13"/>
  <c r="D8" i="13"/>
  <c r="B84" i="13"/>
  <c r="D85" i="13"/>
  <c r="E34" i="13"/>
  <c r="C34" i="13" s="1"/>
  <c r="B34" i="13"/>
  <c r="D35" i="13"/>
  <c r="E7" i="29"/>
  <c r="C7" i="29" s="1"/>
  <c r="B7" i="29"/>
  <c r="D8" i="29"/>
  <c r="B7" i="11"/>
  <c r="D8" i="11"/>
  <c r="B112" i="11"/>
  <c r="E112" i="11"/>
  <c r="C112" i="11" s="1"/>
  <c r="E27" i="25"/>
  <c r="C27" i="25" s="1"/>
  <c r="B27" i="25"/>
  <c r="D28" i="25"/>
  <c r="B9" i="9"/>
  <c r="D10" i="9"/>
  <c r="B33" i="9"/>
  <c r="E33" i="9"/>
  <c r="C33" i="9" s="1"/>
  <c r="B46" i="9"/>
  <c r="E46" i="9"/>
  <c r="C46" i="9" s="1"/>
  <c r="D47" i="9"/>
  <c r="E40" i="9"/>
  <c r="C40" i="9" s="1"/>
  <c r="B40" i="9"/>
  <c r="E7" i="26"/>
  <c r="C7" i="26" s="1"/>
  <c r="B7" i="26"/>
  <c r="D8" i="26"/>
  <c r="B26" i="26"/>
  <c r="E26" i="26"/>
  <c r="C26" i="26" s="1"/>
  <c r="D27" i="26"/>
  <c r="E18" i="24"/>
  <c r="C18" i="24" s="1"/>
  <c r="B18" i="24"/>
  <c r="B133" i="24"/>
  <c r="E133" i="24"/>
  <c r="C133" i="24" s="1"/>
  <c r="E195" i="10"/>
  <c r="C195" i="10" s="1"/>
  <c r="B195" i="10"/>
  <c r="E83" i="10"/>
  <c r="C83" i="10" s="1"/>
  <c r="B83" i="10"/>
  <c r="E280" i="10"/>
  <c r="C280" i="10" s="1"/>
  <c r="B280" i="10"/>
  <c r="B46" i="10"/>
  <c r="E46" i="10"/>
  <c r="C46" i="10" s="1"/>
  <c r="E125" i="10"/>
  <c r="C125" i="10" s="1"/>
  <c r="B125" i="10"/>
  <c r="D263" i="10"/>
  <c r="B262" i="10"/>
  <c r="E262" i="10"/>
  <c r="C262" i="10" s="1"/>
  <c r="E158" i="10"/>
  <c r="C158" i="10" s="1"/>
  <c r="B158" i="10"/>
  <c r="B142" i="10"/>
  <c r="E142" i="10"/>
  <c r="C142" i="10" s="1"/>
  <c r="B312" i="10"/>
  <c r="E312" i="10"/>
  <c r="C312" i="10" s="1"/>
  <c r="D313" i="10"/>
  <c r="E321" i="10"/>
  <c r="C321" i="10" s="1"/>
  <c r="B321" i="10"/>
  <c r="D281" i="10"/>
  <c r="E306" i="10"/>
  <c r="C306" i="10" s="1"/>
  <c r="B306" i="10"/>
  <c r="E164" i="8"/>
  <c r="C164" i="8" s="1"/>
  <c r="B164" i="8"/>
  <c r="B75" i="8"/>
  <c r="D76" i="8"/>
  <c r="D62" i="11"/>
  <c r="D9" i="25"/>
  <c r="B9" i="25" s="1"/>
  <c r="D19" i="24"/>
  <c r="D362" i="8"/>
  <c r="B362" i="8" s="1"/>
  <c r="D85" i="8"/>
  <c r="B85" i="8" s="1"/>
  <c r="D134" i="24"/>
  <c r="D238" i="8"/>
  <c r="B238" i="8" s="1"/>
  <c r="D58" i="8"/>
  <c r="B58" i="8" s="1"/>
  <c r="D9" i="8"/>
  <c r="B9" i="8" s="1"/>
  <c r="D126" i="10"/>
  <c r="D206" i="10"/>
  <c r="B206" i="10" s="1"/>
  <c r="D47" i="10"/>
  <c r="D322" i="10"/>
  <c r="D196" i="10"/>
  <c r="D143" i="10"/>
  <c r="D294" i="10"/>
  <c r="D159" i="10"/>
  <c r="D282" i="10"/>
  <c r="D84" i="10"/>
  <c r="B8" i="13" l="1"/>
  <c r="D9" i="13"/>
  <c r="B75" i="13"/>
  <c r="E75" i="13"/>
  <c r="C75" i="13" s="1"/>
  <c r="D76" i="13"/>
  <c r="B85" i="13"/>
  <c r="D86" i="13"/>
  <c r="E35" i="13"/>
  <c r="C35" i="13" s="1"/>
  <c r="B35" i="13"/>
  <c r="D36" i="13"/>
  <c r="E8" i="29"/>
  <c r="C8" i="29" s="1"/>
  <c r="B8" i="29"/>
  <c r="D9" i="29"/>
  <c r="B62" i="11"/>
  <c r="E62" i="11"/>
  <c r="C62" i="11" s="1"/>
  <c r="B8" i="11"/>
  <c r="E8" i="11"/>
  <c r="C8" i="11" s="1"/>
  <c r="D9" i="11"/>
  <c r="E28" i="25"/>
  <c r="C28" i="25" s="1"/>
  <c r="B28" i="25"/>
  <c r="B47" i="9"/>
  <c r="E47" i="9"/>
  <c r="C47" i="9" s="1"/>
  <c r="B10" i="9"/>
  <c r="D11" i="9"/>
  <c r="B27" i="26"/>
  <c r="E27" i="26"/>
  <c r="C27" i="26" s="1"/>
  <c r="D28" i="26"/>
  <c r="B8" i="26"/>
  <c r="E8" i="26"/>
  <c r="C8" i="26" s="1"/>
  <c r="D9" i="26"/>
  <c r="B134" i="24"/>
  <c r="E134" i="24"/>
  <c r="C134" i="24" s="1"/>
  <c r="E19" i="24"/>
  <c r="C19" i="24" s="1"/>
  <c r="B19" i="24"/>
  <c r="B263" i="10"/>
  <c r="E263" i="10"/>
  <c r="C263" i="10" s="1"/>
  <c r="B126" i="10"/>
  <c r="E126" i="10"/>
  <c r="C126" i="10" s="1"/>
  <c r="E196" i="10"/>
  <c r="C196" i="10" s="1"/>
  <c r="B196" i="10"/>
  <c r="E322" i="10"/>
  <c r="C322" i="10" s="1"/>
  <c r="B322" i="10"/>
  <c r="E281" i="10"/>
  <c r="C281" i="10" s="1"/>
  <c r="B281" i="10"/>
  <c r="B313" i="10"/>
  <c r="E313" i="10"/>
  <c r="C313" i="10" s="1"/>
  <c r="E84" i="10"/>
  <c r="C84" i="10" s="1"/>
  <c r="B84" i="10"/>
  <c r="E282" i="10"/>
  <c r="C282" i="10" s="1"/>
  <c r="B282" i="10"/>
  <c r="E159" i="10"/>
  <c r="C159" i="10" s="1"/>
  <c r="B159" i="10"/>
  <c r="E294" i="10"/>
  <c r="C294" i="10" s="1"/>
  <c r="B294" i="10"/>
  <c r="E143" i="10"/>
  <c r="C143" i="10" s="1"/>
  <c r="B143" i="10"/>
  <c r="E47" i="10"/>
  <c r="C47" i="10" s="1"/>
  <c r="B47" i="10"/>
  <c r="B76" i="8"/>
  <c r="D77" i="8"/>
  <c r="B77" i="8" s="1"/>
  <c r="D63" i="11"/>
  <c r="B63" i="11" s="1"/>
  <c r="D10" i="25"/>
  <c r="B10" i="25" s="1"/>
  <c r="D20" i="24"/>
  <c r="D363" i="8"/>
  <c r="B363" i="8" s="1"/>
  <c r="D86" i="8"/>
  <c r="B86" i="8" s="1"/>
  <c r="D135" i="24"/>
  <c r="D10" i="8"/>
  <c r="B10" i="8" s="1"/>
  <c r="D59" i="8"/>
  <c r="B59" i="8" s="1"/>
  <c r="D239" i="8"/>
  <c r="B239" i="8" s="1"/>
  <c r="D207" i="10"/>
  <c r="B207" i="10" s="1"/>
  <c r="D127" i="10"/>
  <c r="D385" i="10"/>
  <c r="D323" i="10"/>
  <c r="D144" i="10"/>
  <c r="D48" i="10"/>
  <c r="D197" i="10"/>
  <c r="D283" i="10"/>
  <c r="D85" i="10"/>
  <c r="D160" i="10"/>
  <c r="E36" i="13" l="1"/>
  <c r="C36" i="13" s="1"/>
  <c r="B36" i="13"/>
  <c r="D37" i="13"/>
  <c r="B86" i="13"/>
  <c r="D87" i="13"/>
  <c r="B76" i="13"/>
  <c r="E76" i="13"/>
  <c r="C76" i="13" s="1"/>
  <c r="D77" i="13"/>
  <c r="B9" i="13"/>
  <c r="D10" i="13"/>
  <c r="E9" i="29"/>
  <c r="C9" i="29" s="1"/>
  <c r="B9" i="29"/>
  <c r="D10" i="29"/>
  <c r="B9" i="11"/>
  <c r="D10" i="11"/>
  <c r="B11" i="9"/>
  <c r="D12" i="9"/>
  <c r="B9" i="26"/>
  <c r="E9" i="26"/>
  <c r="C9" i="26" s="1"/>
  <c r="D10" i="26"/>
  <c r="E28" i="26"/>
  <c r="C28" i="26" s="1"/>
  <c r="B28" i="26"/>
  <c r="D29" i="26"/>
  <c r="B135" i="24"/>
  <c r="E135" i="24"/>
  <c r="C135" i="24" s="1"/>
  <c r="B20" i="24"/>
  <c r="E20" i="24"/>
  <c r="C20" i="24" s="1"/>
  <c r="E283" i="10"/>
  <c r="C283" i="10" s="1"/>
  <c r="B283" i="10"/>
  <c r="B127" i="10"/>
  <c r="E127" i="10"/>
  <c r="C127" i="10" s="1"/>
  <c r="E197" i="10"/>
  <c r="C197" i="10" s="1"/>
  <c r="B197" i="10"/>
  <c r="E323" i="10"/>
  <c r="C323" i="10" s="1"/>
  <c r="B323" i="10"/>
  <c r="E385" i="10"/>
  <c r="C385" i="10" s="1"/>
  <c r="B385" i="10"/>
  <c r="E48" i="10"/>
  <c r="C48" i="10" s="1"/>
  <c r="B48" i="10"/>
  <c r="E144" i="10"/>
  <c r="C144" i="10" s="1"/>
  <c r="B144" i="10"/>
  <c r="E160" i="10"/>
  <c r="C160" i="10" s="1"/>
  <c r="B160" i="10"/>
  <c r="E85" i="10"/>
  <c r="C85" i="10" s="1"/>
  <c r="B85" i="10"/>
  <c r="D64" i="11"/>
  <c r="D11" i="25"/>
  <c r="B11" i="25" s="1"/>
  <c r="D21" i="24"/>
  <c r="D364" i="8"/>
  <c r="B364" i="8" s="1"/>
  <c r="D87" i="8"/>
  <c r="B87" i="8" s="1"/>
  <c r="D7" i="10"/>
  <c r="D136" i="24"/>
  <c r="D240" i="8"/>
  <c r="B240" i="8" s="1"/>
  <c r="D60" i="8"/>
  <c r="B60" i="8" s="1"/>
  <c r="D174" i="8"/>
  <c r="B174" i="8" s="1"/>
  <c r="D11" i="8"/>
  <c r="B11" i="8" s="1"/>
  <c r="D386" i="10"/>
  <c r="D128" i="10"/>
  <c r="D208" i="10"/>
  <c r="D161" i="10"/>
  <c r="D86" i="10"/>
  <c r="D49" i="10"/>
  <c r="D145" i="10"/>
  <c r="D295" i="10"/>
  <c r="D284" i="10"/>
  <c r="D198" i="10"/>
  <c r="D326" i="10"/>
  <c r="B10" i="13" l="1"/>
  <c r="D11" i="13"/>
  <c r="B87" i="13"/>
  <c r="D88" i="13"/>
  <c r="E37" i="13"/>
  <c r="C37" i="13" s="1"/>
  <c r="B37" i="13"/>
  <c r="D38" i="13"/>
  <c r="B77" i="13"/>
  <c r="E77" i="13"/>
  <c r="C77" i="13" s="1"/>
  <c r="E10" i="29"/>
  <c r="C10" i="29" s="1"/>
  <c r="B10" i="29"/>
  <c r="D11" i="29"/>
  <c r="B10" i="11"/>
  <c r="E10" i="11"/>
  <c r="C10" i="11" s="1"/>
  <c r="D11" i="11"/>
  <c r="B64" i="11"/>
  <c r="E64" i="11"/>
  <c r="C64" i="11" s="1"/>
  <c r="B12" i="9"/>
  <c r="D13" i="9"/>
  <c r="B10" i="26"/>
  <c r="E10" i="26"/>
  <c r="C10" i="26" s="1"/>
  <c r="E29" i="26"/>
  <c r="C29" i="26" s="1"/>
  <c r="B29" i="26"/>
  <c r="D30" i="26"/>
  <c r="B21" i="24"/>
  <c r="E21" i="24"/>
  <c r="C21" i="24" s="1"/>
  <c r="B136" i="24"/>
  <c r="E136" i="24"/>
  <c r="C136" i="24" s="1"/>
  <c r="B128" i="10"/>
  <c r="E128" i="10"/>
  <c r="C128" i="10" s="1"/>
  <c r="B49" i="10"/>
  <c r="E49" i="10"/>
  <c r="C49" i="10" s="1"/>
  <c r="B386" i="10"/>
  <c r="E386" i="10"/>
  <c r="C386" i="10" s="1"/>
  <c r="E326" i="10"/>
  <c r="C326" i="10" s="1"/>
  <c r="B326" i="10"/>
  <c r="E284" i="10"/>
  <c r="C284" i="10" s="1"/>
  <c r="B284" i="10"/>
  <c r="B145" i="10"/>
  <c r="E145" i="10"/>
  <c r="C145" i="10" s="1"/>
  <c r="B86" i="10"/>
  <c r="E86" i="10"/>
  <c r="C86" i="10" s="1"/>
  <c r="B208" i="10"/>
  <c r="E208" i="10"/>
  <c r="C208" i="10" s="1"/>
  <c r="E295" i="10"/>
  <c r="C295" i="10" s="1"/>
  <c r="B295" i="10"/>
  <c r="B198" i="10"/>
  <c r="E198" i="10"/>
  <c r="C198" i="10" s="1"/>
  <c r="E161" i="10"/>
  <c r="C161" i="10" s="1"/>
  <c r="B161" i="10"/>
  <c r="E7" i="10"/>
  <c r="C7" i="10" s="1"/>
  <c r="B7" i="10"/>
  <c r="D65" i="11"/>
  <c r="B65" i="11" s="1"/>
  <c r="D12" i="25"/>
  <c r="B12" i="25" s="1"/>
  <c r="D22" i="24"/>
  <c r="D365" i="8"/>
  <c r="B365" i="8" s="1"/>
  <c r="D88" i="8"/>
  <c r="B88" i="8" s="1"/>
  <c r="D8" i="10"/>
  <c r="D137" i="24"/>
  <c r="D175" i="8"/>
  <c r="D61" i="8"/>
  <c r="B61" i="8" s="1"/>
  <c r="D12" i="8"/>
  <c r="B12" i="8" s="1"/>
  <c r="D241" i="8"/>
  <c r="B241" i="8" s="1"/>
  <c r="D129" i="10"/>
  <c r="D387" i="10"/>
  <c r="D209" i="10"/>
  <c r="B209" i="10" s="1"/>
  <c r="D146" i="10"/>
  <c r="D50" i="10"/>
  <c r="D327" i="10"/>
  <c r="D285" i="10"/>
  <c r="D87" i="10"/>
  <c r="D162" i="10"/>
  <c r="E38" i="13" l="1"/>
  <c r="C38" i="13" s="1"/>
  <c r="B38" i="13"/>
  <c r="D39" i="13"/>
  <c r="B11" i="13"/>
  <c r="D12" i="13"/>
  <c r="E88" i="13"/>
  <c r="C88" i="13" s="1"/>
  <c r="B88" i="13"/>
  <c r="D89" i="13"/>
  <c r="E11" i="29"/>
  <c r="C11" i="29" s="1"/>
  <c r="B11" i="29"/>
  <c r="D12" i="29"/>
  <c r="B11" i="11"/>
  <c r="D12" i="11"/>
  <c r="B13" i="9"/>
  <c r="D14" i="9"/>
  <c r="B14" i="9" s="1"/>
  <c r="E30" i="26"/>
  <c r="C30" i="26" s="1"/>
  <c r="B30" i="26"/>
  <c r="D31" i="26"/>
  <c r="E137" i="24"/>
  <c r="C137" i="24" s="1"/>
  <c r="B137" i="24"/>
  <c r="B22" i="24"/>
  <c r="E22" i="24"/>
  <c r="C22" i="24" s="1"/>
  <c r="B327" i="10"/>
  <c r="E327" i="10"/>
  <c r="C327" i="10" s="1"/>
  <c r="E285" i="10"/>
  <c r="C285" i="10" s="1"/>
  <c r="B285" i="10"/>
  <c r="B146" i="10"/>
  <c r="E146" i="10"/>
  <c r="C146" i="10" s="1"/>
  <c r="B87" i="10"/>
  <c r="E87" i="10"/>
  <c r="C87" i="10" s="1"/>
  <c r="E8" i="10"/>
  <c r="C8" i="10" s="1"/>
  <c r="B8" i="10"/>
  <c r="E50" i="10"/>
  <c r="C50" i="10" s="1"/>
  <c r="B50" i="10"/>
  <c r="E387" i="10"/>
  <c r="C387" i="10" s="1"/>
  <c r="B387" i="10"/>
  <c r="B162" i="10"/>
  <c r="E162" i="10"/>
  <c r="C162" i="10" s="1"/>
  <c r="E129" i="10"/>
  <c r="C129" i="10" s="1"/>
  <c r="B129" i="10"/>
  <c r="B175" i="8"/>
  <c r="E175" i="8"/>
  <c r="C175" i="8" s="1"/>
  <c r="D66" i="11"/>
  <c r="D13" i="25"/>
  <c r="B13" i="25" s="1"/>
  <c r="D23" i="24"/>
  <c r="D366" i="8"/>
  <c r="B366" i="8" s="1"/>
  <c r="D89" i="8"/>
  <c r="B89" i="8" s="1"/>
  <c r="D9" i="10"/>
  <c r="D138" i="24"/>
  <c r="D242" i="8"/>
  <c r="B242" i="8" s="1"/>
  <c r="D13" i="8"/>
  <c r="B13" i="8" s="1"/>
  <c r="D62" i="8"/>
  <c r="B62" i="8" s="1"/>
  <c r="D176" i="8"/>
  <c r="D210" i="10"/>
  <c r="B210" i="10" s="1"/>
  <c r="D388" i="10"/>
  <c r="D130" i="10"/>
  <c r="D328" i="10"/>
  <c r="D163" i="10"/>
  <c r="D296" i="10"/>
  <c r="D88" i="10"/>
  <c r="D286" i="10"/>
  <c r="D51" i="10"/>
  <c r="D147" i="10"/>
  <c r="E39" i="13" l="1"/>
  <c r="C39" i="13" s="1"/>
  <c r="B39" i="13"/>
  <c r="D40" i="13"/>
  <c r="E89" i="13"/>
  <c r="C89" i="13" s="1"/>
  <c r="B89" i="13"/>
  <c r="D90" i="13"/>
  <c r="B12" i="13"/>
  <c r="D13" i="13"/>
  <c r="B12" i="29"/>
  <c r="E12" i="29"/>
  <c r="C12" i="29" s="1"/>
  <c r="B66" i="11"/>
  <c r="E66" i="11"/>
  <c r="C66" i="11" s="1"/>
  <c r="B12" i="11"/>
  <c r="E12" i="11"/>
  <c r="C12" i="11" s="1"/>
  <c r="D13" i="11"/>
  <c r="E31" i="26"/>
  <c r="C31" i="26" s="1"/>
  <c r="B31" i="26"/>
  <c r="D32" i="26"/>
  <c r="E138" i="24"/>
  <c r="C138" i="24" s="1"/>
  <c r="B138" i="24"/>
  <c r="B23" i="24"/>
  <c r="E23" i="24"/>
  <c r="C23" i="24" s="1"/>
  <c r="B51" i="10"/>
  <c r="E51" i="10"/>
  <c r="C51" i="10" s="1"/>
  <c r="B88" i="10"/>
  <c r="E88" i="10"/>
  <c r="C88" i="10" s="1"/>
  <c r="B328" i="10"/>
  <c r="E328" i="10"/>
  <c r="C328" i="10" s="1"/>
  <c r="E286" i="10"/>
  <c r="C286" i="10" s="1"/>
  <c r="B286" i="10"/>
  <c r="B147" i="10"/>
  <c r="E147" i="10"/>
  <c r="C147" i="10" s="1"/>
  <c r="E163" i="10"/>
  <c r="C163" i="10" s="1"/>
  <c r="B163" i="10"/>
  <c r="B388" i="10"/>
  <c r="E388" i="10"/>
  <c r="C388" i="10" s="1"/>
  <c r="E296" i="10"/>
  <c r="C296" i="10" s="1"/>
  <c r="B296" i="10"/>
  <c r="E130" i="10"/>
  <c r="C130" i="10" s="1"/>
  <c r="B130" i="10"/>
  <c r="E9" i="10"/>
  <c r="C9" i="10" s="1"/>
  <c r="B9" i="10"/>
  <c r="B176" i="8"/>
  <c r="E176" i="8"/>
  <c r="C176" i="8" s="1"/>
  <c r="D67" i="11"/>
  <c r="B67" i="11" s="1"/>
  <c r="D14" i="25"/>
  <c r="B14" i="25" s="1"/>
  <c r="D24" i="24"/>
  <c r="D367" i="8"/>
  <c r="B367" i="8" s="1"/>
  <c r="D90" i="8"/>
  <c r="B90" i="8" s="1"/>
  <c r="D10" i="10"/>
  <c r="D139" i="24"/>
  <c r="D63" i="8"/>
  <c r="B63" i="8" s="1"/>
  <c r="D177" i="8"/>
  <c r="D243" i="8"/>
  <c r="B243" i="8" s="1"/>
  <c r="D14" i="8"/>
  <c r="B14" i="8" s="1"/>
  <c r="D211" i="10"/>
  <c r="B211" i="10" s="1"/>
  <c r="D131" i="10"/>
  <c r="D389" i="10"/>
  <c r="D164" i="10"/>
  <c r="D89" i="10"/>
  <c r="D52" i="10"/>
  <c r="D287" i="10"/>
  <c r="D148" i="10"/>
  <c r="D329" i="10"/>
  <c r="E13" i="13" l="1"/>
  <c r="C13" i="13" s="1"/>
  <c r="B13" i="13"/>
  <c r="D14" i="13"/>
  <c r="E90" i="13"/>
  <c r="C90" i="13" s="1"/>
  <c r="B90" i="13"/>
  <c r="D91" i="13"/>
  <c r="E40" i="13"/>
  <c r="C40" i="13" s="1"/>
  <c r="B40" i="13"/>
  <c r="D41" i="13"/>
  <c r="B13" i="11"/>
  <c r="D14" i="11"/>
  <c r="E32" i="26"/>
  <c r="C32" i="26" s="1"/>
  <c r="B32" i="26"/>
  <c r="D33" i="26"/>
  <c r="E139" i="24"/>
  <c r="C139" i="24" s="1"/>
  <c r="B139" i="24"/>
  <c r="B24" i="24"/>
  <c r="E24" i="24"/>
  <c r="C24" i="24" s="1"/>
  <c r="B148" i="10"/>
  <c r="E148" i="10"/>
  <c r="C148" i="10" s="1"/>
  <c r="E89" i="10"/>
  <c r="C89" i="10" s="1"/>
  <c r="B89" i="10"/>
  <c r="E164" i="10"/>
  <c r="C164" i="10" s="1"/>
  <c r="B164" i="10"/>
  <c r="E389" i="10"/>
  <c r="C389" i="10" s="1"/>
  <c r="B389" i="10"/>
  <c r="B131" i="10"/>
  <c r="E131" i="10"/>
  <c r="C131" i="10" s="1"/>
  <c r="B329" i="10"/>
  <c r="E329" i="10"/>
  <c r="C329" i="10" s="1"/>
  <c r="E52" i="10"/>
  <c r="C52" i="10" s="1"/>
  <c r="B52" i="10"/>
  <c r="B10" i="10"/>
  <c r="E10" i="10"/>
  <c r="C10" i="10" s="1"/>
  <c r="E287" i="10"/>
  <c r="C287" i="10" s="1"/>
  <c r="B287" i="10"/>
  <c r="D179" i="8"/>
  <c r="B179" i="8" s="1"/>
  <c r="E177" i="8"/>
  <c r="C177" i="8" s="1"/>
  <c r="B177" i="8"/>
  <c r="D68" i="11"/>
  <c r="D25" i="24"/>
  <c r="D368" i="8"/>
  <c r="B368" i="8" s="1"/>
  <c r="D91" i="8"/>
  <c r="B91" i="8" s="1"/>
  <c r="D11" i="10"/>
  <c r="D140" i="24"/>
  <c r="D15" i="8"/>
  <c r="B15" i="8" s="1"/>
  <c r="D244" i="8"/>
  <c r="B244" i="8" s="1"/>
  <c r="D64" i="8"/>
  <c r="B64" i="8" s="1"/>
  <c r="D132" i="10"/>
  <c r="D212" i="10"/>
  <c r="B212" i="10" s="1"/>
  <c r="D149" i="10"/>
  <c r="D297" i="10"/>
  <c r="D288" i="10"/>
  <c r="D90" i="10"/>
  <c r="D330" i="10"/>
  <c r="D53" i="10"/>
  <c r="D165" i="10"/>
  <c r="E41" i="13" l="1"/>
  <c r="C41" i="13" s="1"/>
  <c r="B41" i="13"/>
  <c r="D42" i="13"/>
  <c r="E14" i="13"/>
  <c r="C14" i="13" s="1"/>
  <c r="B14" i="13"/>
  <c r="D15" i="13"/>
  <c r="B91" i="13"/>
  <c r="E91" i="13"/>
  <c r="C91" i="13" s="1"/>
  <c r="D92" i="13"/>
  <c r="E68" i="11"/>
  <c r="C68" i="11" s="1"/>
  <c r="B68" i="11"/>
  <c r="B14" i="11"/>
  <c r="E14" i="11"/>
  <c r="C14" i="11" s="1"/>
  <c r="D15" i="11"/>
  <c r="E33" i="26"/>
  <c r="C33" i="26" s="1"/>
  <c r="B33" i="26"/>
  <c r="D34" i="26"/>
  <c r="D180" i="8"/>
  <c r="D181" i="8" s="1"/>
  <c r="B181" i="8" s="1"/>
  <c r="E140" i="24"/>
  <c r="C140" i="24" s="1"/>
  <c r="B140" i="24"/>
  <c r="E25" i="24"/>
  <c r="C25" i="24" s="1"/>
  <c r="B25" i="24"/>
  <c r="E165" i="10"/>
  <c r="C165" i="10" s="1"/>
  <c r="B165" i="10"/>
  <c r="B288" i="10"/>
  <c r="E288" i="10"/>
  <c r="C288" i="10" s="1"/>
  <c r="E297" i="10"/>
  <c r="C297" i="10" s="1"/>
  <c r="B297" i="10"/>
  <c r="E330" i="10"/>
  <c r="C330" i="10" s="1"/>
  <c r="B330" i="10"/>
  <c r="E53" i="10"/>
  <c r="C53" i="10" s="1"/>
  <c r="B53" i="10"/>
  <c r="E90" i="10"/>
  <c r="C90" i="10" s="1"/>
  <c r="B90" i="10"/>
  <c r="B149" i="10"/>
  <c r="E149" i="10"/>
  <c r="C149" i="10" s="1"/>
  <c r="B132" i="10"/>
  <c r="E132" i="10"/>
  <c r="C132" i="10" s="1"/>
  <c r="B11" i="10"/>
  <c r="E11" i="10"/>
  <c r="C11" i="10" s="1"/>
  <c r="D69" i="11"/>
  <c r="B69" i="11" s="1"/>
  <c r="D26" i="24"/>
  <c r="D369" i="8"/>
  <c r="B369" i="8" s="1"/>
  <c r="D92" i="8"/>
  <c r="B92" i="8" s="1"/>
  <c r="D12" i="10"/>
  <c r="D141" i="24"/>
  <c r="D65" i="8"/>
  <c r="B65" i="8" s="1"/>
  <c r="D245" i="8"/>
  <c r="B245" i="8" s="1"/>
  <c r="D16" i="8"/>
  <c r="B16" i="8" s="1"/>
  <c r="D213" i="10"/>
  <c r="D133" i="10"/>
  <c r="D289" i="10"/>
  <c r="D91" i="10"/>
  <c r="D54" i="10"/>
  <c r="D166" i="10"/>
  <c r="D331" i="10"/>
  <c r="B180" i="8" l="1"/>
  <c r="E42" i="13"/>
  <c r="C42" i="13" s="1"/>
  <c r="B42" i="13"/>
  <c r="D43" i="13"/>
  <c r="B92" i="13"/>
  <c r="E92" i="13"/>
  <c r="C92" i="13" s="1"/>
  <c r="D93" i="13"/>
  <c r="E15" i="13"/>
  <c r="C15" i="13" s="1"/>
  <c r="B15" i="13"/>
  <c r="D16" i="13"/>
  <c r="B15" i="11"/>
  <c r="D16" i="11"/>
  <c r="E34" i="26"/>
  <c r="C34" i="26" s="1"/>
  <c r="B34" i="26"/>
  <c r="D35" i="26"/>
  <c r="E141" i="24"/>
  <c r="C141" i="24" s="1"/>
  <c r="B141" i="24"/>
  <c r="B26" i="24"/>
  <c r="E26" i="24"/>
  <c r="C26" i="24" s="1"/>
  <c r="B289" i="10"/>
  <c r="E289" i="10"/>
  <c r="C289" i="10" s="1"/>
  <c r="E133" i="10"/>
  <c r="C133" i="10" s="1"/>
  <c r="B133" i="10"/>
  <c r="E213" i="10"/>
  <c r="C213" i="10" s="1"/>
  <c r="B213" i="10"/>
  <c r="B331" i="10"/>
  <c r="E331" i="10"/>
  <c r="C331" i="10" s="1"/>
  <c r="E54" i="10"/>
  <c r="C54" i="10" s="1"/>
  <c r="B54" i="10"/>
  <c r="E91" i="10"/>
  <c r="C91" i="10" s="1"/>
  <c r="B91" i="10"/>
  <c r="E166" i="10"/>
  <c r="C166" i="10" s="1"/>
  <c r="B166" i="10"/>
  <c r="B12" i="10"/>
  <c r="E12" i="10"/>
  <c r="C12" i="10" s="1"/>
  <c r="D70" i="11"/>
  <c r="D27" i="24"/>
  <c r="D370" i="8"/>
  <c r="B370" i="8" s="1"/>
  <c r="D182" i="8"/>
  <c r="D93" i="8"/>
  <c r="D13" i="10"/>
  <c r="D142" i="24"/>
  <c r="D246" i="8"/>
  <c r="B246" i="8" s="1"/>
  <c r="D17" i="8"/>
  <c r="B17" i="8" s="1"/>
  <c r="D66" i="8"/>
  <c r="B66" i="8" s="1"/>
  <c r="D134" i="10"/>
  <c r="D214" i="10"/>
  <c r="B214" i="10" s="1"/>
  <c r="D92" i="10"/>
  <c r="D332" i="10"/>
  <c r="D167" i="10"/>
  <c r="D55" i="10"/>
  <c r="B182" i="8" l="1"/>
  <c r="D183" i="8"/>
  <c r="E16" i="13"/>
  <c r="C16" i="13" s="1"/>
  <c r="B16" i="13"/>
  <c r="D17" i="13"/>
  <c r="E43" i="13"/>
  <c r="C43" i="13" s="1"/>
  <c r="B43" i="13"/>
  <c r="D44" i="13"/>
  <c r="B93" i="13"/>
  <c r="E93" i="13"/>
  <c r="C93" i="13" s="1"/>
  <c r="D94" i="13"/>
  <c r="E16" i="11"/>
  <c r="C16" i="11" s="1"/>
  <c r="B16" i="11"/>
  <c r="D17" i="11"/>
  <c r="E70" i="11"/>
  <c r="C70" i="11" s="1"/>
  <c r="B70" i="11"/>
  <c r="E35" i="26"/>
  <c r="C35" i="26" s="1"/>
  <c r="B35" i="26"/>
  <c r="D36" i="26"/>
  <c r="E27" i="24"/>
  <c r="C27" i="24" s="1"/>
  <c r="B27" i="24"/>
  <c r="E142" i="24"/>
  <c r="C142" i="24" s="1"/>
  <c r="B142" i="24"/>
  <c r="B13" i="10"/>
  <c r="E13" i="10"/>
  <c r="C13" i="10" s="1"/>
  <c r="B92" i="10"/>
  <c r="E92" i="10"/>
  <c r="C92" i="10" s="1"/>
  <c r="E55" i="10"/>
  <c r="C55" i="10" s="1"/>
  <c r="B55" i="10"/>
  <c r="B332" i="10"/>
  <c r="E332" i="10"/>
  <c r="C332" i="10" s="1"/>
  <c r="E134" i="10"/>
  <c r="C134" i="10" s="1"/>
  <c r="B134" i="10"/>
  <c r="B167" i="10"/>
  <c r="E167" i="10"/>
  <c r="C167" i="10" s="1"/>
  <c r="E93" i="8"/>
  <c r="C93" i="8" s="1"/>
  <c r="B93" i="8"/>
  <c r="D71" i="11"/>
  <c r="B71" i="11" s="1"/>
  <c r="D28" i="24"/>
  <c r="D371" i="8"/>
  <c r="B371" i="8" s="1"/>
  <c r="D94" i="8"/>
  <c r="D14" i="10"/>
  <c r="D67" i="8"/>
  <c r="B67" i="8" s="1"/>
  <c r="D18" i="8"/>
  <c r="B18" i="8" s="1"/>
  <c r="D247" i="8"/>
  <c r="B247" i="8" s="1"/>
  <c r="D215" i="10"/>
  <c r="B215" i="10" s="1"/>
  <c r="D135" i="10"/>
  <c r="D168" i="10"/>
  <c r="D93" i="10"/>
  <c r="D56" i="10"/>
  <c r="D333" i="10"/>
  <c r="B183" i="8" l="1"/>
  <c r="D184" i="8"/>
  <c r="B94" i="13"/>
  <c r="E94" i="13"/>
  <c r="C94" i="13" s="1"/>
  <c r="D95" i="13"/>
  <c r="E17" i="13"/>
  <c r="C17" i="13" s="1"/>
  <c r="B17" i="13"/>
  <c r="D18" i="13"/>
  <c r="E44" i="13"/>
  <c r="C44" i="13" s="1"/>
  <c r="B44" i="13"/>
  <c r="D45" i="13"/>
  <c r="B17" i="11"/>
  <c r="D18" i="11"/>
  <c r="E36" i="26"/>
  <c r="C36" i="26" s="1"/>
  <c r="B36" i="26"/>
  <c r="D37" i="26"/>
  <c r="E28" i="24"/>
  <c r="C28" i="24" s="1"/>
  <c r="B28" i="24"/>
  <c r="B14" i="10"/>
  <c r="E14" i="10"/>
  <c r="C14" i="10" s="1"/>
  <c r="E333" i="10"/>
  <c r="C333" i="10" s="1"/>
  <c r="B333" i="10"/>
  <c r="B56" i="10"/>
  <c r="E56" i="10"/>
  <c r="C56" i="10" s="1"/>
  <c r="B93" i="10"/>
  <c r="E93" i="10"/>
  <c r="C93" i="10" s="1"/>
  <c r="B168" i="10"/>
  <c r="E168" i="10"/>
  <c r="C168" i="10" s="1"/>
  <c r="E135" i="10"/>
  <c r="C135" i="10" s="1"/>
  <c r="B135" i="10"/>
  <c r="E94" i="8"/>
  <c r="C94" i="8" s="1"/>
  <c r="B94" i="8"/>
  <c r="D72" i="11"/>
  <c r="D29" i="24"/>
  <c r="D372" i="8"/>
  <c r="B372" i="8" s="1"/>
  <c r="D95" i="8"/>
  <c r="D15" i="10"/>
  <c r="D248" i="8"/>
  <c r="B248" i="8" s="1"/>
  <c r="D19" i="8"/>
  <c r="B19" i="8" s="1"/>
  <c r="D68" i="8"/>
  <c r="B68" i="8" s="1"/>
  <c r="D216" i="10"/>
  <c r="B216" i="10" s="1"/>
  <c r="D334" i="10"/>
  <c r="D169" i="10"/>
  <c r="D94" i="10"/>
  <c r="D57" i="10"/>
  <c r="B184" i="8" l="1"/>
  <c r="D185" i="8"/>
  <c r="D186" i="8" s="1"/>
  <c r="B95" i="13"/>
  <c r="E95" i="13"/>
  <c r="C95" i="13" s="1"/>
  <c r="D96" i="13"/>
  <c r="E18" i="13"/>
  <c r="C18" i="13" s="1"/>
  <c r="B18" i="13"/>
  <c r="D19" i="13"/>
  <c r="B45" i="13"/>
  <c r="E45" i="13"/>
  <c r="C45" i="13" s="1"/>
  <c r="D46" i="13"/>
  <c r="E72" i="11"/>
  <c r="C72" i="11" s="1"/>
  <c r="B72" i="11"/>
  <c r="E18" i="11"/>
  <c r="C18" i="11" s="1"/>
  <c r="B18" i="11"/>
  <c r="D19" i="11"/>
  <c r="B37" i="26"/>
  <c r="E37" i="26"/>
  <c r="C37" i="26" s="1"/>
  <c r="D38" i="26"/>
  <c r="E29" i="24"/>
  <c r="C29" i="24" s="1"/>
  <c r="B29" i="24"/>
  <c r="E15" i="10"/>
  <c r="C15" i="10" s="1"/>
  <c r="B15" i="10"/>
  <c r="B57" i="10"/>
  <c r="E57" i="10"/>
  <c r="C57" i="10" s="1"/>
  <c r="B94" i="10"/>
  <c r="E94" i="10"/>
  <c r="C94" i="10" s="1"/>
  <c r="B169" i="10"/>
  <c r="E169" i="10"/>
  <c r="C169" i="10" s="1"/>
  <c r="B334" i="10"/>
  <c r="E334" i="10"/>
  <c r="C334" i="10" s="1"/>
  <c r="E95" i="8"/>
  <c r="C95" i="8" s="1"/>
  <c r="B95" i="8"/>
  <c r="D73" i="11"/>
  <c r="B73" i="11" s="1"/>
  <c r="D30" i="24"/>
  <c r="D373" i="8"/>
  <c r="B373" i="8" s="1"/>
  <c r="D96" i="8"/>
  <c r="D16" i="10"/>
  <c r="D20" i="8"/>
  <c r="B20" i="8" s="1"/>
  <c r="D249" i="8"/>
  <c r="B249" i="8" s="1"/>
  <c r="D217" i="10"/>
  <c r="B217" i="10" s="1"/>
  <c r="D170" i="10"/>
  <c r="D58" i="10"/>
  <c r="D95" i="10"/>
  <c r="D335" i="10"/>
  <c r="B186" i="8" l="1"/>
  <c r="E186" i="8"/>
  <c r="C186" i="8" s="1"/>
  <c r="D187" i="8"/>
  <c r="B185" i="8"/>
  <c r="B46" i="13"/>
  <c r="E46" i="13"/>
  <c r="C46" i="13" s="1"/>
  <c r="D47" i="13"/>
  <c r="E96" i="13"/>
  <c r="C96" i="13" s="1"/>
  <c r="B96" i="13"/>
  <c r="D97" i="13"/>
  <c r="B19" i="13"/>
  <c r="E19" i="13"/>
  <c r="C19" i="13" s="1"/>
  <c r="D20" i="13"/>
  <c r="B19" i="11"/>
  <c r="D20" i="11"/>
  <c r="B38" i="26"/>
  <c r="E38" i="26"/>
  <c r="C38" i="26" s="1"/>
  <c r="E30" i="24"/>
  <c r="C30" i="24" s="1"/>
  <c r="B30" i="24"/>
  <c r="B95" i="10"/>
  <c r="E95" i="10"/>
  <c r="C95" i="10" s="1"/>
  <c r="E170" i="10"/>
  <c r="C170" i="10" s="1"/>
  <c r="B170" i="10"/>
  <c r="B58" i="10"/>
  <c r="E58" i="10"/>
  <c r="C58" i="10" s="1"/>
  <c r="B16" i="10"/>
  <c r="E16" i="10"/>
  <c r="C16" i="10" s="1"/>
  <c r="E335" i="10"/>
  <c r="C335" i="10" s="1"/>
  <c r="B335" i="10"/>
  <c r="E96" i="8"/>
  <c r="C96" i="8" s="1"/>
  <c r="B96" i="8"/>
  <c r="D74" i="11"/>
  <c r="D31" i="24"/>
  <c r="D374" i="8"/>
  <c r="B374" i="8" s="1"/>
  <c r="D97" i="8"/>
  <c r="D17" i="10"/>
  <c r="D21" i="8"/>
  <c r="B21" i="8" s="1"/>
  <c r="D250" i="8"/>
  <c r="B250" i="8" s="1"/>
  <c r="D218" i="10"/>
  <c r="D336" i="10"/>
  <c r="D59" i="10"/>
  <c r="D96" i="10"/>
  <c r="D171" i="10"/>
  <c r="B187" i="8" l="1"/>
  <c r="E187" i="8"/>
  <c r="C187" i="8" s="1"/>
  <c r="B20" i="13"/>
  <c r="E20" i="13"/>
  <c r="C20" i="13" s="1"/>
  <c r="D21" i="13"/>
  <c r="E47" i="13"/>
  <c r="C47" i="13" s="1"/>
  <c r="B47" i="13"/>
  <c r="D48" i="13"/>
  <c r="E97" i="13"/>
  <c r="C97" i="13" s="1"/>
  <c r="B97" i="13"/>
  <c r="D98" i="13"/>
  <c r="E74" i="11"/>
  <c r="C74" i="11" s="1"/>
  <c r="B74" i="11"/>
  <c r="E20" i="11"/>
  <c r="C20" i="11" s="1"/>
  <c r="B20" i="11"/>
  <c r="D21" i="11"/>
  <c r="E31" i="24"/>
  <c r="C31" i="24" s="1"/>
  <c r="B31" i="24"/>
  <c r="E336" i="10"/>
  <c r="C336" i="10" s="1"/>
  <c r="B336" i="10"/>
  <c r="B17" i="10"/>
  <c r="E17" i="10"/>
  <c r="C17" i="10" s="1"/>
  <c r="B96" i="10"/>
  <c r="E96" i="10"/>
  <c r="C96" i="10" s="1"/>
  <c r="B218" i="10"/>
  <c r="E218" i="10"/>
  <c r="C218" i="10" s="1"/>
  <c r="E59" i="10"/>
  <c r="C59" i="10" s="1"/>
  <c r="B59" i="10"/>
  <c r="E171" i="10"/>
  <c r="C171" i="10" s="1"/>
  <c r="B171" i="10"/>
  <c r="E97" i="8"/>
  <c r="C97" i="8" s="1"/>
  <c r="B97" i="8"/>
  <c r="D75" i="11"/>
  <c r="B75" i="11" s="1"/>
  <c r="D32" i="24"/>
  <c r="D375" i="8"/>
  <c r="B375" i="8" s="1"/>
  <c r="D98" i="8"/>
  <c r="D18" i="10"/>
  <c r="D251" i="8"/>
  <c r="B251" i="8" s="1"/>
  <c r="D22" i="8"/>
  <c r="B22" i="8" s="1"/>
  <c r="D219" i="10"/>
  <c r="B219" i="10" s="1"/>
  <c r="D60" i="10"/>
  <c r="D337" i="10"/>
  <c r="D172" i="10"/>
  <c r="D97" i="10"/>
  <c r="E98" i="13" l="1"/>
  <c r="C98" i="13" s="1"/>
  <c r="B98" i="13"/>
  <c r="D99" i="13"/>
  <c r="E21" i="13"/>
  <c r="C21" i="13" s="1"/>
  <c r="B21" i="13"/>
  <c r="D22" i="13"/>
  <c r="B48" i="13"/>
  <c r="E48" i="13"/>
  <c r="C48" i="13" s="1"/>
  <c r="D49" i="13"/>
  <c r="B21" i="11"/>
  <c r="D22" i="11"/>
  <c r="E32" i="24"/>
  <c r="C32" i="24" s="1"/>
  <c r="B32" i="24"/>
  <c r="E60" i="10"/>
  <c r="C60" i="10" s="1"/>
  <c r="B60" i="10"/>
  <c r="B18" i="10"/>
  <c r="E18" i="10"/>
  <c r="C18" i="10" s="1"/>
  <c r="B97" i="10"/>
  <c r="E97" i="10"/>
  <c r="C97" i="10" s="1"/>
  <c r="E172" i="10"/>
  <c r="C172" i="10" s="1"/>
  <c r="B172" i="10"/>
  <c r="E337" i="10"/>
  <c r="C337" i="10" s="1"/>
  <c r="B337" i="10"/>
  <c r="B98" i="8"/>
  <c r="E98" i="8"/>
  <c r="C98" i="8" s="1"/>
  <c r="D76" i="11"/>
  <c r="D33" i="24"/>
  <c r="D376" i="8"/>
  <c r="B376" i="8" s="1"/>
  <c r="D99" i="8"/>
  <c r="D19" i="10"/>
  <c r="D23" i="8"/>
  <c r="B23" i="8" s="1"/>
  <c r="D252" i="8"/>
  <c r="B252" i="8" s="1"/>
  <c r="D220" i="10"/>
  <c r="B220" i="10" s="1"/>
  <c r="D338" i="10"/>
  <c r="D98" i="10"/>
  <c r="D61" i="10"/>
  <c r="D173" i="10"/>
  <c r="E99" i="13" l="1"/>
  <c r="C99" i="13" s="1"/>
  <c r="B99" i="13"/>
  <c r="D100" i="13"/>
  <c r="B49" i="13"/>
  <c r="E49" i="13"/>
  <c r="C49" i="13" s="1"/>
  <c r="D50" i="13"/>
  <c r="E22" i="13"/>
  <c r="C22" i="13" s="1"/>
  <c r="B22" i="13"/>
  <c r="D23" i="13"/>
  <c r="E22" i="11"/>
  <c r="C22" i="11" s="1"/>
  <c r="B22" i="11"/>
  <c r="D23" i="11"/>
  <c r="E76" i="11"/>
  <c r="C76" i="11" s="1"/>
  <c r="B76" i="11"/>
  <c r="E33" i="24"/>
  <c r="C33" i="24" s="1"/>
  <c r="B33" i="24"/>
  <c r="E98" i="10"/>
  <c r="C98" i="10" s="1"/>
  <c r="B98" i="10"/>
  <c r="E19" i="10"/>
  <c r="C19" i="10" s="1"/>
  <c r="B19" i="10"/>
  <c r="B61" i="10"/>
  <c r="E61" i="10"/>
  <c r="C61" i="10" s="1"/>
  <c r="E338" i="10"/>
  <c r="C338" i="10" s="1"/>
  <c r="B338" i="10"/>
  <c r="E173" i="10"/>
  <c r="C173" i="10" s="1"/>
  <c r="B173" i="10"/>
  <c r="B99" i="8"/>
  <c r="E99" i="8"/>
  <c r="C99" i="8" s="1"/>
  <c r="D77" i="11"/>
  <c r="B77" i="11" s="1"/>
  <c r="D34" i="24"/>
  <c r="D377" i="8"/>
  <c r="B377" i="8" s="1"/>
  <c r="D100" i="8"/>
  <c r="D20" i="10"/>
  <c r="D253" i="8"/>
  <c r="B253" i="8" s="1"/>
  <c r="D24" i="8"/>
  <c r="B24" i="8" s="1"/>
  <c r="D221" i="10"/>
  <c r="B221" i="10" s="1"/>
  <c r="D99" i="10"/>
  <c r="D174" i="10"/>
  <c r="D339" i="10"/>
  <c r="D62" i="10"/>
  <c r="B23" i="13" l="1"/>
  <c r="E23" i="13"/>
  <c r="C23" i="13" s="1"/>
  <c r="D24" i="13"/>
  <c r="B100" i="13"/>
  <c r="E100" i="13"/>
  <c r="C100" i="13" s="1"/>
  <c r="D101" i="13"/>
  <c r="B50" i="13"/>
  <c r="E50" i="13"/>
  <c r="C50" i="13" s="1"/>
  <c r="D51" i="13"/>
  <c r="B23" i="11"/>
  <c r="D24" i="11"/>
  <c r="E34" i="24"/>
  <c r="C34" i="24" s="1"/>
  <c r="B34" i="24"/>
  <c r="B99" i="10"/>
  <c r="E99" i="10"/>
  <c r="C99" i="10" s="1"/>
  <c r="B339" i="10"/>
  <c r="E339" i="10"/>
  <c r="C339" i="10" s="1"/>
  <c r="D21" i="10"/>
  <c r="D22" i="10" s="1"/>
  <c r="E20" i="10"/>
  <c r="C20" i="10" s="1"/>
  <c r="B20" i="10"/>
  <c r="B174" i="10"/>
  <c r="E174" i="10"/>
  <c r="C174" i="10" s="1"/>
  <c r="B62" i="10"/>
  <c r="E62" i="10"/>
  <c r="C62" i="10" s="1"/>
  <c r="B100" i="8"/>
  <c r="E100" i="8"/>
  <c r="C100" i="8" s="1"/>
  <c r="D78" i="11"/>
  <c r="D35" i="24"/>
  <c r="D378" i="8"/>
  <c r="B378" i="8" s="1"/>
  <c r="D101" i="8"/>
  <c r="D25" i="8"/>
  <c r="B25" i="8" s="1"/>
  <c r="D254" i="8"/>
  <c r="B254" i="8" s="1"/>
  <c r="D222" i="10"/>
  <c r="B222" i="10" s="1"/>
  <c r="D175" i="10"/>
  <c r="D340" i="10"/>
  <c r="D100" i="10"/>
  <c r="D63" i="10"/>
  <c r="B24" i="13" l="1"/>
  <c r="E24" i="13"/>
  <c r="C24" i="13" s="1"/>
  <c r="D25" i="13"/>
  <c r="B101" i="13"/>
  <c r="E101" i="13"/>
  <c r="C101" i="13" s="1"/>
  <c r="D102" i="13"/>
  <c r="E51" i="13"/>
  <c r="C51" i="13" s="1"/>
  <c r="B51" i="13"/>
  <c r="D52" i="13"/>
  <c r="E78" i="11"/>
  <c r="C78" i="11" s="1"/>
  <c r="B78" i="11"/>
  <c r="E24" i="11"/>
  <c r="C24" i="11" s="1"/>
  <c r="B24" i="11"/>
  <c r="D25" i="11"/>
  <c r="B35" i="24"/>
  <c r="E35" i="24"/>
  <c r="C35" i="24" s="1"/>
  <c r="B340" i="10"/>
  <c r="E340" i="10"/>
  <c r="C340" i="10" s="1"/>
  <c r="B21" i="10"/>
  <c r="E21" i="10"/>
  <c r="C21" i="10" s="1"/>
  <c r="B22" i="10"/>
  <c r="E22" i="10"/>
  <c r="C22" i="10" s="1"/>
  <c r="B175" i="10"/>
  <c r="E175" i="10"/>
  <c r="C175" i="10" s="1"/>
  <c r="B63" i="10"/>
  <c r="E63" i="10"/>
  <c r="C63" i="10" s="1"/>
  <c r="B100" i="10"/>
  <c r="E100" i="10"/>
  <c r="C100" i="10" s="1"/>
  <c r="E101" i="8"/>
  <c r="C101" i="8" s="1"/>
  <c r="B101" i="8"/>
  <c r="D79" i="11"/>
  <c r="B79" i="11" s="1"/>
  <c r="D36" i="24"/>
  <c r="D379" i="8"/>
  <c r="B379" i="8" s="1"/>
  <c r="D102" i="8"/>
  <c r="D23" i="10"/>
  <c r="D255" i="8"/>
  <c r="B255" i="8" s="1"/>
  <c r="D26" i="8"/>
  <c r="B26" i="8" s="1"/>
  <c r="D223" i="10"/>
  <c r="D64" i="10"/>
  <c r="D341" i="10"/>
  <c r="D176" i="10"/>
  <c r="D101" i="10"/>
  <c r="B52" i="13" l="1"/>
  <c r="E52" i="13"/>
  <c r="C52" i="13" s="1"/>
  <c r="D53" i="13"/>
  <c r="B25" i="13"/>
  <c r="E25" i="13"/>
  <c r="C25" i="13" s="1"/>
  <c r="D26" i="13"/>
  <c r="B102" i="13"/>
  <c r="E102" i="13"/>
  <c r="C102" i="13" s="1"/>
  <c r="D103" i="13"/>
  <c r="B25" i="11"/>
  <c r="D26" i="11"/>
  <c r="E36" i="24"/>
  <c r="C36" i="24" s="1"/>
  <c r="B36" i="24"/>
  <c r="B64" i="10"/>
  <c r="E64" i="10"/>
  <c r="C64" i="10" s="1"/>
  <c r="B223" i="10"/>
  <c r="E223" i="10"/>
  <c r="C223" i="10" s="1"/>
  <c r="E23" i="10"/>
  <c r="C23" i="10" s="1"/>
  <c r="B23" i="10"/>
  <c r="E101" i="10"/>
  <c r="C101" i="10" s="1"/>
  <c r="B101" i="10"/>
  <c r="B176" i="10"/>
  <c r="E176" i="10"/>
  <c r="C176" i="10" s="1"/>
  <c r="B341" i="10"/>
  <c r="E341" i="10"/>
  <c r="C341" i="10" s="1"/>
  <c r="E102" i="8"/>
  <c r="C102" i="8" s="1"/>
  <c r="B102" i="8"/>
  <c r="D80" i="11"/>
  <c r="D37" i="24"/>
  <c r="D380" i="8"/>
  <c r="B380" i="8" s="1"/>
  <c r="D103" i="8"/>
  <c r="D24" i="10"/>
  <c r="D27" i="8"/>
  <c r="B27" i="8" s="1"/>
  <c r="D256" i="8"/>
  <c r="B256" i="8" s="1"/>
  <c r="D224" i="10"/>
  <c r="B224" i="10" s="1"/>
  <c r="D65" i="10"/>
  <c r="D102" i="10"/>
  <c r="D177" i="10"/>
  <c r="B53" i="13" l="1"/>
  <c r="E53" i="13"/>
  <c r="C53" i="13" s="1"/>
  <c r="D54" i="13"/>
  <c r="B103" i="13"/>
  <c r="E103" i="13"/>
  <c r="C103" i="13" s="1"/>
  <c r="D104" i="13"/>
  <c r="B26" i="13"/>
  <c r="E26" i="13"/>
  <c r="C26" i="13" s="1"/>
  <c r="D27" i="13"/>
  <c r="B80" i="11"/>
  <c r="E80" i="11"/>
  <c r="C80" i="11" s="1"/>
  <c r="B26" i="11"/>
  <c r="E26" i="11"/>
  <c r="C26" i="11" s="1"/>
  <c r="D27" i="11"/>
  <c r="B37" i="24"/>
  <c r="E37" i="24"/>
  <c r="C37" i="24" s="1"/>
  <c r="E24" i="10"/>
  <c r="C24" i="10" s="1"/>
  <c r="B24" i="10"/>
  <c r="B65" i="10"/>
  <c r="E65" i="10"/>
  <c r="C65" i="10" s="1"/>
  <c r="B177" i="10"/>
  <c r="E177" i="10"/>
  <c r="C177" i="10" s="1"/>
  <c r="E102" i="10"/>
  <c r="C102" i="10" s="1"/>
  <c r="B102" i="10"/>
  <c r="E103" i="8"/>
  <c r="C103" i="8" s="1"/>
  <c r="B103" i="8"/>
  <c r="D81" i="11"/>
  <c r="B81" i="11" s="1"/>
  <c r="D38" i="24"/>
  <c r="D381" i="8"/>
  <c r="B381" i="8" s="1"/>
  <c r="D104" i="8"/>
  <c r="D25" i="10"/>
  <c r="D257" i="8"/>
  <c r="B257" i="8" s="1"/>
  <c r="D28" i="8"/>
  <c r="B28" i="8" s="1"/>
  <c r="D225" i="10"/>
  <c r="B225" i="10" s="1"/>
  <c r="D66" i="10"/>
  <c r="D178" i="10"/>
  <c r="D103" i="10"/>
  <c r="B54" i="13" l="1"/>
  <c r="E54" i="13"/>
  <c r="C54" i="13" s="1"/>
  <c r="D55" i="13"/>
  <c r="B104" i="13"/>
  <c r="E104" i="13"/>
  <c r="C104" i="13" s="1"/>
  <c r="D105" i="13"/>
  <c r="B27" i="13"/>
  <c r="E27" i="13"/>
  <c r="C27" i="13" s="1"/>
  <c r="B27" i="11"/>
  <c r="D28" i="11"/>
  <c r="B38" i="24"/>
  <c r="E38" i="24"/>
  <c r="C38" i="24" s="1"/>
  <c r="D26" i="10"/>
  <c r="D27" i="10" s="1"/>
  <c r="E25" i="10"/>
  <c r="C25" i="10" s="1"/>
  <c r="B25" i="10"/>
  <c r="B103" i="10"/>
  <c r="E103" i="10"/>
  <c r="C103" i="10" s="1"/>
  <c r="B66" i="10"/>
  <c r="E66" i="10"/>
  <c r="C66" i="10" s="1"/>
  <c r="B178" i="10"/>
  <c r="E178" i="10"/>
  <c r="C178" i="10" s="1"/>
  <c r="E104" i="8"/>
  <c r="C104" i="8" s="1"/>
  <c r="B104" i="8"/>
  <c r="D82" i="11"/>
  <c r="D39" i="24"/>
  <c r="D382" i="8"/>
  <c r="B382" i="8" s="1"/>
  <c r="D105" i="8"/>
  <c r="D29" i="8"/>
  <c r="B29" i="8" s="1"/>
  <c r="D258" i="8"/>
  <c r="B258" i="8" s="1"/>
  <c r="D226" i="10"/>
  <c r="B226" i="10" s="1"/>
  <c r="D179" i="10"/>
  <c r="D104" i="10"/>
  <c r="D67" i="10"/>
  <c r="B55" i="13" l="1"/>
  <c r="E55" i="13"/>
  <c r="C55" i="13" s="1"/>
  <c r="D56" i="13"/>
  <c r="B105" i="13"/>
  <c r="E105" i="13"/>
  <c r="C105" i="13" s="1"/>
  <c r="D106" i="13"/>
  <c r="B82" i="11"/>
  <c r="E82" i="11"/>
  <c r="C82" i="11" s="1"/>
  <c r="B28" i="11"/>
  <c r="E28" i="11"/>
  <c r="C28" i="11" s="1"/>
  <c r="D29" i="11"/>
  <c r="B39" i="24"/>
  <c r="E39" i="24"/>
  <c r="C39" i="24" s="1"/>
  <c r="E179" i="10"/>
  <c r="C179" i="10" s="1"/>
  <c r="B179" i="10"/>
  <c r="E27" i="10"/>
  <c r="C27" i="10" s="1"/>
  <c r="B27" i="10"/>
  <c r="E67" i="10"/>
  <c r="C67" i="10" s="1"/>
  <c r="B67" i="10"/>
  <c r="B104" i="10"/>
  <c r="E104" i="10"/>
  <c r="C104" i="10" s="1"/>
  <c r="E26" i="10"/>
  <c r="C26" i="10" s="1"/>
  <c r="B26" i="10"/>
  <c r="B105" i="8"/>
  <c r="E105" i="8"/>
  <c r="C105" i="8" s="1"/>
  <c r="D83" i="11"/>
  <c r="B83" i="11" s="1"/>
  <c r="D40" i="24"/>
  <c r="D383" i="8"/>
  <c r="B383" i="8" s="1"/>
  <c r="D106" i="8"/>
  <c r="D28" i="10"/>
  <c r="D259" i="8"/>
  <c r="B259" i="8" s="1"/>
  <c r="D30" i="8"/>
  <c r="B30" i="8" s="1"/>
  <c r="D227" i="10"/>
  <c r="D68" i="10"/>
  <c r="D105" i="10"/>
  <c r="D180" i="10"/>
  <c r="B106" i="13" l="1"/>
  <c r="E106" i="13"/>
  <c r="C106" i="13" s="1"/>
  <c r="D107" i="13"/>
  <c r="B56" i="13"/>
  <c r="E56" i="13"/>
  <c r="C56" i="13" s="1"/>
  <c r="D57" i="13"/>
  <c r="B29" i="11"/>
  <c r="D30" i="11"/>
  <c r="B40" i="24"/>
  <c r="E40" i="24"/>
  <c r="C40" i="24" s="1"/>
  <c r="B180" i="10"/>
  <c r="E180" i="10"/>
  <c r="C180" i="10" s="1"/>
  <c r="B227" i="10"/>
  <c r="E227" i="10"/>
  <c r="C227" i="10" s="1"/>
  <c r="B105" i="10"/>
  <c r="E105" i="10"/>
  <c r="C105" i="10" s="1"/>
  <c r="E28" i="10"/>
  <c r="C28" i="10" s="1"/>
  <c r="B28" i="10"/>
  <c r="B68" i="10"/>
  <c r="E68" i="10"/>
  <c r="C68" i="10" s="1"/>
  <c r="B106" i="8"/>
  <c r="E106" i="8"/>
  <c r="C106" i="8" s="1"/>
  <c r="D84" i="11"/>
  <c r="D41" i="24"/>
  <c r="D384" i="8"/>
  <c r="B384" i="8" s="1"/>
  <c r="D107" i="8"/>
  <c r="D29" i="10"/>
  <c r="D260" i="8"/>
  <c r="B260" i="8" s="1"/>
  <c r="D31" i="8"/>
  <c r="B31" i="8" s="1"/>
  <c r="D228" i="10"/>
  <c r="B228" i="10" s="1"/>
  <c r="D69" i="10"/>
  <c r="D181" i="10"/>
  <c r="D106" i="10"/>
  <c r="B107" i="13" l="1"/>
  <c r="E107" i="13"/>
  <c r="B57" i="13"/>
  <c r="E57" i="13"/>
  <c r="C57" i="13" s="1"/>
  <c r="E84" i="11"/>
  <c r="C84" i="11" s="1"/>
  <c r="B84" i="11"/>
  <c r="B30" i="11"/>
  <c r="E30" i="11"/>
  <c r="C30" i="11" s="1"/>
  <c r="D31" i="11"/>
  <c r="B41" i="24"/>
  <c r="E41" i="24"/>
  <c r="C41" i="24" s="1"/>
  <c r="B69" i="10"/>
  <c r="E69" i="10"/>
  <c r="C69" i="10" s="1"/>
  <c r="B181" i="10"/>
  <c r="E181" i="10"/>
  <c r="C181" i="10" s="1"/>
  <c r="E106" i="10"/>
  <c r="C106" i="10" s="1"/>
  <c r="B106" i="10"/>
  <c r="B29" i="10"/>
  <c r="E29" i="10"/>
  <c r="C29" i="10" s="1"/>
  <c r="B107" i="8"/>
  <c r="E107" i="8"/>
  <c r="C107" i="8" s="1"/>
  <c r="D85" i="11"/>
  <c r="B85" i="11" s="1"/>
  <c r="D42" i="24"/>
  <c r="D385" i="8"/>
  <c r="B385" i="8" s="1"/>
  <c r="D30" i="10"/>
  <c r="D32" i="8"/>
  <c r="B32" i="8" s="1"/>
  <c r="D261" i="8"/>
  <c r="B261" i="8" s="1"/>
  <c r="D229" i="10"/>
  <c r="B229" i="10" s="1"/>
  <c r="D70" i="10"/>
  <c r="D107" i="10"/>
  <c r="D182" i="10"/>
  <c r="B31" i="11" l="1"/>
  <c r="D32" i="11"/>
  <c r="B42" i="24"/>
  <c r="E42" i="24"/>
  <c r="C42" i="24" s="1"/>
  <c r="E182" i="10"/>
  <c r="C182" i="10" s="1"/>
  <c r="B182" i="10"/>
  <c r="B30" i="10"/>
  <c r="E30" i="10"/>
  <c r="C30" i="10" s="1"/>
  <c r="E107" i="10"/>
  <c r="C107" i="10" s="1"/>
  <c r="B107" i="10"/>
  <c r="B70" i="10"/>
  <c r="E70" i="10"/>
  <c r="C70" i="10" s="1"/>
  <c r="D86" i="11"/>
  <c r="D43" i="24"/>
  <c r="D386" i="8"/>
  <c r="B386" i="8" s="1"/>
  <c r="D31" i="10"/>
  <c r="D262" i="8"/>
  <c r="B262" i="8" s="1"/>
  <c r="D33" i="8"/>
  <c r="B33" i="8" s="1"/>
  <c r="D230" i="10"/>
  <c r="B230" i="10" s="1"/>
  <c r="D183" i="10"/>
  <c r="D71" i="10"/>
  <c r="D72" i="10" s="1"/>
  <c r="D108" i="10"/>
  <c r="E72" i="10" l="1"/>
  <c r="C72" i="10" s="1"/>
  <c r="B72" i="10"/>
  <c r="D73" i="10"/>
  <c r="E32" i="11"/>
  <c r="C32" i="11" s="1"/>
  <c r="B32" i="11"/>
  <c r="D33" i="11"/>
  <c r="E86" i="11"/>
  <c r="C86" i="11" s="1"/>
  <c r="B86" i="11"/>
  <c r="E43" i="24"/>
  <c r="C43" i="24" s="1"/>
  <c r="B43" i="24"/>
  <c r="E183" i="10"/>
  <c r="C183" i="10" s="1"/>
  <c r="B183" i="10"/>
  <c r="E31" i="10"/>
  <c r="C31" i="10" s="1"/>
  <c r="B31" i="10"/>
  <c r="E108" i="10"/>
  <c r="C108" i="10" s="1"/>
  <c r="B108" i="10"/>
  <c r="E71" i="10"/>
  <c r="C71" i="10" s="1"/>
  <c r="B71" i="10"/>
  <c r="D87" i="11"/>
  <c r="B87" i="11" s="1"/>
  <c r="D44" i="24"/>
  <c r="D387" i="8"/>
  <c r="B387" i="8" s="1"/>
  <c r="D32" i="10"/>
  <c r="D34" i="8"/>
  <c r="B34" i="8" s="1"/>
  <c r="D263" i="8"/>
  <c r="B263" i="8" s="1"/>
  <c r="D231" i="10"/>
  <c r="D109" i="10"/>
  <c r="D184" i="10"/>
  <c r="B73" i="10" l="1"/>
  <c r="D74" i="10"/>
  <c r="E73" i="10"/>
  <c r="C73" i="10" s="1"/>
  <c r="B33" i="11"/>
  <c r="D34" i="11"/>
  <c r="B44" i="24"/>
  <c r="E44" i="24"/>
  <c r="C44" i="24" s="1"/>
  <c r="E184" i="10"/>
  <c r="C184" i="10" s="1"/>
  <c r="B184" i="10"/>
  <c r="E231" i="10"/>
  <c r="C231" i="10" s="1"/>
  <c r="B231" i="10"/>
  <c r="E109" i="10"/>
  <c r="C109" i="10" s="1"/>
  <c r="B109" i="10"/>
  <c r="D33" i="10"/>
  <c r="E32" i="10"/>
  <c r="C32" i="10" s="1"/>
  <c r="B32" i="10"/>
  <c r="D88" i="11"/>
  <c r="D45" i="24"/>
  <c r="D388" i="8"/>
  <c r="D264" i="8"/>
  <c r="D35" i="8"/>
  <c r="B35" i="8" s="1"/>
  <c r="D232" i="10"/>
  <c r="B232" i="10" s="1"/>
  <c r="D185" i="10"/>
  <c r="D110" i="10"/>
  <c r="B264" i="8" l="1"/>
  <c r="D265" i="8"/>
  <c r="B388" i="8"/>
  <c r="D389" i="8"/>
  <c r="B74" i="10"/>
  <c r="E74" i="10"/>
  <c r="C74" i="10" s="1"/>
  <c r="D75" i="10"/>
  <c r="E88" i="11"/>
  <c r="C88" i="11" s="1"/>
  <c r="B88" i="11"/>
  <c r="E34" i="11"/>
  <c r="C34" i="11" s="1"/>
  <c r="B34" i="11"/>
  <c r="D35" i="11"/>
  <c r="B45" i="24"/>
  <c r="E45" i="24"/>
  <c r="C45" i="24" s="1"/>
  <c r="E185" i="10"/>
  <c r="C185" i="10" s="1"/>
  <c r="B185" i="10"/>
  <c r="D34" i="10"/>
  <c r="E33" i="10"/>
  <c r="C33" i="10" s="1"/>
  <c r="B33" i="10"/>
  <c r="B110" i="10"/>
  <c r="E110" i="10"/>
  <c r="C110" i="10" s="1"/>
  <c r="D89" i="11"/>
  <c r="B89" i="11" s="1"/>
  <c r="D46" i="24"/>
  <c r="D36" i="8"/>
  <c r="B36" i="8" s="1"/>
  <c r="D233" i="10"/>
  <c r="B233" i="10" s="1"/>
  <c r="D111" i="10"/>
  <c r="D186" i="10"/>
  <c r="D266" i="8" l="1"/>
  <c r="B265" i="8"/>
  <c r="D390" i="8"/>
  <c r="B389" i="8"/>
  <c r="B75" i="10"/>
  <c r="E75" i="10"/>
  <c r="C75" i="10" s="1"/>
  <c r="B35" i="11"/>
  <c r="D36" i="11"/>
  <c r="B46" i="24"/>
  <c r="E46" i="24"/>
  <c r="C46" i="24" s="1"/>
  <c r="B111" i="10"/>
  <c r="E111" i="10"/>
  <c r="C111" i="10" s="1"/>
  <c r="E34" i="10"/>
  <c r="C34" i="10" s="1"/>
  <c r="B34" i="10"/>
  <c r="D35" i="10"/>
  <c r="E186" i="10"/>
  <c r="C186" i="10" s="1"/>
  <c r="B186" i="10"/>
  <c r="D90" i="11"/>
  <c r="D47" i="24"/>
  <c r="D37" i="8"/>
  <c r="B37" i="8" s="1"/>
  <c r="D234" i="10"/>
  <c r="B234" i="10" s="1"/>
  <c r="D187" i="10"/>
  <c r="D112" i="10"/>
  <c r="B266" i="8" l="1"/>
  <c r="D267" i="8"/>
  <c r="D391" i="8"/>
  <c r="B390" i="8"/>
  <c r="B90" i="11"/>
  <c r="E90" i="11"/>
  <c r="C90" i="11" s="1"/>
  <c r="B36" i="11"/>
  <c r="E36" i="11"/>
  <c r="C36" i="11" s="1"/>
  <c r="D37" i="11"/>
  <c r="B47" i="24"/>
  <c r="E47" i="24"/>
  <c r="C47" i="24" s="1"/>
  <c r="E187" i="10"/>
  <c r="C187" i="10" s="1"/>
  <c r="B187" i="10"/>
  <c r="B112" i="10"/>
  <c r="E112" i="10"/>
  <c r="C112" i="10" s="1"/>
  <c r="B35" i="10"/>
  <c r="E35" i="10"/>
  <c r="C35" i="10" s="1"/>
  <c r="D36" i="10"/>
  <c r="D91" i="11"/>
  <c r="B91" i="11" s="1"/>
  <c r="D48" i="24"/>
  <c r="D38" i="8"/>
  <c r="B38" i="8" s="1"/>
  <c r="D188" i="10"/>
  <c r="D113" i="10"/>
  <c r="D268" i="8" l="1"/>
  <c r="B267" i="8"/>
  <c r="D392" i="8"/>
  <c r="B391" i="8"/>
  <c r="B37" i="11"/>
  <c r="D38" i="11"/>
  <c r="E48" i="24"/>
  <c r="C48" i="24" s="1"/>
  <c r="B48" i="24"/>
  <c r="E113" i="10"/>
  <c r="C113" i="10" s="1"/>
  <c r="B113" i="10"/>
  <c r="E188" i="10"/>
  <c r="C188" i="10" s="1"/>
  <c r="B188" i="10"/>
  <c r="D37" i="10"/>
  <c r="B36" i="10"/>
  <c r="E36" i="10"/>
  <c r="C36" i="10" s="1"/>
  <c r="D92" i="11"/>
  <c r="D49" i="24"/>
  <c r="D39" i="8"/>
  <c r="B39" i="8" s="1"/>
  <c r="D114" i="10"/>
  <c r="D269" i="8" l="1"/>
  <c r="B268" i="8"/>
  <c r="D393" i="8"/>
  <c r="B392" i="8"/>
  <c r="B38" i="11"/>
  <c r="E38" i="11"/>
  <c r="C38" i="11" s="1"/>
  <c r="D39" i="11"/>
  <c r="B92" i="11"/>
  <c r="E92" i="11"/>
  <c r="C92" i="11" s="1"/>
  <c r="E49" i="24"/>
  <c r="C49" i="24" s="1"/>
  <c r="B49" i="24"/>
  <c r="E114" i="10"/>
  <c r="C114" i="10" s="1"/>
  <c r="B114" i="10"/>
  <c r="B37" i="10"/>
  <c r="E37" i="10"/>
  <c r="C37" i="10" s="1"/>
  <c r="D93" i="11"/>
  <c r="B93" i="11" s="1"/>
  <c r="D50" i="24"/>
  <c r="D115" i="10"/>
  <c r="D270" i="8" l="1"/>
  <c r="B269" i="8"/>
  <c r="D394" i="8"/>
  <c r="B393" i="8"/>
  <c r="B39" i="11"/>
  <c r="D40" i="11"/>
  <c r="E50" i="24"/>
  <c r="C50" i="24" s="1"/>
  <c r="B50" i="24"/>
  <c r="E115" i="10"/>
  <c r="C115" i="10" s="1"/>
  <c r="B115" i="10"/>
  <c r="D94" i="11"/>
  <c r="D51" i="24"/>
  <c r="D116" i="10"/>
  <c r="D271" i="8" l="1"/>
  <c r="B270" i="8"/>
  <c r="D395" i="8"/>
  <c r="B394" i="8"/>
  <c r="B94" i="11"/>
  <c r="E94" i="11"/>
  <c r="C94" i="11" s="1"/>
  <c r="B40" i="11"/>
  <c r="E40" i="11"/>
  <c r="C40" i="11" s="1"/>
  <c r="D41" i="11"/>
  <c r="E51" i="24"/>
  <c r="C51" i="24" s="1"/>
  <c r="B51" i="24"/>
  <c r="E116" i="10"/>
  <c r="C116" i="10" s="1"/>
  <c r="B116" i="10"/>
  <c r="D95" i="11"/>
  <c r="B95" i="11" s="1"/>
  <c r="D52" i="24"/>
  <c r="D272" i="8" l="1"/>
  <c r="B271" i="8"/>
  <c r="D396" i="8"/>
  <c r="B395" i="8"/>
  <c r="B41" i="11"/>
  <c r="D42" i="11"/>
  <c r="E52" i="24"/>
  <c r="C52" i="24" s="1"/>
  <c r="B52" i="24"/>
  <c r="D96" i="11"/>
  <c r="D55" i="24"/>
  <c r="D273" i="8" l="1"/>
  <c r="B272" i="8"/>
  <c r="D397" i="8"/>
  <c r="B396" i="8"/>
  <c r="B96" i="11"/>
  <c r="E96" i="11"/>
  <c r="C96" i="11" s="1"/>
  <c r="B42" i="11"/>
  <c r="E42" i="11"/>
  <c r="C42" i="11" s="1"/>
  <c r="D43" i="11"/>
  <c r="E55" i="24"/>
  <c r="C55" i="24" s="1"/>
  <c r="B55" i="24"/>
  <c r="D97" i="11"/>
  <c r="B97" i="11" s="1"/>
  <c r="D56" i="24"/>
  <c r="D274" i="8" l="1"/>
  <c r="B273" i="8"/>
  <c r="D398" i="8"/>
  <c r="B397" i="8"/>
  <c r="B43" i="11"/>
  <c r="D44" i="11"/>
  <c r="E56" i="24"/>
  <c r="C56" i="24" s="1"/>
  <c r="B56" i="24"/>
  <c r="D98" i="11"/>
  <c r="D57" i="24"/>
  <c r="D275" i="8" l="1"/>
  <c r="B274" i="8"/>
  <c r="D399" i="8"/>
  <c r="B398" i="8"/>
  <c r="B44" i="11"/>
  <c r="E44" i="11"/>
  <c r="C44" i="11" s="1"/>
  <c r="D45" i="11"/>
  <c r="B98" i="11"/>
  <c r="E98" i="11"/>
  <c r="C98" i="11" s="1"/>
  <c r="E57" i="24"/>
  <c r="C57" i="24" s="1"/>
  <c r="B57" i="24"/>
  <c r="D99" i="11"/>
  <c r="B99" i="11" s="1"/>
  <c r="D58" i="24"/>
  <c r="D276" i="8" l="1"/>
  <c r="B275" i="8"/>
  <c r="D400" i="8"/>
  <c r="B399" i="8"/>
  <c r="B45" i="11"/>
  <c r="D46" i="11"/>
  <c r="E58" i="24"/>
  <c r="C58" i="24" s="1"/>
  <c r="B58" i="24"/>
  <c r="D100" i="11"/>
  <c r="D59" i="24"/>
  <c r="B276" i="8" l="1"/>
  <c r="D277" i="8"/>
  <c r="D401" i="8"/>
  <c r="B400" i="8"/>
  <c r="E100" i="11"/>
  <c r="C100" i="11" s="1"/>
  <c r="B100" i="11"/>
  <c r="B46" i="11"/>
  <c r="E46" i="11"/>
  <c r="C46" i="11" s="1"/>
  <c r="D47" i="11"/>
  <c r="E59" i="24"/>
  <c r="C59" i="24" s="1"/>
  <c r="B59" i="24"/>
  <c r="D101" i="11"/>
  <c r="B101" i="11" s="1"/>
  <c r="D60" i="24"/>
  <c r="D278" i="8" l="1"/>
  <c r="B277" i="8"/>
  <c r="D402" i="8"/>
  <c r="B401" i="8"/>
  <c r="B47" i="11"/>
  <c r="D48" i="11"/>
  <c r="E60" i="24"/>
  <c r="C60" i="24" s="1"/>
  <c r="B60" i="24"/>
  <c r="D102" i="11"/>
  <c r="D61" i="24"/>
  <c r="D279" i="8" l="1"/>
  <c r="B278" i="8"/>
  <c r="D403" i="8"/>
  <c r="B402" i="8"/>
  <c r="E102" i="11"/>
  <c r="C102" i="11" s="1"/>
  <c r="B102" i="11"/>
  <c r="E48" i="11"/>
  <c r="C48" i="11" s="1"/>
  <c r="B48" i="11"/>
  <c r="D49" i="11"/>
  <c r="B61" i="24"/>
  <c r="E61" i="24"/>
  <c r="C61" i="24" s="1"/>
  <c r="D103" i="11"/>
  <c r="B103" i="11" s="1"/>
  <c r="D62" i="24"/>
  <c r="D280" i="8" l="1"/>
  <c r="B279" i="8"/>
  <c r="D404" i="8"/>
  <c r="B403" i="8"/>
  <c r="B49" i="11"/>
  <c r="D50" i="11"/>
  <c r="E62" i="24"/>
  <c r="C62" i="24" s="1"/>
  <c r="B62" i="24"/>
  <c r="D104" i="11"/>
  <c r="D63" i="24"/>
  <c r="D281" i="8" l="1"/>
  <c r="B280" i="8"/>
  <c r="D405" i="8"/>
  <c r="B404" i="8"/>
  <c r="B104" i="11"/>
  <c r="E104" i="11"/>
  <c r="C104" i="11" s="1"/>
  <c r="B50" i="11"/>
  <c r="E50" i="11"/>
  <c r="C50" i="11" s="1"/>
  <c r="D51" i="11"/>
  <c r="E63" i="24"/>
  <c r="C63" i="24" s="1"/>
  <c r="B63" i="24"/>
  <c r="D64" i="24"/>
  <c r="D282" i="8" l="1"/>
  <c r="B281" i="8"/>
  <c r="D406" i="8"/>
  <c r="B405" i="8"/>
  <c r="B51" i="11"/>
  <c r="D52" i="11"/>
  <c r="B64" i="24"/>
  <c r="E64" i="24"/>
  <c r="C64" i="24" s="1"/>
  <c r="D65" i="24"/>
  <c r="D283" i="8" l="1"/>
  <c r="B282" i="8"/>
  <c r="D407" i="8"/>
  <c r="B406" i="8"/>
  <c r="B52" i="11"/>
  <c r="E52" i="11"/>
  <c r="C52" i="11" s="1"/>
  <c r="E65" i="24"/>
  <c r="C65" i="24" s="1"/>
  <c r="B65" i="24"/>
  <c r="D66" i="24"/>
  <c r="D284" i="8" l="1"/>
  <c r="B283" i="8"/>
  <c r="D408" i="8"/>
  <c r="B407" i="8"/>
  <c r="B66" i="24"/>
  <c r="E66" i="24"/>
  <c r="C66" i="24" s="1"/>
  <c r="D67" i="24"/>
  <c r="D285" i="8" l="1"/>
  <c r="B284" i="8"/>
  <c r="D409" i="8"/>
  <c r="B408" i="8"/>
  <c r="B67" i="24"/>
  <c r="E67" i="24"/>
  <c r="C67" i="24" s="1"/>
  <c r="D68" i="24"/>
  <c r="D286" i="8" l="1"/>
  <c r="B285" i="8"/>
  <c r="D410" i="8"/>
  <c r="B409" i="8"/>
  <c r="B68" i="24"/>
  <c r="E68" i="24"/>
  <c r="C68" i="24" s="1"/>
  <c r="D69" i="24"/>
  <c r="B286" i="8" l="1"/>
  <c r="D287" i="8"/>
  <c r="D411" i="8"/>
  <c r="B410" i="8"/>
  <c r="E69" i="24"/>
  <c r="C69" i="24" s="1"/>
  <c r="B69" i="24"/>
  <c r="D70" i="24"/>
  <c r="D288" i="8" l="1"/>
  <c r="B287" i="8"/>
  <c r="D412" i="8"/>
  <c r="B411" i="8"/>
  <c r="B70" i="24"/>
  <c r="E70" i="24"/>
  <c r="C70" i="24" s="1"/>
  <c r="D71" i="24"/>
  <c r="D289" i="8" l="1"/>
  <c r="B288" i="8"/>
  <c r="D413" i="8"/>
  <c r="B412" i="8"/>
  <c r="B71" i="24"/>
  <c r="E71" i="24"/>
  <c r="C71" i="24" s="1"/>
  <c r="D72" i="24"/>
  <c r="D290" i="8" l="1"/>
  <c r="B289" i="8"/>
  <c r="D414" i="8"/>
  <c r="B413" i="8"/>
  <c r="B72" i="24"/>
  <c r="E72" i="24"/>
  <c r="C72" i="24" s="1"/>
  <c r="D73" i="24"/>
  <c r="D291" i="8" l="1"/>
  <c r="B290" i="8"/>
  <c r="D415" i="8"/>
  <c r="B414" i="8"/>
  <c r="B73" i="24"/>
  <c r="E73" i="24"/>
  <c r="C73" i="24" s="1"/>
  <c r="D74" i="24"/>
  <c r="D292" i="8" l="1"/>
  <c r="B291" i="8"/>
  <c r="D416" i="8"/>
  <c r="B415" i="8"/>
  <c r="B74" i="24"/>
  <c r="E74" i="24"/>
  <c r="C74" i="24" s="1"/>
  <c r="D75" i="24"/>
  <c r="B416" i="8" l="1"/>
  <c r="D417" i="8"/>
  <c r="D293" i="8"/>
  <c r="B292" i="8"/>
  <c r="E75" i="24"/>
  <c r="C75" i="24" s="1"/>
  <c r="B75" i="24"/>
  <c r="D76" i="24"/>
  <c r="D418" i="8" l="1"/>
  <c r="B417" i="8"/>
  <c r="D294" i="8"/>
  <c r="B293" i="8"/>
  <c r="B76" i="24"/>
  <c r="E76" i="24"/>
  <c r="C76" i="24" s="1"/>
  <c r="D77" i="24"/>
  <c r="D295" i="8" l="1"/>
  <c r="B294" i="8"/>
  <c r="D419" i="8"/>
  <c r="B418" i="8"/>
  <c r="B77" i="24"/>
  <c r="E77" i="24"/>
  <c r="C77" i="24" s="1"/>
  <c r="D78" i="24"/>
  <c r="D420" i="8" l="1"/>
  <c r="B419" i="8"/>
  <c r="D296" i="8"/>
  <c r="B295" i="8"/>
  <c r="B78" i="24"/>
  <c r="E78" i="24"/>
  <c r="C78" i="24" s="1"/>
  <c r="D79" i="24"/>
  <c r="B296" i="8" l="1"/>
  <c r="D297" i="8"/>
  <c r="D421" i="8"/>
  <c r="B420" i="8"/>
  <c r="E79" i="24"/>
  <c r="C79" i="24" s="1"/>
  <c r="B79" i="24"/>
  <c r="D80" i="24"/>
  <c r="D298" i="8" l="1"/>
  <c r="B297" i="8"/>
  <c r="D422" i="8"/>
  <c r="B421" i="8"/>
  <c r="E80" i="24"/>
  <c r="C80" i="24" s="1"/>
  <c r="B80" i="24"/>
  <c r="D81" i="24"/>
  <c r="B298" i="8" l="1"/>
  <c r="D299" i="8"/>
  <c r="D423" i="8"/>
  <c r="B422" i="8"/>
  <c r="E81" i="24"/>
  <c r="C81" i="24" s="1"/>
  <c r="B81" i="24"/>
  <c r="D82" i="24"/>
  <c r="D300" i="8" l="1"/>
  <c r="B299" i="8"/>
  <c r="D424" i="8"/>
  <c r="B423" i="8"/>
  <c r="E82" i="24"/>
  <c r="C82" i="24" s="1"/>
  <c r="B82" i="24"/>
  <c r="D83" i="24"/>
  <c r="D301" i="8" l="1"/>
  <c r="B300" i="8"/>
  <c r="D425" i="8"/>
  <c r="B424" i="8"/>
  <c r="E83" i="24"/>
  <c r="C83" i="24" s="1"/>
  <c r="B83" i="24"/>
  <c r="D84" i="24"/>
  <c r="D302" i="8" l="1"/>
  <c r="B301" i="8"/>
  <c r="D426" i="8"/>
  <c r="B425" i="8"/>
  <c r="E84" i="24"/>
  <c r="C84" i="24" s="1"/>
  <c r="B84" i="24"/>
  <c r="D85" i="24"/>
  <c r="D303" i="8" l="1"/>
  <c r="B302" i="8"/>
  <c r="D427" i="8"/>
  <c r="B426" i="8"/>
  <c r="B85" i="24"/>
  <c r="E85" i="24"/>
  <c r="C85" i="24" s="1"/>
  <c r="D86" i="24"/>
  <c r="D304" i="8" l="1"/>
  <c r="B303" i="8"/>
  <c r="D428" i="8"/>
  <c r="B427" i="8"/>
  <c r="E86" i="24"/>
  <c r="C86" i="24" s="1"/>
  <c r="B86" i="24"/>
  <c r="D87" i="24"/>
  <c r="D305" i="8" l="1"/>
  <c r="B304" i="8"/>
  <c r="D429" i="8"/>
  <c r="B428" i="8"/>
  <c r="E87" i="24"/>
  <c r="C87" i="24" s="1"/>
  <c r="B87" i="24"/>
  <c r="D88" i="24"/>
  <c r="D306" i="8" l="1"/>
  <c r="B305" i="8"/>
  <c r="D430" i="8"/>
  <c r="B429" i="8"/>
  <c r="E88" i="24"/>
  <c r="C88" i="24" s="1"/>
  <c r="B88" i="24"/>
  <c r="D89" i="24"/>
  <c r="D307" i="8" l="1"/>
  <c r="B306" i="8"/>
  <c r="D431" i="8"/>
  <c r="B430" i="8"/>
  <c r="E89" i="24"/>
  <c r="C89" i="24" s="1"/>
  <c r="B89" i="24"/>
  <c r="D90" i="24"/>
  <c r="B307" i="8" l="1"/>
  <c r="D308" i="8"/>
  <c r="D432" i="8"/>
  <c r="B431" i="8"/>
  <c r="E90" i="24"/>
  <c r="C90" i="24" s="1"/>
  <c r="B90" i="24"/>
  <c r="D91" i="24"/>
  <c r="D309" i="8" l="1"/>
  <c r="B308" i="8"/>
  <c r="D433" i="8"/>
  <c r="B432" i="8"/>
  <c r="E91" i="24"/>
  <c r="C91" i="24" s="1"/>
  <c r="B91" i="24"/>
  <c r="D92" i="24"/>
  <c r="D310" i="8" l="1"/>
  <c r="B309" i="8"/>
  <c r="D434" i="8"/>
  <c r="B433" i="8"/>
  <c r="E92" i="24"/>
  <c r="C92" i="24" s="1"/>
  <c r="B92" i="24"/>
  <c r="D93" i="24"/>
  <c r="B310" i="8" l="1"/>
  <c r="D311" i="8"/>
  <c r="D435" i="8"/>
  <c r="B434" i="8"/>
  <c r="E93" i="24"/>
  <c r="C93" i="24" s="1"/>
  <c r="B93" i="24"/>
  <c r="D94" i="24"/>
  <c r="D312" i="8" l="1"/>
  <c r="B311" i="8"/>
  <c r="D436" i="8"/>
  <c r="B435" i="8"/>
  <c r="B94" i="24"/>
  <c r="E94" i="24"/>
  <c r="C94" i="24" s="1"/>
  <c r="D313" i="8" l="1"/>
  <c r="B312" i="8"/>
  <c r="D437" i="8"/>
  <c r="B436" i="8"/>
  <c r="C69" i="46"/>
  <c r="D70" i="46"/>
  <c r="D71" i="46" s="1"/>
  <c r="B69" i="46"/>
  <c r="C20" i="46"/>
  <c r="B20" i="46"/>
  <c r="D21" i="46"/>
  <c r="D314" i="8" l="1"/>
  <c r="B313" i="8"/>
  <c r="D438" i="8"/>
  <c r="B437" i="8"/>
  <c r="E71" i="46"/>
  <c r="C71" i="46" s="1"/>
  <c r="D72" i="46"/>
  <c r="B71" i="46"/>
  <c r="B70" i="46"/>
  <c r="B21" i="46"/>
  <c r="D22" i="46"/>
  <c r="D315" i="8" l="1"/>
  <c r="B314" i="8"/>
  <c r="D439" i="8"/>
  <c r="B438" i="8"/>
  <c r="E22" i="46"/>
  <c r="C22" i="46" s="1"/>
  <c r="B22" i="46"/>
  <c r="D23" i="46"/>
  <c r="B72" i="46"/>
  <c r="D73" i="46"/>
  <c r="D316" i="8" l="1"/>
  <c r="B315" i="8"/>
  <c r="D440" i="8"/>
  <c r="B439" i="8"/>
  <c r="E73" i="46"/>
  <c r="C73" i="46" s="1"/>
  <c r="D74" i="46"/>
  <c r="B73" i="46"/>
  <c r="D24" i="46"/>
  <c r="B23" i="46"/>
  <c r="D317" i="8" l="1"/>
  <c r="B316" i="8"/>
  <c r="D441" i="8"/>
  <c r="B440" i="8"/>
  <c r="E24" i="46"/>
  <c r="C24" i="46" s="1"/>
  <c r="B24" i="46"/>
  <c r="D25" i="46"/>
  <c r="B74" i="46"/>
  <c r="D75" i="46"/>
  <c r="B317" i="8" l="1"/>
  <c r="D318" i="8"/>
  <c r="D442" i="8"/>
  <c r="B441" i="8"/>
  <c r="E75" i="46"/>
  <c r="C75" i="46" s="1"/>
  <c r="B75" i="46"/>
  <c r="D76" i="46"/>
  <c r="B25" i="46"/>
  <c r="D26" i="46"/>
  <c r="B318" i="8" l="1"/>
  <c r="D319" i="8"/>
  <c r="D443" i="8"/>
  <c r="B442" i="8"/>
  <c r="E26" i="46"/>
  <c r="C26" i="46" s="1"/>
  <c r="B26" i="46"/>
  <c r="D27" i="46"/>
  <c r="B76" i="46"/>
  <c r="D77" i="46"/>
  <c r="D320" i="8" l="1"/>
  <c r="B319" i="8"/>
  <c r="D444" i="8"/>
  <c r="B443" i="8"/>
  <c r="E77" i="46"/>
  <c r="C77" i="46" s="1"/>
  <c r="D78" i="46"/>
  <c r="B77" i="46"/>
  <c r="B27" i="46"/>
  <c r="D28" i="46"/>
  <c r="D321" i="8" l="1"/>
  <c r="B320" i="8"/>
  <c r="D445" i="8"/>
  <c r="B444" i="8"/>
  <c r="B78" i="46"/>
  <c r="D79" i="46"/>
  <c r="E28" i="46"/>
  <c r="C28" i="46" s="1"/>
  <c r="B28" i="46"/>
  <c r="D29" i="46"/>
  <c r="B321" i="8" l="1"/>
  <c r="D322" i="8"/>
  <c r="D446" i="8"/>
  <c r="B445" i="8"/>
  <c r="E79" i="46"/>
  <c r="C79" i="46" s="1"/>
  <c r="B79" i="46"/>
  <c r="D80" i="46"/>
  <c r="D30" i="46"/>
  <c r="B29" i="46"/>
  <c r="B322" i="8" l="1"/>
  <c r="D323" i="8"/>
  <c r="D447" i="8"/>
  <c r="B446" i="8"/>
  <c r="B80" i="46"/>
  <c r="D81" i="46"/>
  <c r="E30" i="46"/>
  <c r="C30" i="46" s="1"/>
  <c r="B30" i="46"/>
  <c r="D31" i="46"/>
  <c r="D324" i="8" l="1"/>
  <c r="B323" i="8"/>
  <c r="D448" i="8"/>
  <c r="B447" i="8"/>
  <c r="E81" i="46"/>
  <c r="C81" i="46" s="1"/>
  <c r="D82" i="46"/>
  <c r="B81" i="46"/>
  <c r="B31" i="46"/>
  <c r="D32" i="46"/>
  <c r="D325" i="8" l="1"/>
  <c r="B324" i="8"/>
  <c r="D449" i="8"/>
  <c r="B448" i="8"/>
  <c r="D83" i="46"/>
  <c r="B82" i="46"/>
  <c r="E32" i="46"/>
  <c r="C32" i="46" s="1"/>
  <c r="B32" i="46"/>
  <c r="D33" i="46"/>
  <c r="D326" i="8" l="1"/>
  <c r="B325" i="8"/>
  <c r="D450" i="8"/>
  <c r="B449" i="8"/>
  <c r="B33" i="46"/>
  <c r="D34" i="46"/>
  <c r="E83" i="46"/>
  <c r="C83" i="46" s="1"/>
  <c r="B83" i="46"/>
  <c r="D84" i="46"/>
  <c r="D327" i="8" l="1"/>
  <c r="B326" i="8"/>
  <c r="D451" i="8"/>
  <c r="B450" i="8"/>
  <c r="E34" i="46"/>
  <c r="C34" i="46" s="1"/>
  <c r="B34" i="46"/>
  <c r="D35" i="46"/>
  <c r="D85" i="46"/>
  <c r="B84" i="46"/>
  <c r="B327" i="8" l="1"/>
  <c r="D328" i="8"/>
  <c r="D452" i="8"/>
  <c r="B451" i="8"/>
  <c r="B35" i="46"/>
  <c r="D36" i="46"/>
  <c r="E85" i="46"/>
  <c r="C85" i="46" s="1"/>
  <c r="B85" i="46"/>
  <c r="D86" i="46"/>
  <c r="B328" i="8" l="1"/>
  <c r="D329" i="8"/>
  <c r="D453" i="8"/>
  <c r="B452" i="8"/>
  <c r="E36" i="46"/>
  <c r="C36" i="46" s="1"/>
  <c r="B36" i="46"/>
  <c r="D37" i="46"/>
  <c r="B86" i="46"/>
  <c r="D87" i="46"/>
  <c r="B329" i="8" l="1"/>
  <c r="D330" i="8"/>
  <c r="D454" i="8"/>
  <c r="B453" i="8"/>
  <c r="E87" i="46"/>
  <c r="C87" i="46" s="1"/>
  <c r="B87" i="46"/>
  <c r="D88" i="46"/>
  <c r="D38" i="46"/>
  <c r="B37" i="46"/>
  <c r="B330" i="8" l="1"/>
  <c r="D331" i="8"/>
  <c r="D455" i="8"/>
  <c r="B454" i="8"/>
  <c r="D89" i="46"/>
  <c r="B88" i="46"/>
  <c r="E38" i="46"/>
  <c r="C38" i="46" s="1"/>
  <c r="B38" i="46"/>
  <c r="D39" i="46"/>
  <c r="D332" i="8" l="1"/>
  <c r="B331" i="8"/>
  <c r="D456" i="8"/>
  <c r="B455" i="8"/>
  <c r="D40" i="46"/>
  <c r="B39" i="46"/>
  <c r="E89" i="46"/>
  <c r="C89" i="46" s="1"/>
  <c r="D90" i="46"/>
  <c r="B89" i="46"/>
  <c r="B332" i="8" l="1"/>
  <c r="D333" i="8"/>
  <c r="D457" i="8"/>
  <c r="B456" i="8"/>
  <c r="D91" i="46"/>
  <c r="B90" i="46"/>
  <c r="E40" i="46"/>
  <c r="C40" i="46" s="1"/>
  <c r="D41" i="46"/>
  <c r="B40" i="46"/>
  <c r="D334" i="8" l="1"/>
  <c r="B333" i="8"/>
  <c r="D458" i="8"/>
  <c r="B457" i="8"/>
  <c r="D42" i="46"/>
  <c r="B41" i="46"/>
  <c r="E91" i="46"/>
  <c r="C91" i="46" s="1"/>
  <c r="D92" i="46"/>
  <c r="B91" i="46"/>
  <c r="D335" i="8" l="1"/>
  <c r="B334" i="8"/>
  <c r="D459" i="8"/>
  <c r="B458" i="8"/>
  <c r="B92" i="46"/>
  <c r="D93" i="46"/>
  <c r="E42" i="46"/>
  <c r="C42" i="46" s="1"/>
  <c r="B42" i="46"/>
  <c r="D43" i="46"/>
  <c r="D336" i="8" l="1"/>
  <c r="B335" i="8"/>
  <c r="D460" i="8"/>
  <c r="B459" i="8"/>
  <c r="E93" i="46"/>
  <c r="C93" i="46" s="1"/>
  <c r="B93" i="46"/>
  <c r="D94" i="46"/>
  <c r="B43" i="46"/>
  <c r="D44" i="46"/>
  <c r="D337" i="8" l="1"/>
  <c r="B336" i="8"/>
  <c r="D461" i="8"/>
  <c r="B460" i="8"/>
  <c r="D95" i="46"/>
  <c r="B94" i="46"/>
  <c r="E44" i="46"/>
  <c r="C44" i="46" s="1"/>
  <c r="B44" i="46"/>
  <c r="D45" i="46"/>
  <c r="B337" i="8" l="1"/>
  <c r="D338" i="8"/>
  <c r="D462" i="8"/>
  <c r="B461" i="8"/>
  <c r="B45" i="46"/>
  <c r="D46" i="46"/>
  <c r="E95" i="46"/>
  <c r="C95" i="46" s="1"/>
  <c r="B95" i="46"/>
  <c r="D96" i="46"/>
  <c r="B338" i="8" l="1"/>
  <c r="D339" i="8"/>
  <c r="D463" i="8"/>
  <c r="B462" i="8"/>
  <c r="B96" i="46"/>
  <c r="D97" i="46"/>
  <c r="E46" i="46"/>
  <c r="C46" i="46" s="1"/>
  <c r="D47" i="46"/>
  <c r="B46" i="46"/>
  <c r="D340" i="8" l="1"/>
  <c r="B339" i="8"/>
  <c r="D464" i="8"/>
  <c r="B463" i="8"/>
  <c r="D48" i="46"/>
  <c r="B47" i="46"/>
  <c r="E97" i="46"/>
  <c r="C97" i="46" s="1"/>
  <c r="D98" i="46"/>
  <c r="B97" i="46"/>
  <c r="B340" i="8" l="1"/>
  <c r="D341" i="8"/>
  <c r="D465" i="8"/>
  <c r="B464" i="8"/>
  <c r="D99" i="46"/>
  <c r="B98" i="46"/>
  <c r="E48" i="46"/>
  <c r="C48" i="46" s="1"/>
  <c r="D49" i="46"/>
  <c r="B48" i="46"/>
  <c r="D342" i="8" l="1"/>
  <c r="B341" i="8"/>
  <c r="D466" i="8"/>
  <c r="B465" i="8"/>
  <c r="D50" i="46"/>
  <c r="B49" i="46"/>
  <c r="E99" i="46"/>
  <c r="C99" i="46" s="1"/>
  <c r="B99" i="46"/>
  <c r="D100" i="46"/>
  <c r="D343" i="8" l="1"/>
  <c r="B342" i="8"/>
  <c r="D467" i="8"/>
  <c r="B466" i="8"/>
  <c r="B100" i="46"/>
  <c r="D101" i="46"/>
  <c r="E50" i="46"/>
  <c r="C50" i="46" s="1"/>
  <c r="D51" i="46"/>
  <c r="B50" i="46"/>
  <c r="D344" i="8" l="1"/>
  <c r="B343" i="8"/>
  <c r="D468" i="8"/>
  <c r="B467" i="8"/>
  <c r="D52" i="46"/>
  <c r="D53" i="46" s="1"/>
  <c r="B51" i="46"/>
  <c r="E101" i="46"/>
  <c r="C101" i="46" s="1"/>
  <c r="B101" i="46"/>
  <c r="D102" i="46"/>
  <c r="D345" i="8" l="1"/>
  <c r="B344" i="8"/>
  <c r="D469" i="8"/>
  <c r="B468" i="8"/>
  <c r="B53" i="46"/>
  <c r="D54" i="46"/>
  <c r="B102" i="46"/>
  <c r="D103" i="46"/>
  <c r="E52" i="46"/>
  <c r="C52" i="46" s="1"/>
  <c r="B52" i="46"/>
  <c r="B345" i="8" l="1"/>
  <c r="D346" i="8"/>
  <c r="D470" i="8"/>
  <c r="B469" i="8"/>
  <c r="B54" i="46"/>
  <c r="E54" i="46"/>
  <c r="C54" i="46" s="1"/>
  <c r="D55" i="46"/>
  <c r="E103" i="46"/>
  <c r="C103" i="46" s="1"/>
  <c r="D104" i="46"/>
  <c r="B103" i="46"/>
  <c r="D347" i="8" l="1"/>
  <c r="B346" i="8"/>
  <c r="D471" i="8"/>
  <c r="B470" i="8"/>
  <c r="E55" i="46"/>
  <c r="B55" i="46"/>
  <c r="D56" i="46"/>
  <c r="D105" i="46"/>
  <c r="B104" i="46"/>
  <c r="D348" i="8" l="1"/>
  <c r="B347" i="8"/>
  <c r="D472" i="8"/>
  <c r="B471" i="8"/>
  <c r="D57" i="46"/>
  <c r="E56" i="46"/>
  <c r="C56" i="46" s="1"/>
  <c r="B56" i="46"/>
  <c r="E105" i="46"/>
  <c r="C105" i="46" s="1"/>
  <c r="B105" i="46"/>
  <c r="D106" i="46"/>
  <c r="B348" i="8" l="1"/>
  <c r="D349" i="8"/>
  <c r="D473" i="8"/>
  <c r="B472" i="8"/>
  <c r="D58" i="46"/>
  <c r="B57" i="46"/>
  <c r="E57" i="46"/>
  <c r="D107" i="46"/>
  <c r="B106" i="46"/>
  <c r="D350" i="8" l="1"/>
  <c r="B349" i="8"/>
  <c r="D474" i="8"/>
  <c r="B473" i="8"/>
  <c r="E58" i="46"/>
  <c r="C58" i="46" s="1"/>
  <c r="B58" i="46"/>
  <c r="B107" i="46"/>
  <c r="D108" i="46"/>
  <c r="E107" i="46"/>
  <c r="C107" i="46" s="1"/>
  <c r="D351" i="8" l="1"/>
  <c r="B350" i="8"/>
  <c r="D475" i="8"/>
  <c r="B474" i="8"/>
  <c r="D109" i="46"/>
  <c r="B108" i="46"/>
  <c r="B351" i="8" l="1"/>
  <c r="D352" i="8"/>
  <c r="B352" i="8" s="1"/>
  <c r="D476" i="8"/>
  <c r="B476" i="8" s="1"/>
  <c r="B475" i="8"/>
  <c r="D110" i="46"/>
  <c r="E109" i="46"/>
  <c r="C109" i="46" s="1"/>
  <c r="B109" i="46"/>
  <c r="D111" i="46" l="1"/>
  <c r="B110" i="46"/>
  <c r="E111" i="46" l="1"/>
  <c r="C111" i="46" s="1"/>
  <c r="B111" i="46"/>
</calcChain>
</file>

<file path=xl/sharedStrings.xml><?xml version="1.0" encoding="utf-8"?>
<sst xmlns="http://schemas.openxmlformats.org/spreadsheetml/2006/main" count="10932" uniqueCount="3395">
  <si>
    <t>Version</t>
    <phoneticPr fontId="4" type="noConversion"/>
  </si>
  <si>
    <t>Changes</t>
    <phoneticPr fontId="4" type="noConversion"/>
  </si>
  <si>
    <t>Author</t>
    <phoneticPr fontId="4" type="noConversion"/>
  </si>
  <si>
    <t>Reviewer</t>
    <phoneticPr fontId="4" type="noConversion"/>
  </si>
  <si>
    <t>Date</t>
  </si>
  <si>
    <t>External Firmware Version</t>
    <phoneticPr fontId="4" type="noConversion"/>
  </si>
  <si>
    <t>v1.00</t>
    <phoneticPr fontId="4" type="noConversion"/>
  </si>
  <si>
    <t xml:space="preserve">初次发布.相比Acuvim II V2有如下变化
1. 增加了地址总表
2. 更改校准方法
3. 增加了双向视在电能 0x4900-0x490E
4. 增加了四象线无功电能 0x4910-0x492E
5. 调整了双向电能模块 - 电能寄存器 0x4930-0x493A
6. 更新了产品型号
7. 0x0FFE协议选择不再支持DNP3
8. 不再支持Net模块语音,密码,邮件服务配置0x020F-0x02A9
9. 不再支持AXM_BACnet通讯模块0x0400-0x0413
10. 不再支持V2波形记录的读取地址0x8E00-0x8E43;使用V4波形记录读取地址0x8F00-0x8F43
11. 不支持测温模块相关校准,配置和读数
12. Modbus和BACnet 波特率均限制在2400bps-115200bps
13. 0x463E为科诺定制地址区
14. 第一路和第二路波特率统一为2400bps-115200bps
15. 更正PXM3000型号为CRD6
16. 增加0x45F0负载百分比
17. 增加0x0200-0x020E 设备描述
18. 增加0xF073, 3CT/4CT配置
19. 增加PXM3000导轨型号CXD6; 删除定制型号CPCx, CUCx
20. 0x1020 需量计算滑差时间 - 出厂默认值 改成1
</t>
  </si>
  <si>
    <r>
      <rPr>
        <sz val="10"/>
        <rFont val="宋体"/>
        <family val="3"/>
        <charset val="134"/>
      </rPr>
      <t>崔少航</t>
    </r>
    <phoneticPr fontId="4" type="noConversion"/>
  </si>
  <si>
    <t>v1.01</t>
    <phoneticPr fontId="4" type="noConversion"/>
  </si>
  <si>
    <t xml:space="preserve">1. 支持电流通道相序配置 0x10F4-0x10F7
2. 修改F000中HW VERSIO内容的R属性为RW(0xFB01)属性
3. Sonnen registers (tab Sonnen)
4. 恢复出厂设置由0x1028改为1026 
5. Add 0x2105 Database Revision
6. 0x1021清除报警记录-写入0x0A有效
7. 自定义读取区域 0x6A00-0x6A1F 出厂默认值为0
8. 更新TOU出厂默认值读写方式
9. 清除波形记录0x800E, 清除事件记录0x800F-写入0x55有效 
</t>
  </si>
  <si>
    <t>Haibo Song</t>
  </si>
  <si>
    <t>v1.02</t>
    <phoneticPr fontId="4" type="noConversion"/>
  </si>
  <si>
    <r>
      <t>1.</t>
    </r>
    <r>
      <rPr>
        <sz val="10"/>
        <rFont val="宋体"/>
        <family val="3"/>
        <charset val="134"/>
      </rPr>
      <t>按客户实际使用更新</t>
    </r>
    <r>
      <rPr>
        <sz val="10"/>
        <rFont val="Arial"/>
        <family val="2"/>
      </rPr>
      <t>SunSpec</t>
    </r>
  </si>
  <si>
    <t>v1.03</t>
    <phoneticPr fontId="4" type="noConversion"/>
  </si>
  <si>
    <t>1. Translated to English and reformated. Updated parameter descriptions etc.
2. In "System Information" sheet, added 0xF074 power supply type
3. In "Meter Calibration" sheet, added 0xF2B0-0xF2B7 for FFT angle coefficients
4. In "Basic Settings" sheet, added 0x142F-0x1439 for indepenent input channel configurations
5. Added "Acuvim-L Parameters" sheet and related parameters in 0x2000-0x2029, 0x2080-0x20D3, 0x2180-0x21D3
6. Added "Independent Input Channel" sheet and related parameters in 0x2400-0x241F, 0x2500-0x2545, 0x2600-0x263F, 0x5220-0x5261, 0x5262-0x52D0
7. Merged DST, TOU settings, TOU schedule settings and TOU holiday settings to "TOU Settings" sheet
8. In “Meter Model" sheet, added Acuvim-L V4 models</t>
    <phoneticPr fontId="4" type="noConversion"/>
  </si>
  <si>
    <t>Shaohang Cui</t>
    <phoneticPr fontId="4" type="noConversion"/>
  </si>
  <si>
    <t>v6.14</t>
    <phoneticPr fontId="4" type="noConversion"/>
  </si>
  <si>
    <t>v1.04</t>
  </si>
  <si>
    <t>Added new sheet "Max, Min(float)" for Max/Min values in float format</t>
  </si>
  <si>
    <t>v6.15</t>
  </si>
  <si>
    <t xml:space="preserve">Added new sheet "Debug" for troubleshooting scenario </t>
  </si>
  <si>
    <t>v1.05</t>
    <phoneticPr fontId="4" type="noConversion"/>
  </si>
  <si>
    <t>Added 0x10F8-0x10F9 in Basic Setting for Frequency Filter</t>
  </si>
  <si>
    <t>v6.17</t>
  </si>
  <si>
    <t>Added 0xF0B1 for clearing feram memory in "System Information"</t>
  </si>
  <si>
    <t>v1.06</t>
  </si>
  <si>
    <t>Block</t>
    <phoneticPr fontId="4" type="noConversion"/>
  </si>
  <si>
    <t>Sheet</t>
    <phoneticPr fontId="4" type="noConversion"/>
  </si>
  <si>
    <t>Start</t>
    <phoneticPr fontId="4" type="noConversion"/>
  </si>
  <si>
    <t>End</t>
    <phoneticPr fontId="4" type="noConversion"/>
  </si>
  <si>
    <t>Length</t>
    <phoneticPr fontId="4" type="noConversion"/>
  </si>
  <si>
    <t>Comments</t>
    <phoneticPr fontId="4" type="noConversion"/>
  </si>
  <si>
    <t>AXM_NET</t>
    <phoneticPr fontId="4" type="noConversion"/>
  </si>
  <si>
    <t xml:space="preserve">Communication module </t>
  </si>
  <si>
    <t>0x0100</t>
  </si>
  <si>
    <t>Device Description</t>
  </si>
  <si>
    <t>0x0200</t>
    <phoneticPr fontId="4" type="noConversion"/>
  </si>
  <si>
    <t>0x020E</t>
  </si>
  <si>
    <t xml:space="preserve"> module language choice,password,mail server setup</t>
  </si>
  <si>
    <t>0x020F</t>
  </si>
  <si>
    <t>0x02A9</t>
  </si>
  <si>
    <t>Not support any more</t>
  </si>
  <si>
    <t>32 Virtual Relays</t>
  </si>
  <si>
    <t>0x0216</t>
  </si>
  <si>
    <t>0x0235</t>
  </si>
  <si>
    <t>32 Virtual Inputs</t>
  </si>
  <si>
    <t>0x0240</t>
  </si>
  <si>
    <t>0x025F</t>
  </si>
  <si>
    <t>WiFi IP</t>
    <phoneticPr fontId="4" type="noConversion"/>
  </si>
  <si>
    <t>0x02B0</t>
  </si>
  <si>
    <t>0x02B1</t>
  </si>
  <si>
    <t>AXM-WEB2 ETH2 IP</t>
  </si>
  <si>
    <t>0x02B2</t>
  </si>
  <si>
    <t>0x02B3</t>
  </si>
  <si>
    <t>Network module reset</t>
  </si>
  <si>
    <t>0x0300</t>
  </si>
  <si>
    <t>0x0303</t>
  </si>
  <si>
    <t>AXM_BACnet</t>
  </si>
  <si>
    <t>0x0400</t>
  </si>
  <si>
    <t>0x0413</t>
  </si>
  <si>
    <t>Basic Basic Settings</t>
  </si>
  <si>
    <t>Basic Settings</t>
  </si>
  <si>
    <t>0x0FFD</t>
  </si>
  <si>
    <t>0x103E</t>
  </si>
  <si>
    <t>Real time clock</t>
  </si>
  <si>
    <t>0x103F</t>
  </si>
  <si>
    <t>0x1045</t>
  </si>
  <si>
    <t>Alarm general settings</t>
  </si>
  <si>
    <t>0x1046</t>
  </si>
  <si>
    <t>0x104D</t>
  </si>
  <si>
    <t>Alarm group settings</t>
  </si>
  <si>
    <t>0x104E</t>
  </si>
  <si>
    <t>0x109D</t>
  </si>
  <si>
    <t>IO  module settings</t>
  </si>
  <si>
    <t>0x109E</t>
  </si>
  <si>
    <t>0x10C1</t>
  </si>
  <si>
    <t>AO follow-up setting</t>
  </si>
  <si>
    <t>0x10C2</t>
  </si>
  <si>
    <t>0x10C5</t>
  </si>
  <si>
    <t>Wire temperature module setting</t>
  </si>
  <si>
    <t>Basic Settings</t>
    <phoneticPr fontId="4" type="noConversion"/>
  </si>
  <si>
    <t>0x10C6</t>
  </si>
  <si>
    <t>0x10C8</t>
  </si>
  <si>
    <t>V3: not support</t>
  </si>
  <si>
    <t>AO slope setting</t>
  </si>
  <si>
    <t>0x10D0</t>
  </si>
  <si>
    <t>0x10F3</t>
  </si>
  <si>
    <t>Current channel selection</t>
  </si>
  <si>
    <t>0x10F4</t>
  </si>
  <si>
    <t>0x10F7</t>
  </si>
  <si>
    <t>Average Filter for Frequency</t>
  </si>
  <si>
    <t>0x10F8</t>
  </si>
  <si>
    <t>0x10F9</t>
  </si>
  <si>
    <t>Data Log setup</t>
  </si>
  <si>
    <t>Data Log 1,2,3</t>
    <phoneticPr fontId="4" type="noConversion"/>
  </si>
  <si>
    <t>0x1100</t>
  </si>
  <si>
    <t>0x133F</t>
    <phoneticPr fontId="4" type="noConversion"/>
  </si>
  <si>
    <t>Indepandent mode settings</t>
    <phoneticPr fontId="4" type="noConversion"/>
  </si>
  <si>
    <t>0x142F</t>
    <phoneticPr fontId="4" type="noConversion"/>
  </si>
  <si>
    <t>0x1439</t>
  </si>
  <si>
    <t>Data Log settings</t>
  </si>
  <si>
    <t>Data Log 4</t>
  </si>
  <si>
    <t>0x1500</t>
  </si>
  <si>
    <t>0x15B9</t>
  </si>
  <si>
    <t>Dual source energy module  - setting</t>
  </si>
  <si>
    <t>Dual Source Energy</t>
  </si>
  <si>
    <t>0x1680</t>
  </si>
  <si>
    <t>0x1687</t>
  </si>
  <si>
    <t>Eaton customized parameters</t>
  </si>
  <si>
    <t>Real Time Parameters</t>
  </si>
  <si>
    <t>0x1FFE</t>
    <phoneticPr fontId="4" type="noConversion"/>
  </si>
  <si>
    <t>0x2040</t>
  </si>
  <si>
    <t>Overlapped with Acuvim-L parameters; but they belongs to different model, so it is not an issue</t>
    <phoneticPr fontId="4" type="noConversion"/>
  </si>
  <si>
    <t>Acuvim-L Basic Readings (word)</t>
    <phoneticPr fontId="4" type="noConversion"/>
  </si>
  <si>
    <t>Acuvim-L parameters</t>
  </si>
  <si>
    <t>0x2000</t>
    <phoneticPr fontId="4" type="noConversion"/>
  </si>
  <si>
    <t>0x2029</t>
    <phoneticPr fontId="4" type="noConversion"/>
  </si>
  <si>
    <t>Acuvim-L Energy</t>
  </si>
  <si>
    <t>0x2080</t>
    <phoneticPr fontId="4" type="noConversion"/>
  </si>
  <si>
    <t>BACnet MS/TP settings</t>
    <phoneticPr fontId="4" type="noConversion"/>
  </si>
  <si>
    <t>0x2100</t>
    <phoneticPr fontId="4" type="noConversion"/>
  </si>
  <si>
    <t>0x2105</t>
    <phoneticPr fontId="4" type="noConversion"/>
  </si>
  <si>
    <t>Acuvim-L Basic Readings (float)</t>
    <phoneticPr fontId="4" type="noConversion"/>
  </si>
  <si>
    <t>0x2180</t>
    <phoneticPr fontId="4" type="noConversion"/>
  </si>
  <si>
    <t>0x21D3</t>
    <phoneticPr fontId="4" type="noConversion"/>
  </si>
  <si>
    <t>Basic Readings (word)</t>
    <phoneticPr fontId="4" type="noConversion"/>
  </si>
  <si>
    <t>Independent Input Channel</t>
    <phoneticPr fontId="4" type="noConversion"/>
  </si>
  <si>
    <t>0x2400</t>
  </si>
  <si>
    <t>0x241F</t>
  </si>
  <si>
    <t>Debug</t>
  </si>
  <si>
    <t>0x2420</t>
  </si>
  <si>
    <t>0x2421</t>
  </si>
  <si>
    <t>Energy</t>
    <phoneticPr fontId="4" type="noConversion"/>
  </si>
  <si>
    <t>0x2500</t>
  </si>
  <si>
    <t>0x2545</t>
    <phoneticPr fontId="4" type="noConversion"/>
  </si>
  <si>
    <t>Basic Readings (Float)</t>
  </si>
  <si>
    <t>0x2600</t>
  </si>
  <si>
    <t>0x263F</t>
  </si>
  <si>
    <r>
      <t>Real Time Parameters</t>
    </r>
    <r>
      <rPr>
        <sz val="10"/>
        <rFont val="宋体"/>
        <family val="3"/>
        <charset val="134"/>
      </rPr>
      <t>（</t>
    </r>
    <r>
      <rPr>
        <sz val="10"/>
        <rFont val="Arial"/>
        <family val="2"/>
      </rPr>
      <t>100ms)</t>
    </r>
  </si>
  <si>
    <t>0x3000</t>
  </si>
  <si>
    <r>
      <t>Real Time Parameters</t>
    </r>
    <r>
      <rPr>
        <sz val="10"/>
        <rFont val="宋体"/>
        <family val="3"/>
        <charset val="134"/>
      </rPr>
      <t>（</t>
    </r>
    <r>
      <rPr>
        <sz val="10"/>
        <rFont val="Arial"/>
        <family val="2"/>
      </rPr>
      <t>Integer</t>
    </r>
    <r>
      <rPr>
        <sz val="10"/>
        <rFont val="宋体"/>
        <family val="3"/>
        <charset val="134"/>
      </rPr>
      <t>）</t>
    </r>
  </si>
  <si>
    <t>0x3200</t>
  </si>
  <si>
    <t>0x3226</t>
  </si>
  <si>
    <r>
      <t>20ms AcuvimIIV4</t>
    </r>
    <r>
      <rPr>
        <sz val="10"/>
        <rFont val="宋体"/>
        <family val="3"/>
        <charset val="134"/>
      </rPr>
      <t>、</t>
    </r>
    <r>
      <rPr>
        <sz val="10"/>
        <rFont val="Arial"/>
        <family val="2"/>
      </rPr>
      <t>Eaton</t>
    </r>
    <phoneticPr fontId="4" type="noConversion"/>
  </si>
  <si>
    <t>0x3400</t>
  </si>
  <si>
    <t>0x341D</t>
  </si>
  <si>
    <t>20ms AcuvimIIV2</t>
    <phoneticPr fontId="4" type="noConversion"/>
  </si>
  <si>
    <t>0x3500</t>
  </si>
  <si>
    <t>0x3517</t>
  </si>
  <si>
    <r>
      <t>Real Time Parameters</t>
    </r>
    <r>
      <rPr>
        <sz val="10"/>
        <rFont val="宋体"/>
        <family val="3"/>
        <charset val="134"/>
      </rPr>
      <t>（</t>
    </r>
    <r>
      <rPr>
        <sz val="10"/>
        <rFont val="Arial"/>
        <family val="2"/>
      </rPr>
      <t>1S</t>
    </r>
    <r>
      <rPr>
        <sz val="10"/>
        <rFont val="宋体"/>
        <family val="3"/>
        <charset val="134"/>
      </rPr>
      <t>）</t>
    </r>
  </si>
  <si>
    <t>0x4000</t>
  </si>
  <si>
    <t>0x4047</t>
  </si>
  <si>
    <r>
      <t xml:space="preserve">Energy </t>
    </r>
    <r>
      <rPr>
        <sz val="10"/>
        <rFont val="宋体"/>
        <family val="3"/>
        <charset val="134"/>
      </rPr>
      <t>（</t>
    </r>
    <r>
      <rPr>
        <sz val="10"/>
        <rFont val="Arial"/>
        <family val="2"/>
      </rPr>
      <t>1S</t>
    </r>
    <r>
      <rPr>
        <sz val="10"/>
        <rFont val="宋体"/>
        <family val="3"/>
        <charset val="134"/>
      </rPr>
      <t>）</t>
    </r>
  </si>
  <si>
    <t>0x4048</t>
  </si>
  <si>
    <t>0x4059</t>
  </si>
  <si>
    <r>
      <t>Harmonics data</t>
    </r>
    <r>
      <rPr>
        <sz val="10"/>
        <rFont val="宋体"/>
        <family val="3"/>
        <charset val="134"/>
      </rPr>
      <t>（</t>
    </r>
    <r>
      <rPr>
        <sz val="10"/>
        <rFont val="Arial"/>
        <family val="2"/>
      </rPr>
      <t>3S</t>
    </r>
    <r>
      <rPr>
        <sz val="10"/>
        <rFont val="宋体"/>
        <family val="3"/>
        <charset val="134"/>
      </rPr>
      <t>）</t>
    </r>
  </si>
  <si>
    <t>0x405A</t>
  </si>
  <si>
    <t>0x412A</t>
  </si>
  <si>
    <t>Max value record</t>
  </si>
  <si>
    <t>Max, Min</t>
  </si>
  <si>
    <t>0x4136</t>
  </si>
  <si>
    <t>0x41E4</t>
  </si>
  <si>
    <t>Min value record</t>
  </si>
  <si>
    <t>0x41E5</t>
  </si>
  <si>
    <t>0x4293</t>
  </si>
  <si>
    <t>Sequence</t>
  </si>
  <si>
    <t>Sequence and Phase Angle</t>
  </si>
  <si>
    <t>0x4294</t>
  </si>
  <si>
    <t>0x429F</t>
  </si>
  <si>
    <t>Phase Angle</t>
  </si>
  <si>
    <t>0x42A0</t>
  </si>
  <si>
    <t>0x42A8</t>
  </si>
  <si>
    <t>Alarm Records</t>
  </si>
  <si>
    <t>0x42A9</t>
  </si>
  <si>
    <t>0x4348</t>
  </si>
  <si>
    <t>IO module DI pulse count</t>
  </si>
  <si>
    <t>0x4349</t>
  </si>
  <si>
    <t>0x4380</t>
  </si>
  <si>
    <r>
      <t>AO</t>
    </r>
    <r>
      <rPr>
        <sz val="10"/>
        <rFont val="宋体"/>
        <family val="3"/>
        <charset val="134"/>
      </rPr>
      <t>、</t>
    </r>
    <r>
      <rPr>
        <sz val="10"/>
        <rFont val="Arial"/>
        <family val="2"/>
      </rPr>
      <t>AI analogic value</t>
    </r>
  </si>
  <si>
    <t>0x4381</t>
  </si>
  <si>
    <t>0x4388</t>
  </si>
  <si>
    <r>
      <t>AO</t>
    </r>
    <r>
      <rPr>
        <sz val="10"/>
        <rFont val="宋体"/>
        <family val="3"/>
        <charset val="134"/>
      </rPr>
      <t>、</t>
    </r>
    <r>
      <rPr>
        <sz val="10"/>
        <rFont val="Arial"/>
        <family val="2"/>
      </rPr>
      <t>AI real value</t>
    </r>
  </si>
  <si>
    <t>0x4389</t>
  </si>
  <si>
    <t>0x4398</t>
  </si>
  <si>
    <t>SOE record</t>
  </si>
  <si>
    <t>0x4399</t>
  </si>
  <si>
    <t>0x4439</t>
  </si>
  <si>
    <t>Harmonics data（3S）32-63 cycle</t>
  </si>
  <si>
    <t>0x4500</t>
  </si>
  <si>
    <t>0x45BF</t>
  </si>
  <si>
    <t>Load percentage</t>
  </si>
  <si>
    <t>0x45F0</t>
    <phoneticPr fontId="4" type="noConversion"/>
  </si>
  <si>
    <t>0x45F1</t>
    <phoneticPr fontId="4" type="noConversion"/>
  </si>
  <si>
    <t>Current demand</t>
  </si>
  <si>
    <t>0x4600</t>
  </si>
  <si>
    <t>0x4605</t>
  </si>
  <si>
    <t>Current demand max. value</t>
  </si>
  <si>
    <t>0x4606</t>
  </si>
  <si>
    <t>0x461A</t>
  </si>
  <si>
    <t>Energy - continue（1S）</t>
  </si>
  <si>
    <t>0x4620</t>
  </si>
  <si>
    <t>0x463D</t>
  </si>
  <si>
    <t>Kono address  list</t>
  </si>
  <si>
    <t>0x463E</t>
  </si>
  <si>
    <t>0x478D</t>
  </si>
  <si>
    <t xml:space="preserve">Customized address  </t>
  </si>
  <si>
    <t>Apparent Energy extend</t>
  </si>
  <si>
    <t>0x4900</t>
  </si>
  <si>
    <t>0x490F</t>
  </si>
  <si>
    <t>Four-quadrant reactive energy</t>
  </si>
  <si>
    <t>0x4910</t>
  </si>
  <si>
    <t>0x492F</t>
  </si>
  <si>
    <t>Dual source energy module  - energy register</t>
  </si>
  <si>
    <t>Real Time Parameters/
Dual Source Energy</t>
  </si>
  <si>
    <t>0x4930</t>
    <phoneticPr fontId="4" type="noConversion"/>
  </si>
  <si>
    <t>0x493B</t>
  </si>
  <si>
    <t xml:space="preserve">MESH network address  </t>
  </si>
  <si>
    <t xml:space="preserve">Communication Module </t>
  </si>
  <si>
    <t>0x4F00</t>
  </si>
  <si>
    <t>0x4F14</t>
  </si>
  <si>
    <t>Max/Min in float(normal mode)</t>
  </si>
  <si>
    <t>Max. Min(float)</t>
  </si>
  <si>
    <t>0x5000</t>
  </si>
  <si>
    <t>0x51A7</t>
  </si>
  <si>
    <t>In Harmonics data</t>
    <phoneticPr fontId="4" type="noConversion"/>
  </si>
  <si>
    <t>0x5220</t>
    <phoneticPr fontId="4" type="noConversion"/>
  </si>
  <si>
    <t>0x52DD</t>
  </si>
  <si>
    <t>Max/Min in float(Independent mode)</t>
  </si>
  <si>
    <t>0x52E0</t>
  </si>
  <si>
    <t>0x5547</t>
  </si>
  <si>
    <t>Data Log reading</t>
  </si>
  <si>
    <t>0x6000</t>
  </si>
  <si>
    <t>0x607E</t>
  </si>
  <si>
    <t xml:space="preserve">Data Log state </t>
  </si>
  <si>
    <t>0x6100</t>
  </si>
  <si>
    <t>0x630B</t>
  </si>
  <si>
    <t>Data Log 4 reading</t>
  </si>
  <si>
    <t>0x6400</t>
  </si>
  <si>
    <t>0x647E</t>
  </si>
  <si>
    <t xml:space="preserve">Data Log 4 state </t>
  </si>
  <si>
    <t>0x6500</t>
  </si>
  <si>
    <t>0x650B</t>
  </si>
  <si>
    <t>User defined reading area</t>
  </si>
  <si>
    <t>0x6A00</t>
  </si>
  <si>
    <t>0x6A1F</t>
  </si>
  <si>
    <t>User defined reading setting area</t>
  </si>
  <si>
    <t>0x6B00</t>
  </si>
  <si>
    <t>Dual source energy module  - switch record area</t>
  </si>
  <si>
    <t>0x6D00</t>
  </si>
  <si>
    <t>0x6D57</t>
  </si>
  <si>
    <r>
      <t>Harmonics amplitude  value and phase angle</t>
    </r>
    <r>
      <rPr>
        <sz val="10"/>
        <rFont val="宋体"/>
        <family val="3"/>
        <charset val="134"/>
      </rPr>
      <t>（</t>
    </r>
    <r>
      <rPr>
        <sz val="10"/>
        <rFont val="Arial"/>
        <family val="2"/>
      </rPr>
      <t xml:space="preserve">Secondary </t>
    </r>
    <r>
      <rPr>
        <sz val="10"/>
        <rFont val="宋体"/>
        <family val="3"/>
        <charset val="134"/>
      </rPr>
      <t>）</t>
    </r>
  </si>
  <si>
    <t>0x6E00</t>
  </si>
  <si>
    <t>0x70E7</t>
  </si>
  <si>
    <t>Current Month Accumulation TOU Energy</t>
  </si>
  <si>
    <t>TOU Readings</t>
    <phoneticPr fontId="4" type="noConversion"/>
  </si>
  <si>
    <t>0x7200</t>
  </si>
  <si>
    <t>0x7231</t>
  </si>
  <si>
    <t>Previous Month Accumulation TOU Energy</t>
    <phoneticPr fontId="4" type="noConversion"/>
  </si>
  <si>
    <t>0x7232</t>
  </si>
  <si>
    <t>0x7263</t>
  </si>
  <si>
    <t>Current Month Incremental TOU Energy</t>
    <phoneticPr fontId="4" type="noConversion"/>
  </si>
  <si>
    <t>0x7300</t>
  </si>
  <si>
    <t>0x7331</t>
  </si>
  <si>
    <t>Previous Month Incremental TOU Energy</t>
    <phoneticPr fontId="4" type="noConversion"/>
  </si>
  <si>
    <t>0x7332</t>
    <phoneticPr fontId="4" type="noConversion"/>
  </si>
  <si>
    <t>0x7363</t>
    <phoneticPr fontId="4" type="noConversion"/>
  </si>
  <si>
    <t>Current Month TOU Max Demand</t>
    <phoneticPr fontId="4" type="noConversion"/>
  </si>
  <si>
    <t>0x7500</t>
    <phoneticPr fontId="4" type="noConversion"/>
  </si>
  <si>
    <t>0x759F</t>
    <phoneticPr fontId="4" type="noConversion"/>
  </si>
  <si>
    <t>Previous Month TOU Max Demand</t>
  </si>
  <si>
    <t>0x7600</t>
    <phoneticPr fontId="4" type="noConversion"/>
  </si>
  <si>
    <t>0x769F</t>
    <phoneticPr fontId="4" type="noConversion"/>
  </si>
  <si>
    <t>Daylight Savings Time Settings</t>
  </si>
  <si>
    <t>TOU Settings</t>
    <phoneticPr fontId="4" type="noConversion"/>
  </si>
  <si>
    <t>0x7700</t>
  </si>
  <si>
    <t>0x7717</t>
  </si>
  <si>
    <t>TOU Basic Settings</t>
    <phoneticPr fontId="4" type="noConversion"/>
  </si>
  <si>
    <t>0x7800</t>
  </si>
  <si>
    <t>0x780E</t>
  </si>
  <si>
    <t>Season settings</t>
    <phoneticPr fontId="4" type="noConversion"/>
  </si>
  <si>
    <t>0x7820</t>
  </si>
  <si>
    <t>0x7843</t>
  </si>
  <si>
    <t>Schedule settings</t>
    <phoneticPr fontId="4" type="noConversion"/>
  </si>
  <si>
    <t>0x7844</t>
  </si>
  <si>
    <t>0x7A8F</t>
  </si>
  <si>
    <t>Holiday settings</t>
    <phoneticPr fontId="4" type="noConversion"/>
  </si>
  <si>
    <t>0x7A90</t>
  </si>
  <si>
    <t>0x7AEC</t>
  </si>
  <si>
    <t>10 years holiday settings</t>
    <phoneticPr fontId="4" type="noConversion"/>
  </si>
  <si>
    <t>0x7B00</t>
  </si>
  <si>
    <t>Special weekday schedule settings</t>
    <phoneticPr fontId="4" type="noConversion"/>
  </si>
  <si>
    <t>0x7F00</t>
  </si>
  <si>
    <t>0x7F60</t>
  </si>
  <si>
    <t xml:space="preserve">Waveform Settings </t>
    <phoneticPr fontId="4" type="noConversion"/>
  </si>
  <si>
    <t>Waveform</t>
    <phoneticPr fontId="4" type="noConversion"/>
  </si>
  <si>
    <t>0x8000</t>
  </si>
  <si>
    <t>0x8010</t>
    <phoneticPr fontId="4" type="noConversion"/>
  </si>
  <si>
    <t>Energy Event output to DO/RO</t>
  </si>
  <si>
    <t>0x8011</t>
    <phoneticPr fontId="4" type="noConversion"/>
  </si>
  <si>
    <t>0x801F</t>
    <phoneticPr fontId="4" type="noConversion"/>
  </si>
  <si>
    <t>Not implemented</t>
  </si>
  <si>
    <t>Event Record reading Area</t>
  </si>
  <si>
    <t>0x8CFD</t>
  </si>
  <si>
    <t>0x8D4F</t>
  </si>
  <si>
    <r>
      <t>Waveform Record Reading/Access</t>
    </r>
    <r>
      <rPr>
        <sz val="10"/>
        <rFont val="宋体"/>
        <family val="3"/>
        <charset val="134"/>
      </rPr>
      <t>（</t>
    </r>
    <r>
      <rPr>
        <sz val="10"/>
        <rFont val="Arial"/>
        <family val="2"/>
      </rPr>
      <t>Hardware V2.0</t>
    </r>
    <r>
      <rPr>
        <sz val="10"/>
        <rFont val="宋体"/>
        <family val="3"/>
        <charset val="134"/>
      </rPr>
      <t>）</t>
    </r>
  </si>
  <si>
    <t>0x8E00</t>
    <phoneticPr fontId="4" type="noConversion"/>
  </si>
  <si>
    <t>0x8E43</t>
  </si>
  <si>
    <t>Not used any more</t>
  </si>
  <si>
    <r>
      <t>Waveform Record Reading/Access</t>
    </r>
    <r>
      <rPr>
        <sz val="10"/>
        <rFont val="宋体"/>
        <family val="3"/>
        <charset val="134"/>
      </rPr>
      <t>（</t>
    </r>
    <r>
      <rPr>
        <sz val="10"/>
        <rFont val="Arial"/>
        <family val="2"/>
      </rPr>
      <t>Hardware V4.0</t>
    </r>
    <r>
      <rPr>
        <sz val="10"/>
        <rFont val="宋体"/>
        <family val="3"/>
        <charset val="134"/>
      </rPr>
      <t>）</t>
    </r>
  </si>
  <si>
    <t>0x8F00</t>
  </si>
  <si>
    <t>0x8F43</t>
  </si>
  <si>
    <t>Temperature module  - temperature value reading</t>
  </si>
  <si>
    <t xml:space="preserve">Wired temperature module </t>
  </si>
  <si>
    <t>0x9000</t>
  </si>
  <si>
    <t>0x90FF</t>
  </si>
  <si>
    <t>V3 does not support</t>
  </si>
  <si>
    <t xml:space="preserve">System information of wireless temperature module </t>
  </si>
  <si>
    <t xml:space="preserve">Wireless temperature module </t>
  </si>
  <si>
    <t>0x9100</t>
  </si>
  <si>
    <t>0x9106</t>
  </si>
  <si>
    <t>Sensor Parameters</t>
  </si>
  <si>
    <t>0x9200</t>
  </si>
  <si>
    <t>0x9311</t>
  </si>
  <si>
    <t xml:space="preserve">Networking Parameters </t>
  </si>
  <si>
    <t>0x9400</t>
  </si>
  <si>
    <t>0x9406</t>
  </si>
  <si>
    <t>0x9500</t>
  </si>
  <si>
    <t>0x9502</t>
  </si>
  <si>
    <t>Sunspec</t>
    <phoneticPr fontId="4" type="noConversion"/>
  </si>
  <si>
    <t>0xC350</t>
  </si>
  <si>
    <t>0xC419</t>
  </si>
  <si>
    <t>Main version information</t>
  </si>
  <si>
    <t>System Information</t>
  </si>
  <si>
    <t>0xF000</t>
  </si>
  <si>
    <t>0xF008</t>
  </si>
  <si>
    <t>IO version information</t>
  </si>
  <si>
    <t>0xF009</t>
  </si>
  <si>
    <t>0xF020</t>
  </si>
  <si>
    <t>AXM_NET</t>
  </si>
  <si>
    <t>0xF021</t>
    <phoneticPr fontId="4" type="noConversion"/>
  </si>
  <si>
    <t>0xF024</t>
    <phoneticPr fontId="4" type="noConversion"/>
  </si>
  <si>
    <t>PROFIBUS</t>
    <phoneticPr fontId="4" type="noConversion"/>
  </si>
  <si>
    <t>0xF025</t>
    <phoneticPr fontId="4" type="noConversion"/>
  </si>
  <si>
    <t>0xF028</t>
    <phoneticPr fontId="4" type="noConversion"/>
  </si>
  <si>
    <t>Wired temperature</t>
  </si>
  <si>
    <t>System Information</t>
    <phoneticPr fontId="4" type="noConversion"/>
  </si>
  <si>
    <t>0xF029</t>
    <phoneticPr fontId="4" type="noConversion"/>
  </si>
  <si>
    <t>0xF02F</t>
    <phoneticPr fontId="4" type="noConversion"/>
  </si>
  <si>
    <t>Wireless temperature</t>
  </si>
  <si>
    <t>0xF030</t>
    <phoneticPr fontId="4" type="noConversion"/>
  </si>
  <si>
    <t>0xF036</t>
    <phoneticPr fontId="4" type="noConversion"/>
  </si>
  <si>
    <t>Product information</t>
  </si>
  <si>
    <t>0xF040</t>
    <phoneticPr fontId="4" type="noConversion"/>
  </si>
  <si>
    <t>0xF0B1</t>
  </si>
  <si>
    <r>
      <t>Interface to PC</t>
    </r>
    <r>
      <rPr>
        <sz val="10"/>
        <rFont val="等线"/>
        <family val="3"/>
        <charset val="134"/>
      </rPr>
      <t>（</t>
    </r>
    <r>
      <rPr>
        <sz val="10"/>
        <rFont val="Arial"/>
        <family val="2"/>
      </rPr>
      <t>reserve</t>
    </r>
    <r>
      <rPr>
        <sz val="10"/>
        <rFont val="等线"/>
        <family val="3"/>
        <charset val="134"/>
      </rPr>
      <t>）</t>
    </r>
  </si>
  <si>
    <t>IO Calibration</t>
  </si>
  <si>
    <t>0xF112</t>
  </si>
  <si>
    <t>0xF114</t>
  </si>
  <si>
    <t>IO module AO calibration parameters</t>
  </si>
  <si>
    <t>0xF132</t>
  </si>
  <si>
    <t>0xF139</t>
  </si>
  <si>
    <t>IO module AI calibration parameters</t>
  </si>
  <si>
    <t>0xF13A</t>
  </si>
  <si>
    <t>0xF141</t>
    <phoneticPr fontId="4" type="noConversion"/>
  </si>
  <si>
    <t>CT/PT type setting</t>
  </si>
  <si>
    <t>0xF1F0</t>
  </si>
  <si>
    <t>0xF1F1</t>
  </si>
  <si>
    <t>IO module type setting</t>
    <phoneticPr fontId="4" type="noConversion"/>
  </si>
  <si>
    <t>0xF200</t>
  </si>
  <si>
    <t>0xF202</t>
  </si>
  <si>
    <t>Acuvim II V3 RCT calibration</t>
  </si>
  <si>
    <t>Meter Calibration</t>
  </si>
  <si>
    <t>0xF204</t>
    <phoneticPr fontId="4" type="noConversion"/>
  </si>
  <si>
    <t>0xF209</t>
    <phoneticPr fontId="4" type="noConversion"/>
  </si>
  <si>
    <t>Acuvim II V3 calibration</t>
  </si>
  <si>
    <t>0xF210</t>
    <phoneticPr fontId="4" type="noConversion"/>
  </si>
  <si>
    <t>0xF25F</t>
    <phoneticPr fontId="4" type="noConversion"/>
  </si>
  <si>
    <t>0xF260</t>
    <phoneticPr fontId="4" type="noConversion"/>
  </si>
  <si>
    <t>0xF2AF</t>
    <phoneticPr fontId="4" type="noConversion"/>
  </si>
  <si>
    <t>FFT angle Calibration</t>
  </si>
  <si>
    <t>0xF2B0</t>
  </si>
  <si>
    <t>0xF2E7</t>
  </si>
  <si>
    <t>Temperature module calibration</t>
  </si>
  <si>
    <t>0xF3D0</t>
  </si>
  <si>
    <t>0xF3DD</t>
  </si>
  <si>
    <t>Command to restore TOU factory default values</t>
  </si>
  <si>
    <t>TOU Default Setting</t>
    <phoneticPr fontId="4" type="noConversion"/>
  </si>
  <si>
    <t>0xF3FE</t>
  </si>
  <si>
    <t>0xF3FF</t>
    <phoneticPr fontId="4" type="noConversion"/>
  </si>
  <si>
    <t>TOU factory default values</t>
  </si>
  <si>
    <t>0xF400</t>
    <phoneticPr fontId="4" type="noConversion"/>
  </si>
  <si>
    <t>0xF40E</t>
  </si>
  <si>
    <t>TOU factory default values 2</t>
  </si>
  <si>
    <t>0xF420</t>
  </si>
  <si>
    <t>0xF6EC</t>
  </si>
  <si>
    <t>PC used</t>
  </si>
  <si>
    <t>0xF700</t>
  </si>
  <si>
    <t>0xF795</t>
  </si>
  <si>
    <t>Hardware version information</t>
  </si>
  <si>
    <t>0xFB01</t>
  </si>
  <si>
    <t xml:space="preserve">Profibus address  </t>
  </si>
  <si>
    <t>0xFF00</t>
  </si>
  <si>
    <t>0xFF01</t>
    <phoneticPr fontId="4" type="noConversion"/>
  </si>
  <si>
    <t>AO Test</t>
    <phoneticPr fontId="4" type="noConversion"/>
  </si>
  <si>
    <t>N/A</t>
    <phoneticPr fontId="4" type="noConversion"/>
  </si>
  <si>
    <t>0xFFF0</t>
  </si>
  <si>
    <t>Customization</t>
  </si>
  <si>
    <t>Yuanjing Energy Wind-Electric Real-time parameters</t>
    <phoneticPr fontId="4" type="noConversion"/>
  </si>
  <si>
    <t>0x0000</t>
  </si>
  <si>
    <t>0x0043</t>
  </si>
  <si>
    <t>Yuanjing Energy Wind-Electric PT1/PT2</t>
    <phoneticPr fontId="4" type="noConversion"/>
  </si>
  <si>
    <t>0x901</t>
    <phoneticPr fontId="4" type="noConversion"/>
  </si>
  <si>
    <t>Shanghai Wind-Electric Real-time parameters</t>
    <phoneticPr fontId="4" type="noConversion"/>
  </si>
  <si>
    <t>Start(Hex)</t>
    <phoneticPr fontId="4" type="noConversion"/>
  </si>
  <si>
    <t>End(Hex)</t>
    <phoneticPr fontId="4" type="noConversion"/>
  </si>
  <si>
    <t>Start(Dec)</t>
    <phoneticPr fontId="4" type="noConversion"/>
  </si>
  <si>
    <t>End(Dec)</t>
    <phoneticPr fontId="4" type="noConversion"/>
  </si>
  <si>
    <t>Description</t>
  </si>
  <si>
    <t>Data type</t>
    <phoneticPr fontId="4" type="noConversion"/>
  </si>
  <si>
    <t>Reg</t>
    <phoneticPr fontId="4" type="noConversion"/>
  </si>
  <si>
    <t>RW</t>
    <phoneticPr fontId="4" type="noConversion"/>
  </si>
  <si>
    <t>Range</t>
  </si>
  <si>
    <t>Default Value</t>
  </si>
  <si>
    <t>Factory Default</t>
  </si>
  <si>
    <t>Version Info</t>
    <phoneticPr fontId="4" type="noConversion"/>
  </si>
  <si>
    <t>Meter Model string in format like "CP01" (ASCII chars)</t>
    <phoneticPr fontId="4" type="noConversion"/>
  </si>
  <si>
    <t>R</t>
  </si>
  <si>
    <t>See "Meter Model" sheet</t>
    <phoneticPr fontId="4" type="noConversion"/>
  </si>
  <si>
    <t>Hardware version string in format like "1.01" (ASCII chars). Write by Testbench via command 0x6A on address 0xF0B1</t>
    <phoneticPr fontId="4" type="noConversion"/>
  </si>
  <si>
    <t>R</t>
    <phoneticPr fontId="4" type="noConversion"/>
  </si>
  <si>
    <t>Software version string in format like "1.01" (ASCII chars)</t>
    <phoneticPr fontId="4" type="noConversion"/>
  </si>
  <si>
    <t>Software date string in format like "230403" (ASCII chars, YYMMDD)</t>
  </si>
  <si>
    <t>IO module info</t>
    <phoneticPr fontId="4" type="noConversion"/>
  </si>
  <si>
    <t xml:space="preserve">IO Module 1, address 0 </t>
  </si>
  <si>
    <t>A</t>
    <phoneticPr fontId="4" type="noConversion"/>
  </si>
  <si>
    <t>IO Module 2, address 0</t>
  </si>
  <si>
    <t>B</t>
    <phoneticPr fontId="4" type="noConversion"/>
  </si>
  <si>
    <t>IO Module 3, address 0</t>
  </si>
  <si>
    <t>C</t>
    <phoneticPr fontId="4" type="noConversion"/>
  </si>
  <si>
    <t>IO Module 1, address 1</t>
  </si>
  <si>
    <t>D</t>
    <phoneticPr fontId="4" type="noConversion"/>
  </si>
  <si>
    <t>IO Module 2, address 1</t>
  </si>
  <si>
    <t>E</t>
    <phoneticPr fontId="4" type="noConversion"/>
  </si>
  <si>
    <t>IO Module 3, address 1</t>
  </si>
  <si>
    <t>F</t>
    <phoneticPr fontId="4" type="noConversion"/>
  </si>
  <si>
    <t>Communication Module Info</t>
    <phoneticPr fontId="4" type="noConversion"/>
  </si>
  <si>
    <t>P</t>
    <phoneticPr fontId="4" type="noConversion"/>
  </si>
  <si>
    <t>P: profibus module
E: WEB module</t>
  </si>
  <si>
    <t>Production Info</t>
    <phoneticPr fontId="4" type="noConversion"/>
  </si>
  <si>
    <t>Serial Number</t>
  </si>
  <si>
    <t>RW, write by Testbench via command 0x6A</t>
  </si>
  <si>
    <t>Acuvim II V3: in format AHBYYMMabcd
Acuvim-L V4: in format CLDYYMMabcd</t>
  </si>
  <si>
    <t>Meter Model</t>
  </si>
  <si>
    <t>RW, write by Testbench via command 0x6A</t>
    <phoneticPr fontId="4" type="noConversion"/>
  </si>
  <si>
    <t>Acuvim II
Acuvim IIR
Acuvim IIE
Acuvim IIW
Acuvim IIBN
Acuvim IIX
Acuvim-CL
Acuvim-EL</t>
  </si>
  <si>
    <t>WEB Module MAC address; write by WEB module</t>
  </si>
  <si>
    <t>Model selection</t>
  </si>
  <si>
    <t>Mount type selection</t>
    <phoneticPr fontId="4" type="noConversion"/>
  </si>
  <si>
    <t>0: panel mount
1: DIN rail</t>
    <phoneticPr fontId="4" type="noConversion"/>
  </si>
  <si>
    <t>testbench disable seal</t>
    <phoneticPr fontId="4" type="noConversion"/>
  </si>
  <si>
    <t>3CT/4CT</t>
  </si>
  <si>
    <t>0: 4CT; 1: 3CT
For Acuvim-L, it can only be 4CT</t>
  </si>
  <si>
    <t>0: 4CT</t>
  </si>
  <si>
    <t>Power Supply Type</t>
  </si>
  <si>
    <t>1: P1; 2: P2</t>
  </si>
  <si>
    <t>reserved</t>
    <phoneticPr fontId="4" type="noConversion"/>
  </si>
  <si>
    <t>Restore web module default settings</t>
    <phoneticPr fontId="4" type="noConversion"/>
  </si>
  <si>
    <t>Write 1 to restore web module default settings</t>
    <phoneticPr fontId="4" type="noConversion"/>
  </si>
  <si>
    <t>Boot version info</t>
    <phoneticPr fontId="4" type="noConversion"/>
  </si>
  <si>
    <t>Clear feram command</t>
  </si>
  <si>
    <t>R/W</t>
  </si>
  <si>
    <t>0x6666</t>
  </si>
  <si>
    <t>CT2 type</t>
  </si>
  <si>
    <t>word</t>
  </si>
  <si>
    <t>5: 1A/5A
333: 333mV/RCT
200: 200mA
For Acuvim-L, it can only be 5 or 333</t>
    <phoneticPr fontId="4" type="noConversion"/>
  </si>
  <si>
    <t>PT2 type (actually not used)</t>
  </si>
  <si>
    <t>100: 100V
400: 400V</t>
  </si>
  <si>
    <t>Hardware version</t>
  </si>
  <si>
    <t>ASCII "00" to "99"</t>
  </si>
  <si>
    <t>Default</t>
  </si>
  <si>
    <t>Factory Value</t>
  </si>
  <si>
    <r>
      <t>Interface with PC</t>
    </r>
    <r>
      <rPr>
        <b/>
        <sz val="10"/>
        <color theme="1"/>
        <rFont val="宋体"/>
        <family val="3"/>
        <charset val="134"/>
      </rPr>
      <t>（</t>
    </r>
    <r>
      <rPr>
        <b/>
        <sz val="10"/>
        <color theme="1"/>
        <rFont val="Arial"/>
        <family val="2"/>
      </rPr>
      <t>reserve</t>
    </r>
    <r>
      <rPr>
        <b/>
        <sz val="10"/>
        <color theme="1"/>
        <rFont val="宋体"/>
        <family val="3"/>
        <charset val="134"/>
      </rPr>
      <t>）</t>
    </r>
  </si>
  <si>
    <t>Frequency Configuration</t>
    <phoneticPr fontId="4" type="noConversion"/>
  </si>
  <si>
    <t>int16</t>
    <phoneticPr fontId="4" type="noConversion"/>
  </si>
  <si>
    <t>0: 50Hz;
1: 60Hz
2: 400Hz;
3: 800Hz</t>
  </si>
  <si>
    <t>Display test</t>
  </si>
  <si>
    <t>1:  LCD all light
0:  LCD normal</t>
  </si>
  <si>
    <t>Selection of AO test point</t>
  </si>
  <si>
    <t xml:space="preserve">0: auto follow;
1: test point;
2: low end;
3: high end;
4: zero point;
5: any point
</t>
  </si>
  <si>
    <t>IO module AO calibration values</t>
    <phoneticPr fontId="4" type="noConversion"/>
  </si>
  <si>
    <t>AO1 calibration value 1</t>
  </si>
  <si>
    <t>AO1 calibration value 2</t>
  </si>
  <si>
    <t>AO2 calibration value 1</t>
  </si>
  <si>
    <t>AO2 calibration value 2</t>
  </si>
  <si>
    <t>AO3 calibration value 1</t>
  </si>
  <si>
    <t>AO3 calibration value 2</t>
  </si>
  <si>
    <t>AO4 calibration value 1</t>
  </si>
  <si>
    <t>AO4 calibration value 2</t>
  </si>
  <si>
    <t>IO module AI calibration values</t>
    <phoneticPr fontId="4" type="noConversion"/>
  </si>
  <si>
    <t>AI1 calibration value 1</t>
  </si>
  <si>
    <t>AI1 calibration value 2</t>
  </si>
  <si>
    <t>AI2 calibration value 1</t>
  </si>
  <si>
    <t>AI2 calibration value 2</t>
  </si>
  <si>
    <t>AI3 calibration value 1</t>
  </si>
  <si>
    <t>AI3 calibration value 2</t>
  </si>
  <si>
    <t>AI4 calibration value 1</t>
  </si>
  <si>
    <t>AI4 calibration value 2</t>
  </si>
  <si>
    <t>IO1 address  0: A
IO1 address  1: D</t>
  </si>
  <si>
    <t>byte</t>
  </si>
  <si>
    <t>IO2 address  0: B
IO2 address  1: E</t>
  </si>
  <si>
    <t xml:space="preserve">AO Type
</t>
    <phoneticPr fontId="4" type="noConversion"/>
  </si>
  <si>
    <t>Voltage type: 0
Current type: 1</t>
  </si>
  <si>
    <t>IO3 address  0: C
IO3 address  1: F</t>
  </si>
  <si>
    <t xml:space="preserve">AI Type
</t>
    <phoneticPr fontId="4" type="noConversion"/>
  </si>
  <si>
    <t>Calibration command</t>
    <phoneticPr fontId="4" type="noConversion"/>
  </si>
  <si>
    <r>
      <t>Calibration command 1 (0x6A for writing</t>
    </r>
    <r>
      <rPr>
        <sz val="10"/>
        <rFont val="等线"/>
        <family val="3"/>
        <charset val="134"/>
      </rPr>
      <t>）</t>
    </r>
    <phoneticPr fontId="4" type="noConversion"/>
  </si>
  <si>
    <t>word</t>
    <phoneticPr fontId="4" type="noConversion"/>
  </si>
  <si>
    <t>W</t>
    <phoneticPr fontId="4" type="noConversion"/>
  </si>
  <si>
    <r>
      <t>Calibration command 2 (0x6A for writing</t>
    </r>
    <r>
      <rPr>
        <sz val="10"/>
        <rFont val="等线"/>
        <family val="3"/>
        <charset val="134"/>
      </rPr>
      <t>）</t>
    </r>
  </si>
  <si>
    <r>
      <t>Calibration command 3 (0x6A for writing</t>
    </r>
    <r>
      <rPr>
        <sz val="10"/>
        <rFont val="等线"/>
        <family val="3"/>
        <charset val="134"/>
      </rPr>
      <t>）</t>
    </r>
  </si>
  <si>
    <r>
      <t>Calibration command 4 (0x6A for writing</t>
    </r>
    <r>
      <rPr>
        <sz val="10"/>
        <rFont val="等线"/>
        <family val="3"/>
        <charset val="134"/>
      </rPr>
      <t>）</t>
    </r>
  </si>
  <si>
    <r>
      <t>Calibration inquire command (0x03 reading</t>
    </r>
    <r>
      <rPr>
        <sz val="10"/>
        <rFont val="宋体"/>
        <family val="3"/>
        <charset val="134"/>
      </rPr>
      <t>）</t>
    </r>
  </si>
  <si>
    <r>
      <t>Exit calibration command (0x6A writing</t>
    </r>
    <r>
      <rPr>
        <sz val="10"/>
        <rFont val="宋体"/>
        <family val="3"/>
        <charset val="134"/>
      </rPr>
      <t>）</t>
    </r>
  </si>
  <si>
    <t>5A, mA, mV calibration values</t>
  </si>
  <si>
    <t>50Hz Va Gain</t>
  </si>
  <si>
    <t>int32</t>
    <phoneticPr fontId="4" type="noConversion"/>
  </si>
  <si>
    <t>R/W</t>
    <phoneticPr fontId="4" type="noConversion"/>
  </si>
  <si>
    <t>50Hz Vb Gain</t>
  </si>
  <si>
    <t>50Hz Vc Gain</t>
  </si>
  <si>
    <t>50Hz Ia Gain</t>
  </si>
  <si>
    <t>50Hz Ib Gain</t>
  </si>
  <si>
    <t>50Hz Ic Gain</t>
  </si>
  <si>
    <t>50Hz In Gain</t>
  </si>
  <si>
    <t>50Hz Ia Phase Coeff</t>
  </si>
  <si>
    <t>50Hz Ib Phase Coeff</t>
  </si>
  <si>
    <t>50Hz Ic Phase Coeff</t>
  </si>
  <si>
    <t>50Hz Watt A Gain</t>
  </si>
  <si>
    <t>50Hz Watt B Gain</t>
    <phoneticPr fontId="4" type="noConversion"/>
  </si>
  <si>
    <t>50Hz Watt C Gain</t>
  </si>
  <si>
    <t>50Hz Va FFT Gain</t>
  </si>
  <si>
    <t>float32</t>
  </si>
  <si>
    <t>50Hz Vb FFT Gain</t>
  </si>
  <si>
    <t>50Hz Vc FFT Gain</t>
  </si>
  <si>
    <t>50Hz Ia FFT Gain</t>
  </si>
  <si>
    <t>50Hz Ib FFT Gain</t>
  </si>
  <si>
    <t>50Hz Ic FFT Gain</t>
  </si>
  <si>
    <t>50Hz In FFT Gain</t>
  </si>
  <si>
    <t>60Hz Va Gain</t>
  </si>
  <si>
    <t>60Hz Vb Gain</t>
  </si>
  <si>
    <t>60Hz Vc Gain</t>
  </si>
  <si>
    <t>60Hz Ia Gain</t>
  </si>
  <si>
    <t>60Hz Ib Gain</t>
  </si>
  <si>
    <t>60Hz Ic Gain</t>
  </si>
  <si>
    <t>60Hz In Gain</t>
  </si>
  <si>
    <t>60Hz Ia Phase Coeff</t>
  </si>
  <si>
    <t>60Hz Ib Phase Coeff</t>
  </si>
  <si>
    <t>60Hz Ic Phase Coeff</t>
  </si>
  <si>
    <t>60Hz Watt A Gain</t>
  </si>
  <si>
    <t>60Hz Watt B Gain</t>
    <phoneticPr fontId="4" type="noConversion"/>
  </si>
  <si>
    <t>60Hz Watt C Gain</t>
  </si>
  <si>
    <t>60Hz Va FFT Gain</t>
  </si>
  <si>
    <t>60Hz Vb FFT Gain</t>
  </si>
  <si>
    <t>60Hz Vc FFT Gain</t>
  </si>
  <si>
    <t>60Hz Ia FFT Gain</t>
  </si>
  <si>
    <t>60Hz Ib FFT Gain</t>
  </si>
  <si>
    <t>60Hz Ic FFT Gain</t>
  </si>
  <si>
    <t>60Hz In FFT Gain</t>
  </si>
  <si>
    <t>RCT calibration values</t>
    <phoneticPr fontId="4" type="noConversion"/>
  </si>
  <si>
    <t>RCT 50Hz Va Gain</t>
  </si>
  <si>
    <t>RCT 50Hz Vb Gain</t>
  </si>
  <si>
    <t>RCT 50Hz Vc Gain</t>
  </si>
  <si>
    <t>RCT 50Hz Ia Gain</t>
  </si>
  <si>
    <t>RCT 50Hz Ib Gain</t>
  </si>
  <si>
    <t>RCT 50Hz Ic Gain</t>
  </si>
  <si>
    <t>RCT 50Hz In Gain</t>
  </si>
  <si>
    <t>RCT 50Hz Ia Phase Coeff</t>
  </si>
  <si>
    <t>RCT 50Hz Ib Phase Coeff</t>
  </si>
  <si>
    <t>RCT 50Hz Ic Phase Coeff</t>
  </si>
  <si>
    <t>RCT 50Hz Watt A Gain</t>
  </si>
  <si>
    <t>RCT 50Hz Watt B Gain</t>
  </si>
  <si>
    <t>RCT 50Hz Watt C Gain</t>
  </si>
  <si>
    <t>RCT 50Hz Va FFT Gain</t>
  </si>
  <si>
    <t>RCT 50Hz Vb FFT Gain</t>
  </si>
  <si>
    <t>RCT 50Hz Vc FFT Gain</t>
  </si>
  <si>
    <t>RCT 50Hz Ia FFT Gain</t>
  </si>
  <si>
    <t>RCT 50Hz Ib FFT Gain</t>
  </si>
  <si>
    <t>RCT 50Hz Ic FFT Gain</t>
  </si>
  <si>
    <t>RCT 50Hz In FFT Gain</t>
  </si>
  <si>
    <t>RCT 60Hz Va Gain</t>
  </si>
  <si>
    <t>RCT 60Hz Vb Gain</t>
  </si>
  <si>
    <t>RCT 60Hz Vc Gain</t>
  </si>
  <si>
    <t>RCT 60Hz Ia Gain</t>
  </si>
  <si>
    <t>RCT 60Hz Ib Gain</t>
  </si>
  <si>
    <t>RCT 60Hz Ic Gain</t>
  </si>
  <si>
    <t>RCT 60Hz In Gain</t>
  </si>
  <si>
    <t>RCT 60Hz Ia Phase Coeff</t>
  </si>
  <si>
    <t>RCT 60Hz Ib Phase Coeff</t>
  </si>
  <si>
    <t>RCT 60Hz Ic Phase Coeff</t>
  </si>
  <si>
    <t>RCT 60Hz Watt A Gain</t>
  </si>
  <si>
    <t>RCT 60Hz Watt B Gain</t>
  </si>
  <si>
    <t>RCT 60Hz Watt C Gain</t>
  </si>
  <si>
    <t>RCT 60Hz Va FFT Gain</t>
  </si>
  <si>
    <t>RCT 60Hz Vb FFT Gain</t>
  </si>
  <si>
    <t>RCT 60Hz Vc FFT Gain</t>
  </si>
  <si>
    <t>RCT 60Hz Ia FFT Gain</t>
  </si>
  <si>
    <t>RCT 60Hz Ib FFT Gain</t>
  </si>
  <si>
    <t>RCT 60Hz Ic FFT Gain</t>
  </si>
  <si>
    <t>RCT 60Hz In FFT Gain</t>
  </si>
  <si>
    <t>FFT angle coefficients</t>
  </si>
  <si>
    <t>50Hz Va FFT angle Coef</t>
    <phoneticPr fontId="4" type="noConversion"/>
  </si>
  <si>
    <t>50Hz Vb FFT angle Coef</t>
    <phoneticPr fontId="4" type="noConversion"/>
  </si>
  <si>
    <t>50Hz Vc FFT angle Coef</t>
    <phoneticPr fontId="4" type="noConversion"/>
  </si>
  <si>
    <t>50Hz Ia FFT angle Coef</t>
    <phoneticPr fontId="4" type="noConversion"/>
  </si>
  <si>
    <t>50Hz Ib FFT angle Coef</t>
    <phoneticPr fontId="4" type="noConversion"/>
  </si>
  <si>
    <t>50Hz Ic FFT angle Coef</t>
    <phoneticPr fontId="4" type="noConversion"/>
  </si>
  <si>
    <t>50Hz In FFT angle Coef</t>
    <phoneticPr fontId="4" type="noConversion"/>
  </si>
  <si>
    <t>60Hz Va FFT angle Coef</t>
  </si>
  <si>
    <t>60Hz Vb FFT angle Coef</t>
  </si>
  <si>
    <t>60Hz Vc FFT angle Coef</t>
  </si>
  <si>
    <t>60Hz Ia FFT angle Coef</t>
  </si>
  <si>
    <t>60Hz Ib FFT angle Coef</t>
  </si>
  <si>
    <t>60Hz Ic FFT angle Coef</t>
  </si>
  <si>
    <t>60Hz In FFT angle Coef</t>
  </si>
  <si>
    <t>RCT 50Hz Va FFT angle Coef</t>
  </si>
  <si>
    <t>RCT 50Hz Vb FFT angle Coef</t>
  </si>
  <si>
    <t>RCT 50Hz Vc FFT angle Coef</t>
  </si>
  <si>
    <t>RCT 50Hz Ia FFT angle Coef</t>
  </si>
  <si>
    <t>RCT 50Hz Ib FFT angle Coef</t>
  </si>
  <si>
    <t>RCT 50Hz Ic FFT angle Coef</t>
  </si>
  <si>
    <t>RCT 50Hz In FFT angle Coef</t>
  </si>
  <si>
    <t>RCT 60Hz Va FFT angle Coef</t>
  </si>
  <si>
    <t>RCT 60Hz Vb FFT angle Coef</t>
  </si>
  <si>
    <t>RCT 60Hz Vc FFT angle Coef</t>
  </si>
  <si>
    <t>RCT 60Hz Ia FFT angle Coef</t>
  </si>
  <si>
    <t>RCT 60Hz Ib FFT angle Coef</t>
  </si>
  <si>
    <t>RCT 60Hz Ic FFT angle Coef</t>
  </si>
  <si>
    <t>RCT 60Hz In FFT angle Coef</t>
  </si>
  <si>
    <t>Calibration state: Calibration coefficient legitimacy</t>
  </si>
  <si>
    <t>uint16</t>
  </si>
  <si>
    <t>BIT0: Is the calibration coefficient of the first temperature measurement channel legal?（same in following）0: legal 1: not legal
BIT1: second channel
BIT2: third channel
BIT3: fourth channel
BIT4: fifth channel
Other bits: reserve</t>
  </si>
  <si>
    <t>Calibration state: Is calibration finished</t>
  </si>
  <si>
    <t>BIT0: step0: finished? 0: not,1: yes（same in following）
BIT1: step1
Other bits: reserve</t>
  </si>
  <si>
    <t>Calibration state: Is calibration running</t>
  </si>
  <si>
    <t>BIT0: step0: is it in calibration? 0: no,1: yes（same in following）
BIT1: step1: ...
Other bits: reserve</t>
  </si>
  <si>
    <t>Calibration Step</t>
  </si>
  <si>
    <t>0: temperature calibration step1 （T1=T2=T3= 32780Ω,0℃）
1: temperature calibration step2 （T1=T2=T3= 419Ω,116℃）</t>
  </si>
  <si>
    <t>1 channel calibration parameter U1</t>
  </si>
  <si>
    <t>Calibration parameters</t>
  </si>
  <si>
    <t>1 channel calibration parameter R1</t>
  </si>
  <si>
    <t>2 channel calibration parameter U2</t>
  </si>
  <si>
    <t>2 channel calibration parameter R2</t>
  </si>
  <si>
    <t>3 channel calibration parameter U3</t>
  </si>
  <si>
    <t>3 channel calibration parameter R3</t>
  </si>
  <si>
    <t>4 channel calibration parameter U4</t>
  </si>
  <si>
    <t>4 channel calibration parameter R4</t>
  </si>
  <si>
    <t>5 channel calibration parameter U5</t>
  </si>
  <si>
    <t>5 channel calibration parameter R5</t>
  </si>
  <si>
    <t>0xF3FE: TOU factory default values</t>
  </si>
  <si>
    <t>Factory value</t>
  </si>
  <si>
    <t>System Settings: 03H Read, 10H Write</t>
  </si>
  <si>
    <t>Frequency selection</t>
    <phoneticPr fontId="4" type="noConversion"/>
  </si>
  <si>
    <t xml:space="preserve">0: 50Hz
1: 60Hz </t>
  </si>
  <si>
    <t>Channel 1 Communication Protocol</t>
    <phoneticPr fontId="4" type="noConversion"/>
  </si>
  <si>
    <t xml:space="preserve">0: MODBUS
2: BACnet MS/TP </t>
  </si>
  <si>
    <t>Channel 1 Parity</t>
    <phoneticPr fontId="4" type="noConversion"/>
  </si>
  <si>
    <t>0: even
1: odd
2: None2
3: None1</t>
  </si>
  <si>
    <t>Password</t>
  </si>
  <si>
    <t>0-9999</t>
  </si>
  <si>
    <t>Channel 1 address</t>
    <phoneticPr fontId="4" type="noConversion"/>
  </si>
  <si>
    <t>1-247（Modbus）</t>
  </si>
  <si>
    <t>Channel 1 Baud Rate</t>
    <phoneticPr fontId="4" type="noConversion"/>
  </si>
  <si>
    <t>2400-115200</t>
  </si>
  <si>
    <t>Voltage Input Wiring Type</t>
  </si>
  <si>
    <t>Current Input Wiring Type</t>
  </si>
  <si>
    <t>0: 3CT
1: 1CT
2: 2CT</t>
  </si>
  <si>
    <t>PT1(High 16 bit)</t>
  </si>
  <si>
    <t>50.0-1000000.0</t>
  </si>
  <si>
    <t xml:space="preserve">PT1(Low 16 bit) </t>
  </si>
  <si>
    <t>PT2</t>
  </si>
  <si>
    <t>50.0-400.0</t>
  </si>
  <si>
    <t>CT1</t>
  </si>
  <si>
    <t>1-50000</t>
    <phoneticPr fontId="4" type="noConversion"/>
  </si>
  <si>
    <t>CT2</t>
  </si>
  <si>
    <t>Depending on meter CT type
* CT Type 1A/5A: 5: 5A; 1: 1A
* CT Type mV: 333: 333mV; 100: 100mV/50Hz
* CT Type mA: 80: 80mA; 100: 100mA; 200: 200mA</t>
  </si>
  <si>
    <t>kWh Pulse Constant</t>
  </si>
  <si>
    <t>1-60000</t>
  </si>
  <si>
    <t>kvarh Pulse Constant</t>
  </si>
  <si>
    <t>LCD Backlight Time</t>
  </si>
  <si>
    <t>0-120</t>
    <phoneticPr fontId="4" type="noConversion"/>
  </si>
  <si>
    <t>Demand Interval</t>
    <phoneticPr fontId="4" type="noConversion"/>
  </si>
  <si>
    <t>1~30</t>
    <phoneticPr fontId="4" type="noConversion"/>
  </si>
  <si>
    <t>Demand Method</t>
    <phoneticPr fontId="4" type="noConversion"/>
  </si>
  <si>
    <t xml:space="preserve">0: Fixed block, 
1: Sliding block,
2: thermal,
3: Rolling block
</t>
  </si>
  <si>
    <t>Clear Demand</t>
  </si>
  <si>
    <t>Write 1 to clear</t>
    <phoneticPr fontId="4" type="noConversion"/>
  </si>
  <si>
    <t>Clear Max/Min</t>
    <phoneticPr fontId="4" type="noConversion"/>
  </si>
  <si>
    <t>0x55</t>
  </si>
  <si>
    <t>Clear run hours</t>
    <phoneticPr fontId="4" type="noConversion"/>
  </si>
  <si>
    <t>Current I1 Direction</t>
  </si>
  <si>
    <t>0: Positive; 1: Negative</t>
  </si>
  <si>
    <t>Current I2 Direction</t>
  </si>
  <si>
    <t>Current I3 Direction</t>
  </si>
  <si>
    <t>VAR/PF Convention</t>
  </si>
  <si>
    <t>0: IEC; 1: IEEE</t>
  </si>
  <si>
    <t>Clear Energy</t>
  </si>
  <si>
    <t>Energy Calculation Method</t>
    <phoneticPr fontId="4" type="noConversion"/>
  </si>
  <si>
    <t>0: Fundamental
1: Fundament+Harmonics</t>
    <phoneticPr fontId="4" type="noConversion"/>
  </si>
  <si>
    <t>Reactive Power Calculation Method</t>
    <phoneticPr fontId="4" type="noConversion"/>
  </si>
  <si>
    <t>0: True Reactive Power
1: Generic Reactive Power</t>
    <phoneticPr fontId="4" type="noConversion"/>
  </si>
  <si>
    <t>Energy Reading Display Primary/Secondary</t>
    <phoneticPr fontId="4" type="noConversion"/>
  </si>
  <si>
    <t>0: Primary; 1: Secondary; 2: Primary in 0.01kWh</t>
    <phoneticPr fontId="4" type="noConversion"/>
  </si>
  <si>
    <t>0/PXM3000 default 0 not editable</t>
  </si>
  <si>
    <t>Reset Ethernet Module</t>
  </si>
  <si>
    <t>0: None
1: Reset
2: Restore factory default</t>
  </si>
  <si>
    <t>Enable SOE</t>
    <phoneticPr fontId="4" type="noConversion"/>
  </si>
  <si>
    <t>0: None
1: AXM-IO11
2: AXM-IO21
3: AXM-IO31
4: AXM-IO12
5: AXM-IO22
6: AXM-IO32</t>
    <phoneticPr fontId="4" type="noConversion"/>
  </si>
  <si>
    <t>Clear Pulse Counter</t>
  </si>
  <si>
    <t>Basic Reading Display Primary/Secondary</t>
    <phoneticPr fontId="4" type="noConversion"/>
  </si>
  <si>
    <t>0: Secondary
1: Primary</t>
    <phoneticPr fontId="4" type="noConversion"/>
  </si>
  <si>
    <t>0/PXM3000 default 1 not editable</t>
  </si>
  <si>
    <t>Non-standard content seal option</t>
  </si>
  <si>
    <t xml:space="preserve">R/W </t>
  </si>
  <si>
    <t>0x55: enable
0xAA: disable</t>
    <phoneticPr fontId="4" type="noConversion"/>
  </si>
  <si>
    <t>Sealing status</t>
    <phoneticPr fontId="4" type="noConversion"/>
  </si>
  <si>
    <t xml:space="preserve">sealed: 0x0A   
unsealed: 0   </t>
    <phoneticPr fontId="4" type="noConversion"/>
  </si>
  <si>
    <t>demand calculation slip time</t>
  </si>
  <si>
    <t>Clear alarm records</t>
  </si>
  <si>
    <t>Write 0x0A to clear</t>
    <phoneticPr fontId="4" type="noConversion"/>
  </si>
  <si>
    <t>use writing 0x0A to clear</t>
  </si>
  <si>
    <t>0x1022</t>
    <phoneticPr fontId="4" type="noConversion"/>
  </si>
  <si>
    <t>CT41</t>
    <phoneticPr fontId="4" type="noConversion"/>
  </si>
  <si>
    <t>As CT1</t>
  </si>
  <si>
    <t>0x1023</t>
    <phoneticPr fontId="4" type="noConversion"/>
  </si>
  <si>
    <t>CT42</t>
    <phoneticPr fontId="4" type="noConversion"/>
  </si>
  <si>
    <t>As CT2</t>
  </si>
  <si>
    <t>0x1024</t>
    <phoneticPr fontId="4" type="noConversion"/>
  </si>
  <si>
    <t xml:space="preserve">JiGuan customized PT </t>
    <phoneticPr fontId="4" type="noConversion"/>
  </si>
  <si>
    <t>0x1025</t>
    <phoneticPr fontId="4" type="noConversion"/>
  </si>
  <si>
    <t>JiGuan customized CT</t>
    <phoneticPr fontId="4" type="noConversion"/>
  </si>
  <si>
    <t>0x1026</t>
    <phoneticPr fontId="4" type="noConversion"/>
  </si>
  <si>
    <t>Restore factory setting</t>
  </si>
  <si>
    <t>Write 0x01 to clear</t>
    <phoneticPr fontId="4" type="noConversion"/>
  </si>
  <si>
    <t>0x1027</t>
    <phoneticPr fontId="4" type="noConversion"/>
  </si>
  <si>
    <t>Line N current method</t>
    <phoneticPr fontId="4" type="noConversion"/>
  </si>
  <si>
    <t xml:space="preserve">0: calculated
1: measured   </t>
    <phoneticPr fontId="4" type="noConversion"/>
  </si>
  <si>
    <t>0x1028</t>
    <phoneticPr fontId="4" type="noConversion"/>
  </si>
  <si>
    <t>Modbus Gateway Enable/Disable</t>
  </si>
  <si>
    <t>0: disable; 1:enable</t>
  </si>
  <si>
    <t>0x1029</t>
    <phoneticPr fontId="4" type="noConversion"/>
  </si>
  <si>
    <t>reserve</t>
  </si>
  <si>
    <t>0x102A</t>
    <phoneticPr fontId="4" type="noConversion"/>
  </si>
  <si>
    <t>0x102B</t>
    <phoneticPr fontId="4" type="noConversion"/>
  </si>
  <si>
    <t>0x102C</t>
    <phoneticPr fontId="4" type="noConversion"/>
  </si>
  <si>
    <t>1 - 14400W</t>
  </si>
  <si>
    <t>0x102D</t>
    <phoneticPr fontId="4" type="noConversion"/>
  </si>
  <si>
    <t>Load characteristics</t>
    <phoneticPr fontId="4" type="noConversion"/>
  </si>
  <si>
    <t>0: current    1: power</t>
  </si>
  <si>
    <t>System status</t>
  </si>
  <si>
    <t>Bit0: for new alarm
Bit1: for new SOE event</t>
    <phoneticPr fontId="4" type="noConversion"/>
  </si>
  <si>
    <t>Channel 2 baud rate</t>
    <phoneticPr fontId="4" type="noConversion"/>
  </si>
  <si>
    <t>PXM3000 default: 115200 not editable</t>
  </si>
  <si>
    <t>Channel 2 parity</t>
    <phoneticPr fontId="4" type="noConversion"/>
  </si>
  <si>
    <t>PXM3000 default: 3 not editable</t>
  </si>
  <si>
    <t>Channel 2 address</t>
    <phoneticPr fontId="4" type="noConversion"/>
  </si>
  <si>
    <t>PXM3000 default 2 not editable</t>
  </si>
  <si>
    <t>Alarm group number</t>
  </si>
  <si>
    <t>0: no alarm record;
1-16: latest alarm record group number</t>
  </si>
  <si>
    <t>SOE record group number</t>
    <phoneticPr fontId="4" type="noConversion"/>
  </si>
  <si>
    <t>0: no SOE record;
1-20: latest SOE record group number</t>
  </si>
  <si>
    <t>Run Hour high byte</t>
    <phoneticPr fontId="4" type="noConversion"/>
  </si>
  <si>
    <t>Run Hour low byte</t>
    <phoneticPr fontId="4" type="noConversion"/>
  </si>
  <si>
    <t>module connection status</t>
    <phoneticPr fontId="4" type="noConversion"/>
  </si>
  <si>
    <r>
      <t>Bit0 ~ Bit5: for IO11 ~ IO32,
Bit6: for wired temperature module</t>
    </r>
    <r>
      <rPr>
        <sz val="10"/>
        <rFont val="微软雅黑"/>
        <family val="2"/>
        <charset val="134"/>
      </rPr>
      <t xml:space="preserve">
</t>
    </r>
    <r>
      <rPr>
        <sz val="10"/>
        <rFont val="Arial"/>
        <family val="2"/>
      </rPr>
      <t>Bit7: for wireless temperature module</t>
    </r>
    <r>
      <rPr>
        <sz val="10"/>
        <rFont val="微软雅黑"/>
        <family val="2"/>
        <charset val="134"/>
      </rPr>
      <t xml:space="preserve">
</t>
    </r>
    <r>
      <rPr>
        <sz val="10"/>
        <rFont val="Arial"/>
        <family val="2"/>
      </rPr>
      <t>(0: not connected,1: connected)</t>
    </r>
    <phoneticPr fontId="4" type="noConversion"/>
  </si>
  <si>
    <r>
      <t>Temperature</t>
    </r>
    <r>
      <rPr>
        <sz val="10"/>
        <rFont val="华文细黑"/>
        <family val="3"/>
        <charset val="134"/>
      </rPr>
      <t>（</t>
    </r>
    <r>
      <rPr>
        <sz val="10"/>
        <rFont val="Arial"/>
        <family val="3"/>
      </rPr>
      <t xml:space="preserve">used by </t>
    </r>
    <r>
      <rPr>
        <sz val="10"/>
        <rFont val="Arial"/>
        <family val="2"/>
      </rPr>
      <t>old Acuvim II</t>
    </r>
    <r>
      <rPr>
        <sz val="10"/>
        <rFont val="华文细黑"/>
        <family val="3"/>
        <charset val="134"/>
      </rPr>
      <t>）</t>
    </r>
    <phoneticPr fontId="4" type="noConversion"/>
  </si>
  <si>
    <t>0: other
1: BACnet
2: MESH
3: WIFI
4: WEB2(EATON vesion: ETHM)
5: Profibus</t>
    <phoneticPr fontId="4" type="noConversion"/>
  </si>
  <si>
    <t>0/PXM3000 defualt: 0 not editable</t>
  </si>
  <si>
    <t>enable downloading TOU Ten year configs</t>
    <phoneticPr fontId="4" type="noConversion"/>
  </si>
  <si>
    <t>Clear max demand - sharp tariff</t>
    <phoneticPr fontId="4" type="noConversion"/>
  </si>
  <si>
    <t>Clear max demand - peak tariff</t>
    <phoneticPr fontId="4" type="noConversion"/>
  </si>
  <si>
    <t>Clear max demand - valley tariff</t>
    <phoneticPr fontId="4" type="noConversion"/>
  </si>
  <si>
    <t>Clear max demand - normal tariff</t>
    <phoneticPr fontId="4" type="noConversion"/>
  </si>
  <si>
    <t>Clear max demand - all tariffs</t>
    <phoneticPr fontId="4" type="noConversion"/>
  </si>
  <si>
    <t>Week</t>
  </si>
  <si>
    <t>Year</t>
  </si>
  <si>
    <t>Month</t>
  </si>
  <si>
    <t>Day</t>
  </si>
  <si>
    <t>Hour</t>
  </si>
  <si>
    <t>Minute</t>
  </si>
  <si>
    <t>Second</t>
  </si>
  <si>
    <t>Alarm settings</t>
    <phoneticPr fontId="4" type="noConversion"/>
  </si>
  <si>
    <t>Enable all alarm function</t>
    <phoneticPr fontId="4" type="noConversion"/>
  </si>
  <si>
    <t>Enable alarm LCD flashing</t>
    <phoneticPr fontId="4" type="noConversion"/>
  </si>
  <si>
    <t>Enable alarm channels</t>
    <phoneticPr fontId="4" type="noConversion"/>
  </si>
  <si>
    <t>Bit 0~15 for alarm channel 1~16 (0: disabled; enabled)</t>
    <phoneticPr fontId="4" type="noConversion"/>
  </si>
  <si>
    <t>Enable "AND" logic for alarm channels</t>
    <phoneticPr fontId="4" type="noConversion"/>
  </si>
  <si>
    <t>Bit 0 for alarm channel 1 and 2;
Bit 1 for alarm channel 3 and 4; 
Bit 2 for alarm channel 5 and 6;
Bit 3 for alarm channel 7 and 8; 
Bit 4 for alarm channel 9 and 10;
Bit 5 for alarm channel 11 and 12; 
Bit 6 for alarm channel 13 and 14;
Bit 7 for alarm channel 15 and 16;
(0: disabled; enabled)</t>
    <phoneticPr fontId="4" type="noConversion"/>
  </si>
  <si>
    <t>Alarm channels to trigger DO1</t>
    <phoneticPr fontId="4" type="noConversion"/>
  </si>
  <si>
    <t>Alarm channels to trigger DO2</t>
  </si>
  <si>
    <t>Alarm channels to trigger DO3</t>
  </si>
  <si>
    <t>Alarm channels to trigger DO4</t>
  </si>
  <si>
    <t>Alarm channel 1 parameter selection</t>
    <phoneticPr fontId="4" type="noConversion"/>
  </si>
  <si>
    <t>int16</t>
  </si>
  <si>
    <t>0 ~ 79</t>
    <phoneticPr fontId="4" type="noConversion"/>
  </si>
  <si>
    <t>Alarm channel 1 logic</t>
    <phoneticPr fontId="4" type="noConversion"/>
  </si>
  <si>
    <t>1: &gt; 
2: =
3: &lt;</t>
    <phoneticPr fontId="4" type="noConversion"/>
  </si>
  <si>
    <t>Alarm channel 1 threshold (setpoint)</t>
    <phoneticPr fontId="4" type="noConversion"/>
  </si>
  <si>
    <t>If DI parameter is selected:
* 0 for no alarm
* 1 for ON to trigger alarm
* 2 for OFF to trigger alarm
* 3 for both ON/OFF to trigger alarm</t>
    <phoneticPr fontId="4" type="noConversion"/>
  </si>
  <si>
    <t>Alarm channel 1 delay</t>
    <phoneticPr fontId="4" type="noConversion"/>
  </si>
  <si>
    <r>
      <t>0 ~ 60000</t>
    </r>
    <r>
      <rPr>
        <sz val="10"/>
        <rFont val="华文细黑"/>
        <family val="3"/>
        <charset val="134"/>
      </rPr>
      <t>（</t>
    </r>
    <r>
      <rPr>
        <sz val="10"/>
        <rFont val="Arial"/>
        <family val="2"/>
      </rPr>
      <t>× 10mS</t>
    </r>
    <r>
      <rPr>
        <sz val="10"/>
        <rFont val="华文细黑"/>
        <family val="3"/>
        <charset val="134"/>
      </rPr>
      <t>）</t>
    </r>
    <phoneticPr fontId="4" type="noConversion"/>
  </si>
  <si>
    <t>Alarm channel 1 relay output selection</t>
    <phoneticPr fontId="4" type="noConversion"/>
  </si>
  <si>
    <t>0: no output
1-8: output relay ID</t>
    <phoneticPr fontId="4" type="noConversion"/>
  </si>
  <si>
    <t>Alarm channel 2 configuration</t>
    <phoneticPr fontId="4" type="noConversion"/>
  </si>
  <si>
    <t>Alarm channel 3 configuration</t>
  </si>
  <si>
    <t>Alarm channel 4 configuration</t>
  </si>
  <si>
    <t>Alarm channel 5 configuration</t>
  </si>
  <si>
    <t>Alarm channel 6 configuration</t>
  </si>
  <si>
    <t>Alarm channel 7 configuration</t>
  </si>
  <si>
    <t>Alarm channel 8 configuration</t>
  </si>
  <si>
    <t>Alarm channel 9 configuration</t>
  </si>
  <si>
    <t>Alarm channel 10 configuration</t>
  </si>
  <si>
    <t>Alarm channel 11 configuration</t>
  </si>
  <si>
    <t>Alarm channel 12 configuration</t>
  </si>
  <si>
    <t>Alarm channel 13 configuration</t>
  </si>
  <si>
    <t>Table of Alarm variable order number</t>
  </si>
  <si>
    <t>Alarm channel 14 configuration</t>
  </si>
  <si>
    <t>Alarm channel 15 configuration</t>
  </si>
  <si>
    <t>Alarm channel 16 configuration</t>
  </si>
  <si>
    <t>IO module settings</t>
    <phoneticPr fontId="4" type="noConversion"/>
  </si>
  <si>
    <t>IO module1,address 0</t>
  </si>
  <si>
    <t>DI1-6 type</t>
  </si>
  <si>
    <t>Bit 0-5 for DI 1-6
0: Status Monitor; 1: Pulse Counter</t>
    <phoneticPr fontId="4" type="noConversion"/>
  </si>
  <si>
    <t>DI Pulse Constant</t>
  </si>
  <si>
    <t>1 - 65535</t>
  </si>
  <si>
    <t>RO Type Mode</t>
  </si>
  <si>
    <t xml:space="preserve">0: Relay  1: Alarm </t>
    <phoneticPr fontId="4" type="noConversion"/>
  </si>
  <si>
    <t>RO Control Mode</t>
  </si>
  <si>
    <t>0: Latch   1: Momentary  2: Manual</t>
  </si>
  <si>
    <t>RO Pulse Width</t>
    <phoneticPr fontId="4" type="noConversion"/>
  </si>
  <si>
    <t>50 - 3000(in relay mode);300 - 3000(in alarm mode)</t>
    <phoneticPr fontId="4" type="noConversion"/>
  </si>
  <si>
    <t>IO module 2,address 0</t>
  </si>
  <si>
    <t>DI7~10 Type</t>
  </si>
  <si>
    <t>Bit0-3 for DI7-10 
0: Status Monitor; 1: Pulse Counter</t>
    <phoneticPr fontId="4" type="noConversion"/>
  </si>
  <si>
    <t>1~65535</t>
  </si>
  <si>
    <t>DO Mode</t>
  </si>
  <si>
    <t>DO Pulse width</t>
  </si>
  <si>
    <t>20~100ms</t>
  </si>
  <si>
    <t>DO1 Parameter selection</t>
    <phoneticPr fontId="4" type="noConversion"/>
  </si>
  <si>
    <t>0: None
1: EP_IMP
2: EP_EXP
3: EQ-IMP
4: EQ_EXP</t>
    <phoneticPr fontId="4" type="noConversion"/>
  </si>
  <si>
    <t>DO2 Parameter selection</t>
  </si>
  <si>
    <t>AO Type</t>
  </si>
  <si>
    <t>0: 0~20mA
1: 4~20mA
2: 0~5V
3: 1~5V</t>
    <phoneticPr fontId="4" type="noConversion"/>
  </si>
  <si>
    <t>IO module 3,address 0</t>
  </si>
  <si>
    <t>DI11~DI14 Type</t>
  </si>
  <si>
    <t>Bit0-3 for DI11-14
0: Status Monitor; 1: Pulse Counter</t>
    <phoneticPr fontId="4" type="noConversion"/>
  </si>
  <si>
    <t>AI Type</t>
  </si>
  <si>
    <t>IO module 1,address 1</t>
  </si>
  <si>
    <t>As IO module 1, address  0</t>
  </si>
  <si>
    <t>DI15~20 Type</t>
  </si>
  <si>
    <t>Bit0-5 for DI15-20
0: Status Monitor; 1: Pulse Counter</t>
    <phoneticPr fontId="4" type="noConversion"/>
  </si>
  <si>
    <t>Pulse Width</t>
  </si>
  <si>
    <t>IO module 2, address  1</t>
  </si>
  <si>
    <t>As IO module 2, address  0</t>
  </si>
  <si>
    <t>DI21~DI24 Type</t>
  </si>
  <si>
    <t>Bit0-3 for DI21-24
0: Status Monitor; 1: Pulse Counter</t>
    <phoneticPr fontId="4" type="noConversion"/>
  </si>
  <si>
    <t>DO1 Output</t>
  </si>
  <si>
    <t>DO2 Output</t>
  </si>
  <si>
    <t>IO module 3, address  1</t>
  </si>
  <si>
    <t>As IO module 3, address  0</t>
  </si>
  <si>
    <t>DI25~DI28 Type</t>
  </si>
  <si>
    <t>Bit0-3 for DI25-28
0: Status Monitor; 1: Pulse Counter</t>
    <phoneticPr fontId="4" type="noConversion"/>
  </si>
  <si>
    <t>AO settings</t>
    <phoneticPr fontId="4" type="noConversion"/>
  </si>
  <si>
    <t>AO1 Parameter Selection</t>
  </si>
  <si>
    <t>0-29.
0: Frequency; 1: Va; 2: Vb; 3: Vc; 4: VLN Avg; 5: Vab; 6: Vbc; 7: Vca; 8: VLL Avg; 9: Ia; 10: Ib; 11: Ic; 12: Iavg; 13: In; 14: Pa; 15: Pa; 16: Pc; 17: P; 18: Qa; 19: Qb; 20: Qc; 21: Q; 22: Sa; 23: Sb; 24: Sc; 25: S; 26: Pfa; 27: PFb; 28: PFc; 29: PF</t>
    <phoneticPr fontId="4" type="noConversion"/>
  </si>
  <si>
    <t>AO2 Parameter Selection</t>
  </si>
  <si>
    <t>AO3 Parameter Selection</t>
  </si>
  <si>
    <t>AO4 Parameter Selection</t>
  </si>
  <si>
    <t>Wired temperature module parameter setup</t>
  </si>
  <si>
    <t>AO1 conversion curve number of setpoints</t>
    <phoneticPr fontId="4" type="noConversion"/>
  </si>
  <si>
    <t>1~3</t>
    <phoneticPr fontId="4" type="noConversion"/>
  </si>
  <si>
    <t>AO1 setpoint 1 parameter value</t>
    <phoneticPr fontId="4" type="noConversion"/>
  </si>
  <si>
    <t>AO1 setpoint 2 parameter value</t>
  </si>
  <si>
    <t>AO1 setpoint 3 parameter value</t>
  </si>
  <si>
    <t xml:space="preserve">Int </t>
  </si>
  <si>
    <t>AO1 setpoint 4 parameter value</t>
  </si>
  <si>
    <t>AO1 setpoint 1 AO value</t>
    <phoneticPr fontId="4" type="noConversion"/>
  </si>
  <si>
    <t>For AO type 0-24mA/0-6V: 0~4095
For AO type 4~24mA/1-6V: 819~4915</t>
    <phoneticPr fontId="4" type="noConversion"/>
  </si>
  <si>
    <t>AO1 setpoint 2 AO value</t>
  </si>
  <si>
    <t>AO1 setpoint 3 AO value</t>
  </si>
  <si>
    <t>AO1 setpoint 4 AO value</t>
  </si>
  <si>
    <t>AO2 setpoints settings</t>
    <phoneticPr fontId="4" type="noConversion"/>
  </si>
  <si>
    <t>AO3 setpoints settings</t>
  </si>
  <si>
    <t>AO4 setpoints settings</t>
  </si>
  <si>
    <t>Ia channel phase selection</t>
  </si>
  <si>
    <t>0: not in use
1: phase A current
2: phase B current
3: phase C current
4: phase N current</t>
    <phoneticPr fontId="4" type="noConversion"/>
  </si>
  <si>
    <t>Ib channel phase selection</t>
  </si>
  <si>
    <t>Ic channel phase selection</t>
  </si>
  <si>
    <t>In channel phase selection</t>
  </si>
  <si>
    <t>Update rate</t>
  </si>
  <si>
    <t>1-Window size</t>
    <phoneticPr fontId="4" type="noConversion"/>
  </si>
  <si>
    <t>Window Size</t>
  </si>
  <si>
    <t>1-50 cycles</t>
    <phoneticPr fontId="4" type="noConversion"/>
  </si>
  <si>
    <t>Independent Input Channel settings</t>
    <phoneticPr fontId="4" type="noConversion"/>
  </si>
  <si>
    <t>Enable Independent Input Channel</t>
    <phoneticPr fontId="4" type="noConversion"/>
  </si>
  <si>
    <t>0: disable; 1: enable</t>
  </si>
  <si>
    <t>I1 CT1</t>
    <phoneticPr fontId="4" type="noConversion"/>
  </si>
  <si>
    <t>1 - 50000</t>
  </si>
  <si>
    <t>I2 CT1</t>
    <phoneticPr fontId="4" type="noConversion"/>
  </si>
  <si>
    <t>I3 CT1</t>
    <phoneticPr fontId="4" type="noConversion"/>
  </si>
  <si>
    <t>Voltage selection for I1 power calculation</t>
    <phoneticPr fontId="4" type="noConversion"/>
  </si>
  <si>
    <t>0: disable
1: Va
2: Vb
3: Vc
4: Vab
5: Vbc
6: Vca</t>
    <phoneticPr fontId="4" type="noConversion"/>
  </si>
  <si>
    <t>Voltage selection for I2 power calculation</t>
  </si>
  <si>
    <t>Voltage selection for I3 power calculation</t>
  </si>
  <si>
    <t>Voltage selection for I4 power calculation</t>
  </si>
  <si>
    <t>Summation 1 channel config</t>
  </si>
  <si>
    <t>Bit0-3 for current input channel 1-4 (I1-I4)</t>
    <phoneticPr fontId="4" type="noConversion"/>
  </si>
  <si>
    <t>Summation 2 channel config</t>
  </si>
  <si>
    <t>In angle calibration flag
Only allow write with 0x6A</t>
    <phoneticPr fontId="4" type="noConversion"/>
  </si>
  <si>
    <t>0: In angle not calibrated
Bit0-3: In angle calibrated for 50Hz, 60Hz, 50Hz RCT, 60Hz RCT</t>
    <phoneticPr fontId="4" type="noConversion"/>
  </si>
  <si>
    <t>Channel1 BACnet MS/TP settings</t>
    <phoneticPr fontId="4" type="noConversion"/>
  </si>
  <si>
    <t>0x2100</t>
  </si>
  <si>
    <t>BACnet  MS/TP Meter address</t>
    <phoneticPr fontId="4" type="noConversion"/>
  </si>
  <si>
    <t>0 - 127</t>
  </si>
  <si>
    <t>0x2101</t>
  </si>
  <si>
    <t>BACnet  MS/TP Baud rate</t>
    <phoneticPr fontId="4" type="noConversion"/>
  </si>
  <si>
    <t>2400 - 115200</t>
  </si>
  <si>
    <t>0x2102</t>
  </si>
  <si>
    <t>BACnet  MS/TP Maximum number of message frames</t>
    <phoneticPr fontId="4" type="noConversion"/>
  </si>
  <si>
    <t>1 - 255</t>
  </si>
  <si>
    <t>0x2103</t>
  </si>
  <si>
    <t>BACnet  MS/TP ID high byte</t>
    <phoneticPr fontId="4" type="noConversion"/>
  </si>
  <si>
    <t>0 - 63(0x3F)</t>
  </si>
  <si>
    <t>0x2104</t>
    <phoneticPr fontId="4" type="noConversion"/>
  </si>
  <si>
    <t>BACnet  MS/TP ID low byte</t>
    <phoneticPr fontId="4" type="noConversion"/>
  </si>
  <si>
    <t>1 - 65535(0xFFFF)</t>
  </si>
  <si>
    <t>0x2105</t>
  </si>
  <si>
    <t>BACnet MS/TP Database Revision</t>
  </si>
  <si>
    <t>0 - 65535(0xFFFF)</t>
  </si>
  <si>
    <t>Custom read settings area</t>
  </si>
  <si>
    <t>The number of bytes have beeen set</t>
    <phoneticPr fontId="4" type="noConversion"/>
  </si>
  <si>
    <t>Parameter 1 Selection</t>
    <phoneticPr fontId="4" type="noConversion"/>
  </si>
  <si>
    <t>Parameter 2 Selection</t>
  </si>
  <si>
    <t>Parameter 3 Selection</t>
  </si>
  <si>
    <t>Parameter 4 Selection</t>
  </si>
  <si>
    <t>Parameter 5 Selection</t>
  </si>
  <si>
    <t>Parameter 6 Selection</t>
  </si>
  <si>
    <t>Parameter 7 Selection</t>
  </si>
  <si>
    <t>Parameter 8 Selection</t>
  </si>
  <si>
    <t>Parameter 9 Selection</t>
  </si>
  <si>
    <t>Parameter 10 Selection</t>
  </si>
  <si>
    <t>Parameter 11 Selection</t>
  </si>
  <si>
    <t>Parameter 12 Selection</t>
  </si>
  <si>
    <t>Parameter 13 Selection</t>
  </si>
  <si>
    <t>Parameter 14 Selection</t>
  </si>
  <si>
    <t>Parameter 15 Selection</t>
  </si>
  <si>
    <t>Parameter 16 Selection</t>
  </si>
  <si>
    <t>Parameter 17 Selection</t>
  </si>
  <si>
    <t>Parameter 18 Selection</t>
  </si>
  <si>
    <t>Parameter 19 Selection</t>
  </si>
  <si>
    <t>Parameter 20 Selection</t>
  </si>
  <si>
    <t>Parameter 21 Selection</t>
  </si>
  <si>
    <t>Parameter 22 Selection</t>
  </si>
  <si>
    <t>Parameter 23 Selection</t>
  </si>
  <si>
    <t>Parameter 24 Selection</t>
  </si>
  <si>
    <t>Parameter 25 Selection</t>
  </si>
  <si>
    <t>Parameter 26 Selection</t>
  </si>
  <si>
    <t>Parameter 27 Selection</t>
  </si>
  <si>
    <t>Parameter 28 Selection</t>
  </si>
  <si>
    <t>Parameter 29 Selection</t>
  </si>
  <si>
    <t>Parameter 30 Selection</t>
  </si>
  <si>
    <t>Parameter 31 Selection</t>
  </si>
  <si>
    <t>Parameter 32 Selection</t>
  </si>
  <si>
    <t>Parameter 1 reading</t>
    <phoneticPr fontId="4" type="noConversion"/>
  </si>
  <si>
    <t>Parameter 2 reading</t>
  </si>
  <si>
    <t>Parameter 3 reading</t>
  </si>
  <si>
    <t>Parameter 4 reading</t>
  </si>
  <si>
    <t>Parameter 5 reading</t>
  </si>
  <si>
    <t>Parameter 6 reading</t>
  </si>
  <si>
    <t>Parameter 7 reading</t>
  </si>
  <si>
    <t>Parameter 8 reading</t>
  </si>
  <si>
    <t>Parameter 9 reading</t>
  </si>
  <si>
    <t>Parameter 10 reading</t>
  </si>
  <si>
    <t>Parameter 11 reading</t>
  </si>
  <si>
    <t>Parameter 12 reading</t>
  </si>
  <si>
    <t>Parameter 13 reading</t>
  </si>
  <si>
    <t>Parameter 14 reading</t>
  </si>
  <si>
    <t>Parameter 15 reading</t>
  </si>
  <si>
    <t>Parameter 16 reading</t>
  </si>
  <si>
    <t>Parameter 17 reading</t>
  </si>
  <si>
    <t>Parameter 18 reading</t>
  </si>
  <si>
    <t>Parameter 19 reading</t>
  </si>
  <si>
    <t>Parameter 20 reading</t>
  </si>
  <si>
    <t>Parameter 21 reading</t>
  </si>
  <si>
    <t>Parameter 22 reading</t>
  </si>
  <si>
    <t>Parameter 23 reading</t>
  </si>
  <si>
    <t>Parameter 24 reading</t>
  </si>
  <si>
    <t>Parameter 25 reading</t>
  </si>
  <si>
    <t>Parameter 26 reading</t>
  </si>
  <si>
    <t>Parameter 27 reading</t>
  </si>
  <si>
    <t>Parameter 28 reading</t>
  </si>
  <si>
    <t>Parameter 29 reading</t>
  </si>
  <si>
    <t>Parameter 30 reading</t>
  </si>
  <si>
    <t>Parameter 31 reading</t>
  </si>
  <si>
    <t>Parameter 32 reading</t>
  </si>
  <si>
    <t>AXM-NET/WEB/WEB2 settings</t>
    <phoneticPr fontId="4" type="noConversion"/>
  </si>
  <si>
    <t>Connection status; write by NET/WEB/WEB2 module</t>
    <phoneticPr fontId="4" type="noConversion"/>
  </si>
  <si>
    <t>state sigh</t>
    <phoneticPr fontId="4" type="noConversion"/>
  </si>
  <si>
    <t>enable DHCP</t>
    <phoneticPr fontId="4" type="noConversion"/>
  </si>
  <si>
    <t>0: Manual
1: Enable DHCP</t>
    <phoneticPr fontId="4" type="noConversion"/>
  </si>
  <si>
    <t>0: II
1: PXM3000</t>
  </si>
  <si>
    <t>IP address Byte 1 (high) and Byte 2 (low)</t>
    <phoneticPr fontId="4" type="noConversion"/>
  </si>
  <si>
    <t>IP address Byte 3 (high) and Byte 4 (low)</t>
    <phoneticPr fontId="4" type="noConversion"/>
  </si>
  <si>
    <t>Subnet mask Byte 1 (high) and Byte 2 (low)</t>
    <phoneticPr fontId="4" type="noConversion"/>
  </si>
  <si>
    <t>Subnet mask Byte 3 (high) and Byte 4 (low)</t>
    <phoneticPr fontId="4" type="noConversion"/>
  </si>
  <si>
    <t>Gateway IP address Byte 1 (high) and Byte 2 (low)</t>
    <phoneticPr fontId="4" type="noConversion"/>
  </si>
  <si>
    <t>Gateway IP address Byte 3 (high) and Byte 4 (low)</t>
    <phoneticPr fontId="4" type="noConversion"/>
  </si>
  <si>
    <t>DNS Server 1 IP address Byte 1 (high) and Byte 2 (low)</t>
    <phoneticPr fontId="4" type="noConversion"/>
  </si>
  <si>
    <t>DNS Server 1 IP address Byte 3 (high) and Byte 4 (low)</t>
    <phoneticPr fontId="4" type="noConversion"/>
  </si>
  <si>
    <t>DNS Server 2 IP address Byte 1 (high) and Byte 2 (low)</t>
    <phoneticPr fontId="4" type="noConversion"/>
  </si>
  <si>
    <t>DNS Server 2 IP address Byte 3 (high) and Byte 4 (low)</t>
    <phoneticPr fontId="4" type="noConversion"/>
  </si>
  <si>
    <t>Modbus Tcp port</t>
    <phoneticPr fontId="4" type="noConversion"/>
  </si>
  <si>
    <t>Https port</t>
  </si>
  <si>
    <t>device description</t>
  </si>
  <si>
    <t>DNP3 Virtual Relay</t>
    <phoneticPr fontId="4" type="noConversion"/>
  </si>
  <si>
    <t>DNP3 Virtual Input</t>
    <phoneticPr fontId="4" type="noConversion"/>
  </si>
  <si>
    <t>WIFI module WIFI IP address</t>
    <phoneticPr fontId="4" type="noConversion"/>
  </si>
  <si>
    <t>AXM-WEB2  Ethernet2 IP address</t>
    <phoneticPr fontId="4" type="noConversion"/>
  </si>
  <si>
    <t xml:space="preserve">Reset network module </t>
    <phoneticPr fontId="4" type="noConversion"/>
  </si>
  <si>
    <t>AXM_BACnet</t>
    <phoneticPr fontId="4" type="noConversion"/>
  </si>
  <si>
    <r>
      <t>BACnet</t>
    </r>
    <r>
      <rPr>
        <sz val="10"/>
        <color theme="1"/>
        <rFont val="Arial"/>
        <family val="3"/>
      </rPr>
      <t>/IP Port</t>
    </r>
    <phoneticPr fontId="4" type="noConversion"/>
  </si>
  <si>
    <r>
      <t>MS/TP node address</t>
    </r>
    <r>
      <rPr>
        <sz val="10"/>
        <color theme="1"/>
        <rFont val="华文细黑"/>
        <family val="3"/>
        <charset val="134"/>
      </rPr>
      <t>（</t>
    </r>
    <r>
      <rPr>
        <sz val="10"/>
        <color theme="1"/>
        <rFont val="Arial"/>
        <family val="2"/>
      </rPr>
      <t>MS/TP</t>
    </r>
    <r>
      <rPr>
        <sz val="10"/>
        <color theme="1"/>
        <rFont val="华文细黑"/>
        <family val="3"/>
        <charset val="134"/>
      </rPr>
      <t>）</t>
    </r>
  </si>
  <si>
    <t xml:space="preserve">MAC address  </t>
  </si>
  <si>
    <r>
      <t xml:space="preserve">BACnet Baud rate </t>
    </r>
    <r>
      <rPr>
        <sz val="10"/>
        <color theme="1"/>
        <rFont val="华文细黑"/>
        <family val="3"/>
        <charset val="134"/>
      </rPr>
      <t>（</t>
    </r>
    <r>
      <rPr>
        <sz val="10"/>
        <color theme="1"/>
        <rFont val="Arial"/>
        <family val="2"/>
      </rPr>
      <t>MS/TP</t>
    </r>
    <r>
      <rPr>
        <sz val="10"/>
        <color theme="1"/>
        <rFont val="华文细黑"/>
        <family val="3"/>
        <charset val="134"/>
      </rPr>
      <t>）</t>
    </r>
  </si>
  <si>
    <r>
      <t>Max info frames</t>
    </r>
    <r>
      <rPr>
        <sz val="10"/>
        <color theme="1"/>
        <rFont val="华文细黑"/>
        <family val="3"/>
        <charset val="134"/>
      </rPr>
      <t>（</t>
    </r>
    <r>
      <rPr>
        <sz val="10"/>
        <color theme="1"/>
        <rFont val="Arial"/>
        <family val="2"/>
      </rPr>
      <t>MS/TP</t>
    </r>
    <r>
      <rPr>
        <sz val="10"/>
        <color theme="1"/>
        <rFont val="华文细黑"/>
        <family val="3"/>
        <charset val="134"/>
      </rPr>
      <t>）</t>
    </r>
  </si>
  <si>
    <t>BACnet module reset</t>
  </si>
  <si>
    <r>
      <t xml:space="preserve">BACnet endian selection
</t>
    </r>
    <r>
      <rPr>
        <sz val="10"/>
        <color theme="1"/>
        <rFont val="华文细黑"/>
        <family val="3"/>
        <charset val="134"/>
      </rPr>
      <t>（</t>
    </r>
    <r>
      <rPr>
        <sz val="10"/>
        <color theme="1"/>
        <rFont val="Arial"/>
        <family val="2"/>
      </rPr>
      <t>Keep temporaryly address)</t>
    </r>
  </si>
  <si>
    <t>BACnet MAC address  first byte
BACnet MAC  address  second byte</t>
  </si>
  <si>
    <t>BACnet MAC address  third byte
BACnet MAC  address  fourth byte</t>
  </si>
  <si>
    <t>BACnet MAC address  5th byte
BACnet MAC  address  6th byte</t>
  </si>
  <si>
    <t>Reserve</t>
  </si>
  <si>
    <t>Restore MESH module command</t>
  </si>
  <si>
    <t>0: no restore; 0x0A: restore</t>
  </si>
  <si>
    <t>Restore MESH factory default command</t>
  </si>
  <si>
    <r>
      <t xml:space="preserve">MESH module </t>
    </r>
    <r>
      <rPr>
        <sz val="10"/>
        <color theme="1"/>
        <rFont val="Arial"/>
        <family val="3"/>
      </rPr>
      <t>status</t>
    </r>
    <phoneticPr fontId="4" type="noConversion"/>
  </si>
  <si>
    <t>0: abnormal or not continuous;
0xaa: normal and continuous</t>
  </si>
  <si>
    <t xml:space="preserve">MESH module MAC address  </t>
  </si>
  <si>
    <r>
      <t>16 ASCII codes</t>
    </r>
    <r>
      <rPr>
        <sz val="10"/>
        <color theme="1"/>
        <rFont val="华文细黑"/>
        <family val="3"/>
        <charset val="134"/>
      </rPr>
      <t>（</t>
    </r>
    <r>
      <rPr>
        <sz val="10"/>
        <color theme="1"/>
        <rFont val="Arial"/>
        <family val="2"/>
      </rPr>
      <t>from high byte to low byte</t>
    </r>
    <r>
      <rPr>
        <sz val="10"/>
        <color theme="1"/>
        <rFont val="华文细黑"/>
        <family val="3"/>
        <charset val="134"/>
      </rPr>
      <t>）</t>
    </r>
  </si>
  <si>
    <t>MESH module ID</t>
  </si>
  <si>
    <r>
      <t>20 ASCII codes</t>
    </r>
    <r>
      <rPr>
        <sz val="10"/>
        <color theme="1"/>
        <rFont val="华文细黑"/>
        <family val="3"/>
        <charset val="134"/>
      </rPr>
      <t>（</t>
    </r>
    <r>
      <rPr>
        <sz val="10"/>
        <color theme="1"/>
        <rFont val="Arial"/>
        <family val="2"/>
      </rPr>
      <t>from high byte to low byte</t>
    </r>
    <r>
      <rPr>
        <sz val="10"/>
        <color theme="1"/>
        <rFont val="华文细黑"/>
        <family val="3"/>
        <charset val="134"/>
      </rPr>
      <t>）</t>
    </r>
  </si>
  <si>
    <t>Eaton customized area</t>
  </si>
  <si>
    <t>Eaton Product ID</t>
    <phoneticPr fontId="4" type="noConversion"/>
  </si>
  <si>
    <t>uint32</t>
    <phoneticPr fontId="4" type="noConversion"/>
  </si>
  <si>
    <t>0x200E</t>
  </si>
  <si>
    <t>Eaton Status</t>
    <phoneticPr fontId="4" type="noConversion"/>
  </si>
  <si>
    <t>uint16</t>
    <phoneticPr fontId="4" type="noConversion"/>
  </si>
  <si>
    <t>Eaton Alarm Status</t>
    <phoneticPr fontId="4" type="noConversion"/>
  </si>
  <si>
    <t>I a RMS</t>
    <phoneticPr fontId="4" type="noConversion"/>
  </si>
  <si>
    <t>float32</t>
    <phoneticPr fontId="4" type="noConversion"/>
  </si>
  <si>
    <t>I b RMS</t>
    <phoneticPr fontId="4" type="noConversion"/>
  </si>
  <si>
    <t>I c RMS</t>
    <phoneticPr fontId="4" type="noConversion"/>
  </si>
  <si>
    <t>I n RMS</t>
    <phoneticPr fontId="4" type="noConversion"/>
  </si>
  <si>
    <t>I average RMS</t>
    <phoneticPr fontId="4" type="noConversion"/>
  </si>
  <si>
    <t>Uab RMS</t>
    <phoneticPr fontId="4" type="noConversion"/>
  </si>
  <si>
    <t>Ubc RMS</t>
    <phoneticPr fontId="4" type="noConversion"/>
  </si>
  <si>
    <t>Uca RMS</t>
    <phoneticPr fontId="4" type="noConversion"/>
  </si>
  <si>
    <t>U LL average RMS</t>
    <phoneticPr fontId="4" type="noConversion"/>
  </si>
  <si>
    <t>Ua RMS</t>
    <phoneticPr fontId="4" type="noConversion"/>
  </si>
  <si>
    <t>Ub RMS</t>
    <phoneticPr fontId="4" type="noConversion"/>
  </si>
  <si>
    <t>Uc RMS</t>
    <phoneticPr fontId="4" type="noConversion"/>
  </si>
  <si>
    <t>U LN average RMS</t>
    <phoneticPr fontId="4" type="noConversion"/>
  </si>
  <si>
    <t xml:space="preserve">P </t>
    <phoneticPr fontId="4" type="noConversion"/>
  </si>
  <si>
    <t>S</t>
    <phoneticPr fontId="4" type="noConversion"/>
  </si>
  <si>
    <t>PF</t>
    <phoneticPr fontId="4" type="noConversion"/>
  </si>
  <si>
    <t>Freq</t>
    <phoneticPr fontId="4" type="noConversion"/>
  </si>
  <si>
    <t>Pa</t>
    <phoneticPr fontId="4" type="noConversion"/>
  </si>
  <si>
    <t>Pb</t>
    <phoneticPr fontId="4" type="noConversion"/>
  </si>
  <si>
    <t>Pc</t>
    <phoneticPr fontId="4" type="noConversion"/>
  </si>
  <si>
    <t>Sa</t>
    <phoneticPr fontId="4" type="noConversion"/>
  </si>
  <si>
    <t>Sb</t>
    <phoneticPr fontId="4" type="noConversion"/>
  </si>
  <si>
    <t>Sc</t>
    <phoneticPr fontId="4" type="noConversion"/>
  </si>
  <si>
    <t>PFa</t>
    <phoneticPr fontId="4" type="noConversion"/>
  </si>
  <si>
    <t>PFb</t>
    <phoneticPr fontId="4" type="noConversion"/>
  </si>
  <si>
    <t>PFc</t>
    <phoneticPr fontId="4" type="noConversion"/>
  </si>
  <si>
    <t>Primary/Secondary</t>
    <phoneticPr fontId="4" type="noConversion"/>
  </si>
  <si>
    <t>Primary : 2
Secondary : 0</t>
  </si>
  <si>
    <t>Ep IMP</t>
    <phoneticPr fontId="4" type="noConversion"/>
  </si>
  <si>
    <t>EP EXP</t>
    <phoneticPr fontId="4" type="noConversion"/>
  </si>
  <si>
    <t>EP Total</t>
    <phoneticPr fontId="4" type="noConversion"/>
  </si>
  <si>
    <r>
      <t>Real time basic parameters</t>
    </r>
    <r>
      <rPr>
        <b/>
        <sz val="10"/>
        <rFont val="华文细黑"/>
        <family val="3"/>
        <charset val="134"/>
      </rPr>
      <t>（</t>
    </r>
    <r>
      <rPr>
        <b/>
        <sz val="10"/>
        <rFont val="Arial"/>
        <family val="2"/>
      </rPr>
      <t>100ms)</t>
    </r>
  </si>
  <si>
    <t>Freq_rms</t>
  </si>
  <si>
    <t>Ua_rms</t>
  </si>
  <si>
    <t>Ub_rms</t>
  </si>
  <si>
    <t>Uc_rms</t>
  </si>
  <si>
    <t>Uvag_rms</t>
  </si>
  <si>
    <t>Uab_rms</t>
  </si>
  <si>
    <t>Ubc_rms</t>
  </si>
  <si>
    <t>Uca_rms</t>
  </si>
  <si>
    <t>Ulag_rms</t>
  </si>
  <si>
    <t>Ia_rms</t>
  </si>
  <si>
    <t>Ib_rms</t>
  </si>
  <si>
    <t>Ic_rms</t>
  </si>
  <si>
    <t>Ivag_rms</t>
  </si>
  <si>
    <t>In_rms</t>
  </si>
  <si>
    <t>Pa_rms</t>
  </si>
  <si>
    <t>Pb_rms</t>
  </si>
  <si>
    <t>Pc_rms</t>
  </si>
  <si>
    <t>P_rms</t>
  </si>
  <si>
    <t>Qa_rms</t>
  </si>
  <si>
    <t>Qb_rms</t>
  </si>
  <si>
    <t>Qc_rms</t>
  </si>
  <si>
    <t>Q_rms</t>
  </si>
  <si>
    <t>Sa_rms</t>
  </si>
  <si>
    <t>Sb_rms</t>
  </si>
  <si>
    <t>Sc_rms</t>
  </si>
  <si>
    <t>S_rms</t>
  </si>
  <si>
    <t>PFa_rms</t>
  </si>
  <si>
    <t>PFb_rms</t>
  </si>
  <si>
    <t>PFc_rms</t>
  </si>
  <si>
    <t>PF_rms</t>
  </si>
  <si>
    <r>
      <t>Real time basic parameters</t>
    </r>
    <r>
      <rPr>
        <b/>
        <sz val="10"/>
        <rFont val="华文细黑"/>
        <family val="3"/>
        <charset val="134"/>
      </rPr>
      <t>（</t>
    </r>
    <r>
      <rPr>
        <b/>
        <sz val="10"/>
        <rFont val="Arial"/>
        <family val="2"/>
      </rPr>
      <t>Integer</t>
    </r>
    <r>
      <rPr>
        <b/>
        <sz val="10"/>
        <rFont val="华文细黑"/>
        <family val="3"/>
        <charset val="134"/>
      </rPr>
      <t>）</t>
    </r>
  </si>
  <si>
    <t>Unbl_u2</t>
  </si>
  <si>
    <t>Unbl_i2</t>
  </si>
  <si>
    <t>Rlc_val</t>
  </si>
  <si>
    <t>P_dema</t>
  </si>
  <si>
    <t>Q_dema</t>
  </si>
  <si>
    <t>S_dema</t>
  </si>
  <si>
    <t>Ia demand</t>
    <phoneticPr fontId="4" type="noConversion"/>
  </si>
  <si>
    <t>Ib demand</t>
    <phoneticPr fontId="4" type="noConversion"/>
  </si>
  <si>
    <t>Ic demand</t>
    <phoneticPr fontId="4" type="noConversion"/>
  </si>
  <si>
    <r>
      <t>Basic parameters</t>
    </r>
    <r>
      <rPr>
        <b/>
        <sz val="10"/>
        <rFont val="华文细黑"/>
        <family val="3"/>
        <charset val="134"/>
      </rPr>
      <t>（</t>
    </r>
    <r>
      <rPr>
        <b/>
        <sz val="10"/>
        <rFont val="Arial"/>
        <family val="2"/>
      </rPr>
      <t>20ms</t>
    </r>
    <r>
      <rPr>
        <b/>
        <sz val="10"/>
        <rFont val="华文细黑"/>
        <family val="3"/>
        <charset val="134"/>
      </rPr>
      <t>）</t>
    </r>
  </si>
  <si>
    <r>
      <t>Acuvim II V4</t>
    </r>
    <r>
      <rPr>
        <b/>
        <sz val="10"/>
        <rFont val="Arial"/>
        <family val="3"/>
      </rPr>
      <t>/</t>
    </r>
    <r>
      <rPr>
        <b/>
        <sz val="10"/>
        <rFont val="Arial"/>
        <family val="2"/>
      </rPr>
      <t>Eaton/Acuvim-L V4</t>
    </r>
    <phoneticPr fontId="4" type="noConversion"/>
  </si>
  <si>
    <t>FAST_RMS_UA</t>
  </si>
  <si>
    <t>FAST_RMS_UB</t>
    <phoneticPr fontId="4" type="noConversion"/>
  </si>
  <si>
    <t>FAST_RMS_UC</t>
    <phoneticPr fontId="4" type="noConversion"/>
  </si>
  <si>
    <t>FAST_RMS_UAB</t>
  </si>
  <si>
    <t>FAST_RMS_UBC</t>
    <phoneticPr fontId="4" type="noConversion"/>
  </si>
  <si>
    <t>FAST_RMS_UCA</t>
    <phoneticPr fontId="4" type="noConversion"/>
  </si>
  <si>
    <t>FAST_RMS_IA</t>
  </si>
  <si>
    <t>FAST_RMS_IB</t>
    <phoneticPr fontId="4" type="noConversion"/>
  </si>
  <si>
    <t>FAST_RMS_IC</t>
    <phoneticPr fontId="4" type="noConversion"/>
  </si>
  <si>
    <t>FAST_RMS_UAVG</t>
  </si>
  <si>
    <t>FAST_RMS_VLLAVG</t>
    <phoneticPr fontId="4" type="noConversion"/>
  </si>
  <si>
    <t>FAST_RMS_IAVG</t>
  </si>
  <si>
    <t>FAST_RMS_PSUM</t>
  </si>
  <si>
    <t>FAST_RMS_QSUM</t>
  </si>
  <si>
    <t>FAST_RMS_FREQ</t>
  </si>
  <si>
    <t>Acuvim II V2</t>
    <phoneticPr fontId="4" type="noConversion"/>
  </si>
  <si>
    <t>FAST_RMS_FREQ</t>
    <phoneticPr fontId="4" type="noConversion"/>
  </si>
  <si>
    <r>
      <t>Real time basic parameters</t>
    </r>
    <r>
      <rPr>
        <b/>
        <sz val="10"/>
        <rFont val="华文细黑"/>
        <family val="3"/>
        <charset val="134"/>
      </rPr>
      <t>（</t>
    </r>
    <r>
      <rPr>
        <b/>
        <sz val="10"/>
        <rFont val="Arial"/>
        <family val="2"/>
      </rPr>
      <t>1S</t>
    </r>
    <r>
      <rPr>
        <b/>
        <sz val="10"/>
        <rFont val="华文细黑"/>
        <family val="3"/>
        <charset val="134"/>
      </rPr>
      <t>）</t>
    </r>
  </si>
  <si>
    <r>
      <t xml:space="preserve">Energy </t>
    </r>
    <r>
      <rPr>
        <b/>
        <sz val="10"/>
        <rFont val="华文细黑"/>
        <family val="3"/>
        <charset val="134"/>
      </rPr>
      <t>（</t>
    </r>
    <r>
      <rPr>
        <b/>
        <sz val="10"/>
        <rFont val="Arial"/>
        <family val="2"/>
      </rPr>
      <t>1S</t>
    </r>
    <r>
      <rPr>
        <b/>
        <sz val="10"/>
        <rFont val="华文细黑"/>
        <family val="3"/>
        <charset val="134"/>
      </rPr>
      <t>）</t>
    </r>
  </si>
  <si>
    <t>Ep_imp Import active energy</t>
    <phoneticPr fontId="4" type="noConversion"/>
  </si>
  <si>
    <t>uint32</t>
  </si>
  <si>
    <t>Ep_exp Expot active energy</t>
    <phoneticPr fontId="4" type="noConversion"/>
  </si>
  <si>
    <t>Eq_imp Import reactive energy</t>
    <phoneticPr fontId="4" type="noConversion"/>
  </si>
  <si>
    <t>Eq_exp Expot reactive energy</t>
    <phoneticPr fontId="4" type="noConversion"/>
  </si>
  <si>
    <t>Ep_total Total active energy</t>
    <phoneticPr fontId="4" type="noConversion"/>
  </si>
  <si>
    <t>Ep_net Net active energy</t>
    <phoneticPr fontId="4" type="noConversion"/>
  </si>
  <si>
    <t>int32</t>
  </si>
  <si>
    <t>Eq_total Total reactive energy</t>
    <phoneticPr fontId="4" type="noConversion"/>
  </si>
  <si>
    <t>Eq_net Net reactive energy</t>
    <phoneticPr fontId="4" type="noConversion"/>
  </si>
  <si>
    <t>Es Apparent energy</t>
    <phoneticPr fontId="4" type="noConversion"/>
  </si>
  <si>
    <r>
      <t>Harmonics - THD</t>
    </r>
    <r>
      <rPr>
        <b/>
        <sz val="10"/>
        <rFont val="华文细黑"/>
        <family val="3"/>
        <charset val="134"/>
      </rPr>
      <t>（</t>
    </r>
    <r>
      <rPr>
        <b/>
        <sz val="10"/>
        <rFont val="Arial"/>
        <family val="2"/>
      </rPr>
      <t>3S</t>
    </r>
    <r>
      <rPr>
        <b/>
        <sz val="10"/>
        <rFont val="华文细黑"/>
        <family val="3"/>
        <charset val="134"/>
      </rPr>
      <t>）</t>
    </r>
    <phoneticPr fontId="4" type="noConversion"/>
  </si>
  <si>
    <t>THD_V1(V12)</t>
  </si>
  <si>
    <t xml:space="preserve">R </t>
  </si>
  <si>
    <t>two decimal</t>
  </si>
  <si>
    <t>THD_V2(V31)</t>
  </si>
  <si>
    <t>THD_V3(V23)</t>
  </si>
  <si>
    <t>THD_avg</t>
  </si>
  <si>
    <t>THD_I1</t>
  </si>
  <si>
    <t>THD_I2</t>
  </si>
  <si>
    <t>THD_I3</t>
  </si>
  <si>
    <t>THD_Iavg</t>
  </si>
  <si>
    <t>V1(V12) 2-31st harmonic</t>
  </si>
  <si>
    <t>Odd THD_V1(V12)</t>
  </si>
  <si>
    <t>Even THD_V1(V12)</t>
  </si>
  <si>
    <t>V1(V12) crest factor</t>
  </si>
  <si>
    <t>V1(V12) Telephone Harmonic Form Factor</t>
  </si>
  <si>
    <t>V2(V31) 2-31st harmonic</t>
  </si>
  <si>
    <t>Odd THD_V2(V31)</t>
  </si>
  <si>
    <t>Even THD_V2(V31)</t>
  </si>
  <si>
    <t>V2(V31) crest factor</t>
  </si>
  <si>
    <t>V2(V31) Telephone Harmonic Form Factor</t>
  </si>
  <si>
    <t>V3(V23) 2-31st harmonic</t>
  </si>
  <si>
    <t>Odd THD_V3(V23)</t>
  </si>
  <si>
    <t>Even THD_V3(V23)</t>
  </si>
  <si>
    <t>V3(V23) crest factor</t>
  </si>
  <si>
    <t>V3(V23) Telephone Harmonic Form Factor</t>
  </si>
  <si>
    <t>I1 2nd-31st harmonic</t>
  </si>
  <si>
    <t>Odd THD_I1</t>
  </si>
  <si>
    <t>Even THD_I1</t>
  </si>
  <si>
    <t>I1  K factor</t>
  </si>
  <si>
    <t>I2 2nd-31st harmonic</t>
  </si>
  <si>
    <t>Odd THD_I2</t>
  </si>
  <si>
    <t>Even THD_I2</t>
  </si>
  <si>
    <t>I2  K factor</t>
  </si>
  <si>
    <t>I3 2nd-31st harmonic</t>
  </si>
  <si>
    <t>Odd THD_I3</t>
  </si>
  <si>
    <t>Even THD_I3</t>
  </si>
  <si>
    <t>I3  K factor</t>
  </si>
  <si>
    <t>Real part of Voltage Positive Sequence</t>
  </si>
  <si>
    <t>Imag part of Voltage Postive Sequence</t>
  </si>
  <si>
    <t>Real part of Voltage Negative Sequence</t>
  </si>
  <si>
    <t>Imag part of Voltage Negative Sequence</t>
  </si>
  <si>
    <t>Real part of Voltage Zero Sequence</t>
  </si>
  <si>
    <t>Imag part of Voltage Zero Sequence</t>
  </si>
  <si>
    <t>Real part of Current Positive Sequence</t>
  </si>
  <si>
    <t>Imag part of Current Postive Sequence</t>
  </si>
  <si>
    <t>Real part of Current Negative Sequence</t>
  </si>
  <si>
    <t>Imag part of Current Negative Sequence</t>
  </si>
  <si>
    <t>Real part of Current Zero Sequence</t>
  </si>
  <si>
    <t>Imag part of Current Zero Sequence</t>
  </si>
  <si>
    <t>Phase Angle of V2 to V1</t>
  </si>
  <si>
    <t>Phase Angle of V3 to V1</t>
  </si>
  <si>
    <t>Phase Angle of I1 to V1</t>
  </si>
  <si>
    <t>Phase Angle of I2 to V1</t>
  </si>
  <si>
    <t>Phase Angle of I3 to V1</t>
  </si>
  <si>
    <r>
      <t>Harmonics - individual</t>
    </r>
    <r>
      <rPr>
        <b/>
        <sz val="10"/>
        <rFont val="华文细黑"/>
        <family val="3"/>
        <charset val="134"/>
      </rPr>
      <t>（</t>
    </r>
    <r>
      <rPr>
        <b/>
        <sz val="10"/>
        <rFont val="Arial"/>
        <family val="2"/>
      </rPr>
      <t>3S</t>
    </r>
    <r>
      <rPr>
        <b/>
        <sz val="10"/>
        <rFont val="华文细黑"/>
        <family val="3"/>
        <charset val="134"/>
      </rPr>
      <t>）</t>
    </r>
    <phoneticPr fontId="4" type="noConversion"/>
  </si>
  <si>
    <t>V1(V12) 32nd - 63rd harmonic</t>
  </si>
  <si>
    <t>V2(V31) 32nd - 63rd harmonic</t>
  </si>
  <si>
    <t>V3(V23) 32nd - 63rd harmonic</t>
  </si>
  <si>
    <t>I1 32nd - 63rd harmonic</t>
  </si>
  <si>
    <t>I2 32nd - 63rd harmonic</t>
  </si>
  <si>
    <t>I3 32nd - 63rd harmonic</t>
  </si>
  <si>
    <t>Load percentage</t>
    <phoneticPr fontId="4" type="noConversion"/>
  </si>
  <si>
    <t>Current demand</t>
    <phoneticPr fontId="4" type="noConversion"/>
  </si>
  <si>
    <r>
      <t>Energy - continue</t>
    </r>
    <r>
      <rPr>
        <b/>
        <sz val="10"/>
        <rFont val="华文细黑"/>
        <family val="3"/>
        <charset val="134"/>
      </rPr>
      <t>（</t>
    </r>
    <r>
      <rPr>
        <b/>
        <sz val="10"/>
        <rFont val="Arial"/>
        <family val="2"/>
      </rPr>
      <t>1S</t>
    </r>
    <r>
      <rPr>
        <b/>
        <sz val="10"/>
        <rFont val="华文细黑"/>
        <family val="3"/>
        <charset val="134"/>
      </rPr>
      <t>）</t>
    </r>
  </si>
  <si>
    <t>Epa_imp Phase A import active energy</t>
    <phoneticPr fontId="4" type="noConversion"/>
  </si>
  <si>
    <t>Epa_exp Phase A expot active energy</t>
    <phoneticPr fontId="4" type="noConversion"/>
  </si>
  <si>
    <t>Epb_imp Phase B import active energy</t>
    <phoneticPr fontId="4" type="noConversion"/>
  </si>
  <si>
    <t>Epb_exp Phase B expot active energy</t>
    <phoneticPr fontId="4" type="noConversion"/>
  </si>
  <si>
    <t>Epc_imp Phase C import active energy</t>
    <phoneticPr fontId="4" type="noConversion"/>
  </si>
  <si>
    <t>Epc_exp Phase C expot active energy</t>
    <phoneticPr fontId="4" type="noConversion"/>
  </si>
  <si>
    <t>Eqa_imp Phase A import reactive energy</t>
    <phoneticPr fontId="4" type="noConversion"/>
  </si>
  <si>
    <t>Eqa_exp Phase A expot reactive energy</t>
    <phoneticPr fontId="4" type="noConversion"/>
  </si>
  <si>
    <t>Eqb_imp Phase B import reactive energy</t>
    <phoneticPr fontId="4" type="noConversion"/>
  </si>
  <si>
    <t>Eqb_exp Phase B expot reactive energy</t>
    <phoneticPr fontId="4" type="noConversion"/>
  </si>
  <si>
    <t>Eqc_imp Phase C import reactive energy</t>
    <phoneticPr fontId="4" type="noConversion"/>
  </si>
  <si>
    <t>Eqc_exp Phase C expot reactive energy</t>
    <phoneticPr fontId="4" type="noConversion"/>
  </si>
  <si>
    <t>Esa Phase A Apparent energy</t>
    <phoneticPr fontId="4" type="noConversion"/>
  </si>
  <si>
    <t>Esb Phase B Apparent energy</t>
    <phoneticPr fontId="4" type="noConversion"/>
  </si>
  <si>
    <t>Esc Phase C Apparent energy</t>
    <phoneticPr fontId="4" type="noConversion"/>
  </si>
  <si>
    <t>Kono Customized</t>
    <phoneticPr fontId="4" type="noConversion"/>
  </si>
  <si>
    <t>1st previous day energy; parameters in the order of:
Ep_imp Import active energy
Ep_exp Expot active energy
Eq_imp Import reactive energy
Eq_exp Expot reactive energy
Ep_total Total active energy
Ep_net Net active energy
Eq_total Total reactive energy
Eq_net Net reactive energy
Es Apparent energy
Epa_imp Phase A import active energy
Epa_exp Phase A expot active energy
Epb_imp Phase B import active energy
Epb_exp Phase B expot active energy
Epc_imp Phase C import active energy
Epc_exp Phase C expot active energy
Eqa_imp Phase A import reactive energy
Eqa_exp Phase A expot reactive energy
Eqb_imp Phase B import reactive energy
Eqb_exp Phase B expot reactive energy
Eqc_imp Phase C import reactive energy
Eqc_exp Phase C expot reactive energy
Esa Phase A Apparent energy
Esb Phase B Apparent energy
Esc Phase C Apparent energy</t>
    <phoneticPr fontId="4" type="noConversion"/>
  </si>
  <si>
    <t>0-999999999</t>
  </si>
  <si>
    <t>2nd previous day energy</t>
    <phoneticPr fontId="4" type="noConversion"/>
  </si>
  <si>
    <t>3rd previous day energy</t>
  </si>
  <si>
    <t>4th previous day energy</t>
  </si>
  <si>
    <t>5th previous day energy</t>
  </si>
  <si>
    <t>6th previous day energy</t>
  </si>
  <si>
    <t>7th previous day energy</t>
  </si>
  <si>
    <t>V1(V12) 64th - 127th harmonic</t>
  </si>
  <si>
    <t>V2(V31) 64th - 127th harmonic</t>
  </si>
  <si>
    <t>V3(V23) 64th - 127th harmonic</t>
  </si>
  <si>
    <t>I1 64th - 127th harmonic</t>
  </si>
  <si>
    <t>I2 64th - 127th harmonic</t>
  </si>
  <si>
    <t>I3 64th - 127th harmonic</t>
  </si>
  <si>
    <t>Ua pst</t>
  </si>
  <si>
    <t>Ub pst</t>
  </si>
  <si>
    <t>Uc pst</t>
  </si>
  <si>
    <t>Ua plt</t>
  </si>
  <si>
    <t>Ub plt</t>
  </si>
  <si>
    <t>Uc plt</t>
  </si>
  <si>
    <t>Import/Export Apparent Energy</t>
    <phoneticPr fontId="4" type="noConversion"/>
  </si>
  <si>
    <t>Es_imp Import apparent energy</t>
    <phoneticPr fontId="4" type="noConversion"/>
  </si>
  <si>
    <t>Esa_imp Phase A import apparent energy</t>
    <phoneticPr fontId="4" type="noConversion"/>
  </si>
  <si>
    <t>Esb_imp Phase B import apparent energy</t>
    <phoneticPr fontId="4" type="noConversion"/>
  </si>
  <si>
    <t>Esc_imp Phase C import apparent energy</t>
    <phoneticPr fontId="4" type="noConversion"/>
  </si>
  <si>
    <t>Es_exp Export apparent energy</t>
    <phoneticPr fontId="4" type="noConversion"/>
  </si>
  <si>
    <t>Esa_exp Phase A export apparent energy</t>
    <phoneticPr fontId="4" type="noConversion"/>
  </si>
  <si>
    <t>Esb_exp Phase B export apparent energy</t>
    <phoneticPr fontId="4" type="noConversion"/>
  </si>
  <si>
    <t>Esc_exp Phase C export apparent energy</t>
    <phoneticPr fontId="4" type="noConversion"/>
  </si>
  <si>
    <t>Reactive energy-Q1</t>
  </si>
  <si>
    <t>Phase A reactive energy-Q1</t>
  </si>
  <si>
    <t>Phase B reactive energy-Q1</t>
  </si>
  <si>
    <t>Phase C reactive energy-Q1</t>
  </si>
  <si>
    <t>Reactive energy-Q2</t>
  </si>
  <si>
    <t>Phase A reactive energy-Q2</t>
  </si>
  <si>
    <t>B phase reactive energy-Q2</t>
  </si>
  <si>
    <t>Phase B reactive energy-Q2</t>
  </si>
  <si>
    <t>Reactive energy-Q3</t>
  </si>
  <si>
    <t>Phase A reactive energy-Q3</t>
  </si>
  <si>
    <t>Phase B reactive energy-Q3</t>
  </si>
  <si>
    <t>Phase C reactive energy-Q3</t>
  </si>
  <si>
    <t>Reactive energy-Q4</t>
  </si>
  <si>
    <t>Phase A reactive energy-Q4</t>
  </si>
  <si>
    <t>Phase B reactive energy-Q4</t>
  </si>
  <si>
    <t>Phase C reactive energy-Q4</t>
  </si>
  <si>
    <t>Harmonic - amplitude and phase angle</t>
    <phoneticPr fontId="4" type="noConversion"/>
  </si>
  <si>
    <t>Values in secondary side</t>
    <phoneticPr fontId="4" type="noConversion"/>
  </si>
  <si>
    <t>V1 or V12 harmonic amplitude (2nd - 63rd order)</t>
  </si>
  <si>
    <t>Actual voltage U = 
reading data / 10</t>
  </si>
  <si>
    <t>V2 or V23 harmonic amplitude (2nd - 63rd order)</t>
  </si>
  <si>
    <t>V3 or V31 harmonic amplitude (2nd - 63rd order)</t>
  </si>
  <si>
    <t>I1 harmonic amplitude (2nd - 63rd order)</t>
  </si>
  <si>
    <t>Actual current I = 
reading data / 1000</t>
  </si>
  <si>
    <t>I2 harmonic amplitude (2nd - 63rd order)</t>
  </si>
  <si>
    <t>I3 harmonic amplitude (2nd - 63rd order)</t>
  </si>
  <si>
    <t>V1 or V12 Harmonic phase angle (2nd - 63rd order)</t>
  </si>
  <si>
    <t>Actual phase angle = 
reading data / 10</t>
  </si>
  <si>
    <t>V2 or V23 Harmonic phase angle (2nd - 63rd order)</t>
  </si>
  <si>
    <t>V3 or V31 Harmonic phase angle (2nd - 63rd order)</t>
  </si>
  <si>
    <t>I1 Harmonic phase angle (2nd - 63rd order)</t>
  </si>
  <si>
    <t>I2 Harmonic phase angle (2nd - 63rd order)</t>
  </si>
  <si>
    <t>I3 Harmonic phase angle (2nd - 63rd order)</t>
  </si>
  <si>
    <t>Basic Readings (word)</t>
  </si>
  <si>
    <r>
      <t>4500</t>
    </r>
    <r>
      <rPr>
        <sz val="10"/>
        <rFont val="宋体"/>
        <family val="2"/>
        <charset val="134"/>
      </rPr>
      <t>～</t>
    </r>
    <r>
      <rPr>
        <sz val="10"/>
        <rFont val="Arial"/>
        <family val="2"/>
      </rPr>
      <t>6500</t>
    </r>
  </si>
  <si>
    <t>Va</t>
  </si>
  <si>
    <r>
      <t>0</t>
    </r>
    <r>
      <rPr>
        <sz val="10"/>
        <rFont val="宋体"/>
        <family val="2"/>
        <charset val="134"/>
      </rPr>
      <t>～</t>
    </r>
    <r>
      <rPr>
        <sz val="10"/>
        <rFont val="Arial"/>
        <family val="2"/>
      </rPr>
      <t>65535</t>
    </r>
  </si>
  <si>
    <t>Vb</t>
  </si>
  <si>
    <t>Vc</t>
  </si>
  <si>
    <t>Vlnagv</t>
  </si>
  <si>
    <t>Vab</t>
  </si>
  <si>
    <t>Vbc</t>
  </si>
  <si>
    <t>Vca</t>
  </si>
  <si>
    <t>Vllavg</t>
  </si>
  <si>
    <t>Ia</t>
  </si>
  <si>
    <t>Ib</t>
  </si>
  <si>
    <t>Ic</t>
  </si>
  <si>
    <t>In_calc</t>
  </si>
  <si>
    <t>In_measure</t>
  </si>
  <si>
    <t>Itotal</t>
  </si>
  <si>
    <t>Iavg</t>
  </si>
  <si>
    <t>Pa</t>
  </si>
  <si>
    <r>
      <t>-32768</t>
    </r>
    <r>
      <rPr>
        <sz val="10"/>
        <rFont val="华文细黑"/>
        <family val="3"/>
        <charset val="134"/>
      </rPr>
      <t>～</t>
    </r>
    <r>
      <rPr>
        <sz val="10"/>
        <rFont val="Arial"/>
        <family val="2"/>
      </rPr>
      <t>32767</t>
    </r>
  </si>
  <si>
    <t>Pb</t>
  </si>
  <si>
    <t>Pc</t>
  </si>
  <si>
    <t>P</t>
  </si>
  <si>
    <t>Qa</t>
  </si>
  <si>
    <t>Qb</t>
  </si>
  <si>
    <t>Qc</t>
  </si>
  <si>
    <t>Q</t>
  </si>
  <si>
    <t>Sa</t>
  </si>
  <si>
    <t>Sb</t>
  </si>
  <si>
    <t>Sc</t>
  </si>
  <si>
    <t>S</t>
  </si>
  <si>
    <t>PFa</t>
  </si>
  <si>
    <r>
      <t>-1000</t>
    </r>
    <r>
      <rPr>
        <sz val="10"/>
        <rFont val="华文细黑"/>
        <family val="3"/>
        <charset val="134"/>
      </rPr>
      <t>～</t>
    </r>
    <r>
      <rPr>
        <sz val="10"/>
        <rFont val="Arial"/>
        <family val="2"/>
      </rPr>
      <t>1000</t>
    </r>
  </si>
  <si>
    <t>PFb</t>
  </si>
  <si>
    <t>PFc</t>
  </si>
  <si>
    <t>PF</t>
  </si>
  <si>
    <t>U_unbl</t>
    <phoneticPr fontId="4" type="noConversion"/>
  </si>
  <si>
    <r>
      <t>0</t>
    </r>
    <r>
      <rPr>
        <sz val="10"/>
        <rFont val="宋体"/>
        <family val="2"/>
        <charset val="134"/>
      </rPr>
      <t>～</t>
    </r>
    <r>
      <rPr>
        <sz val="10"/>
        <rFont val="Arial"/>
        <family val="2"/>
      </rPr>
      <t>1000</t>
    </r>
  </si>
  <si>
    <t>I_unbl</t>
    <phoneticPr fontId="4" type="noConversion"/>
  </si>
  <si>
    <t>LN (L/C/R)</t>
    <phoneticPr fontId="4" type="noConversion"/>
  </si>
  <si>
    <t>76/67/82</t>
  </si>
  <si>
    <t>P demand</t>
    <phoneticPr fontId="4" type="noConversion"/>
  </si>
  <si>
    <t>Q Demand</t>
    <phoneticPr fontId="4" type="noConversion"/>
  </si>
  <si>
    <t>S Demand</t>
    <phoneticPr fontId="4" type="noConversion"/>
  </si>
  <si>
    <t>Ia Demand</t>
    <phoneticPr fontId="4" type="noConversion"/>
  </si>
  <si>
    <t>Ib Demand</t>
    <phoneticPr fontId="4" type="noConversion"/>
  </si>
  <si>
    <t>Ic Demand</t>
    <phoneticPr fontId="4" type="noConversion"/>
  </si>
  <si>
    <t>In Demand</t>
    <phoneticPr fontId="4" type="noConversion"/>
  </si>
  <si>
    <t>Ep_imp</t>
    <phoneticPr fontId="4" type="noConversion"/>
  </si>
  <si>
    <r>
      <t>0</t>
    </r>
    <r>
      <rPr>
        <sz val="10"/>
        <rFont val="宋体"/>
        <family val="2"/>
        <charset val="134"/>
      </rPr>
      <t>～</t>
    </r>
    <r>
      <rPr>
        <sz val="10"/>
        <rFont val="Arial"/>
        <family val="2"/>
      </rPr>
      <t>999999999</t>
    </r>
  </si>
  <si>
    <t>Ep_exp</t>
    <phoneticPr fontId="4" type="noConversion"/>
  </si>
  <si>
    <t>Ep_total</t>
  </si>
  <si>
    <t>Ep_net</t>
  </si>
  <si>
    <r>
      <t xml:space="preserve"> -999999999</t>
    </r>
    <r>
      <rPr>
        <sz val="10"/>
        <rFont val="华文细黑"/>
        <family val="3"/>
        <charset val="134"/>
      </rPr>
      <t>～</t>
    </r>
    <r>
      <rPr>
        <sz val="10"/>
        <rFont val="Arial"/>
        <family val="2"/>
      </rPr>
      <t>999999999</t>
    </r>
  </si>
  <si>
    <t>Ep_q1</t>
  </si>
  <si>
    <t>Ep_q2</t>
  </si>
  <si>
    <t>Ep_q3</t>
  </si>
  <si>
    <t>Ep_q4</t>
  </si>
  <si>
    <t>Eq_imp</t>
    <phoneticPr fontId="4" type="noConversion"/>
  </si>
  <si>
    <t>Eq_exp</t>
    <phoneticPr fontId="4" type="noConversion"/>
  </si>
  <si>
    <t>Eq_total</t>
  </si>
  <si>
    <t>Eq_net</t>
  </si>
  <si>
    <t>Eq_q1</t>
  </si>
  <si>
    <t>Eq_q2</t>
  </si>
  <si>
    <t>Eq_q3</t>
  </si>
  <si>
    <t>Eq_q4</t>
  </si>
  <si>
    <t>Es_imp</t>
  </si>
  <si>
    <t>ES_exp</t>
  </si>
  <si>
    <t>Es_total</t>
    <phoneticPr fontId="4" type="noConversion"/>
  </si>
  <si>
    <t>Es_net</t>
  </si>
  <si>
    <t>Es_q1</t>
    <phoneticPr fontId="4" type="noConversion"/>
  </si>
  <si>
    <t>Es_q2</t>
  </si>
  <si>
    <t>Es_q3</t>
  </si>
  <si>
    <t>Es_q4</t>
  </si>
  <si>
    <t>Phase A Ep_imp</t>
    <phoneticPr fontId="4" type="noConversion"/>
  </si>
  <si>
    <t>Phase A Ep_exp</t>
    <phoneticPr fontId="4" type="noConversion"/>
  </si>
  <si>
    <t>Phase B Ep_imp</t>
    <phoneticPr fontId="4" type="noConversion"/>
  </si>
  <si>
    <t>Phase B Ep_exp</t>
    <phoneticPr fontId="4" type="noConversion"/>
  </si>
  <si>
    <t>Phase C Ep_imp</t>
    <phoneticPr fontId="4" type="noConversion"/>
  </si>
  <si>
    <t>Phase C Ep_exp</t>
    <phoneticPr fontId="4" type="noConversion"/>
  </si>
  <si>
    <t>Phase A Eq_imp</t>
    <phoneticPr fontId="4" type="noConversion"/>
  </si>
  <si>
    <t>Phase A Eq_exp</t>
    <phoneticPr fontId="4" type="noConversion"/>
  </si>
  <si>
    <t>Phase B Eq_imp</t>
    <phoneticPr fontId="4" type="noConversion"/>
  </si>
  <si>
    <t>Phase B Eq_exp</t>
    <phoneticPr fontId="4" type="noConversion"/>
  </si>
  <si>
    <t>Phase C Eq_imp</t>
    <phoneticPr fontId="4" type="noConversion"/>
  </si>
  <si>
    <t>Phase C Eq_exp</t>
    <phoneticPr fontId="4" type="noConversion"/>
  </si>
  <si>
    <t>Phase A Es_imp</t>
    <phoneticPr fontId="4" type="noConversion"/>
  </si>
  <si>
    <t>Phase A Es_exp</t>
    <phoneticPr fontId="4" type="noConversion"/>
  </si>
  <si>
    <t>Phase B Es_imp</t>
    <phoneticPr fontId="4" type="noConversion"/>
  </si>
  <si>
    <t>Phase B Es_exp</t>
    <phoneticPr fontId="4" type="noConversion"/>
  </si>
  <si>
    <t>Phase C Es_imp</t>
    <phoneticPr fontId="4" type="noConversion"/>
  </si>
  <si>
    <t>Phase C Es_exp</t>
    <phoneticPr fontId="4" type="noConversion"/>
  </si>
  <si>
    <t>Basic Readings (Float)</t>
    <phoneticPr fontId="4" type="noConversion"/>
  </si>
  <si>
    <t>Channel 4 Current</t>
    <phoneticPr fontId="4" type="noConversion"/>
  </si>
  <si>
    <t>Channel 4 Angle</t>
    <phoneticPr fontId="4" type="noConversion"/>
  </si>
  <si>
    <r>
      <t>-1800</t>
    </r>
    <r>
      <rPr>
        <sz val="10"/>
        <rFont val="华文细黑"/>
        <family val="3"/>
        <charset val="134"/>
      </rPr>
      <t>～</t>
    </r>
    <r>
      <rPr>
        <sz val="10"/>
        <rFont val="Arial"/>
        <family val="2"/>
      </rPr>
      <t>1800</t>
    </r>
  </si>
  <si>
    <t>Channel 4 Active Power</t>
    <phoneticPr fontId="4" type="noConversion"/>
  </si>
  <si>
    <t>Channel 4 Reactive Power</t>
    <phoneticPr fontId="4" type="noConversion"/>
  </si>
  <si>
    <t>Channel 4 Apparent Power</t>
    <phoneticPr fontId="4" type="noConversion"/>
  </si>
  <si>
    <t>Channel 4 PF</t>
    <phoneticPr fontId="4" type="noConversion"/>
  </si>
  <si>
    <t>Channel 4 LN (L/C/R)</t>
  </si>
  <si>
    <t>Channel 4 Current Demand</t>
    <phoneticPr fontId="4" type="noConversion"/>
  </si>
  <si>
    <t>Summation 2 Iavg</t>
  </si>
  <si>
    <t>Summation 2 P</t>
  </si>
  <si>
    <t>Summation 2 Q</t>
  </si>
  <si>
    <t>Summation 2 S</t>
  </si>
  <si>
    <t>Summation 2 PF</t>
  </si>
  <si>
    <t>Summation 2 LN (L/C/R)</t>
  </si>
  <si>
    <t>Channel 1 LN (L/C/R)</t>
  </si>
  <si>
    <t>Channel 2 LN (L/C/R)</t>
  </si>
  <si>
    <t>Channel 3 LN (L/C/R)</t>
  </si>
  <si>
    <t>Channel 1 P demand</t>
  </si>
  <si>
    <t>Channel 2 P Demand</t>
  </si>
  <si>
    <t>Channel 3 P Demand</t>
  </si>
  <si>
    <t>Channel 4 P demand</t>
  </si>
  <si>
    <t>Summation 2 P demand</t>
  </si>
  <si>
    <t>Channel 1 Q Demand</t>
  </si>
  <si>
    <t>Channel 2 Q Demand</t>
  </si>
  <si>
    <t>Channel 3 Q demand</t>
  </si>
  <si>
    <t>Channel 4 Q Demand</t>
  </si>
  <si>
    <t>Summation 2 Q Demand</t>
  </si>
  <si>
    <t>Channel 1 S Demand</t>
  </si>
  <si>
    <t>Channel 2 S demand</t>
  </si>
  <si>
    <t>Channel 3 S Demand</t>
  </si>
  <si>
    <t>Channel 4 S Demand</t>
  </si>
  <si>
    <t>Summation 2 S Demand</t>
  </si>
  <si>
    <t>Channel 4 Ep_imp</t>
  </si>
  <si>
    <r>
      <t>0</t>
    </r>
    <r>
      <rPr>
        <sz val="10"/>
        <rFont val="华文细黑"/>
        <family val="3"/>
        <charset val="134"/>
      </rPr>
      <t>～</t>
    </r>
    <r>
      <rPr>
        <sz val="10"/>
        <rFont val="Arial"/>
        <family val="2"/>
      </rPr>
      <t>999999999</t>
    </r>
  </si>
  <si>
    <t>Channel 4 Ep_exp</t>
  </si>
  <si>
    <t>Channel 4 Eq_imp</t>
  </si>
  <si>
    <t>Channel 4 Eq_exp</t>
  </si>
  <si>
    <t>Channel 4 Es_imp</t>
  </si>
  <si>
    <t>Channel 4 Es_exp</t>
  </si>
  <si>
    <t>Channel 4 Es_total</t>
  </si>
  <si>
    <t>Channel 4 Eq_q1</t>
  </si>
  <si>
    <t>Channel 4 Eq_q2</t>
  </si>
  <si>
    <t>Channel 4 Eq_q3</t>
  </si>
  <si>
    <t>Channel 4 Eq_q4</t>
  </si>
  <si>
    <t>Summation 2 Ep_imp</t>
  </si>
  <si>
    <t>Summation 2 Ep_exp</t>
  </si>
  <si>
    <t>Summation 2 Ep_total</t>
  </si>
  <si>
    <t>Summation 2 Ep_net</t>
  </si>
  <si>
    <t>Summation 2 Eq_imp</t>
  </si>
  <si>
    <t>Summation 2 Eq_exp</t>
  </si>
  <si>
    <t>Summation 2 Eq_total</t>
  </si>
  <si>
    <t>Summation 2 Eq_net</t>
  </si>
  <si>
    <t>Summation 2 Es_imp</t>
  </si>
  <si>
    <t>Summation 2 ES_exp</t>
  </si>
  <si>
    <t>Summation 2 Es_total</t>
  </si>
  <si>
    <t>Summation 2 Es_net</t>
  </si>
  <si>
    <t>Summation 2 Ep_q1</t>
  </si>
  <si>
    <t>Summation 2 Ep_q2</t>
  </si>
  <si>
    <t>Summation 2 Ep_q3</t>
  </si>
  <si>
    <t>Summation 2 Ep_q4</t>
  </si>
  <si>
    <t>Summation 2 Eq_q1</t>
  </si>
  <si>
    <t>Summation 2 Eq_q2</t>
  </si>
  <si>
    <t>Summation 2 Eq_q3</t>
  </si>
  <si>
    <t>Summation 2 Eq_q4</t>
  </si>
  <si>
    <t>Summation 2 Es_q1</t>
  </si>
  <si>
    <t>Summation 2 Es_q2</t>
  </si>
  <si>
    <t>Summation 2 Es_q3</t>
  </si>
  <si>
    <t>Summation 2 Es_q4</t>
  </si>
  <si>
    <r>
      <t>Harmonics</t>
    </r>
    <r>
      <rPr>
        <b/>
        <sz val="10"/>
        <rFont val="华文细黑"/>
        <family val="3"/>
        <charset val="134"/>
      </rPr>
      <t>（</t>
    </r>
    <r>
      <rPr>
        <b/>
        <sz val="10"/>
        <rFont val="Arial"/>
        <family val="2"/>
      </rPr>
      <t>3S</t>
    </r>
    <r>
      <rPr>
        <b/>
        <sz val="10"/>
        <rFont val="华文细黑"/>
        <family val="3"/>
        <charset val="134"/>
      </rPr>
      <t>）</t>
    </r>
  </si>
  <si>
    <t>Channel 4 current THD</t>
    <phoneticPr fontId="4" type="noConversion"/>
  </si>
  <si>
    <t>Channel 4 current 2nd-31st harmonic</t>
    <phoneticPr fontId="4" type="noConversion"/>
  </si>
  <si>
    <t>Channel 4 current odd THD</t>
    <phoneticPr fontId="4" type="noConversion"/>
  </si>
  <si>
    <t>Channel 4 current even THD</t>
    <phoneticPr fontId="4" type="noConversion"/>
  </si>
  <si>
    <t>Channel 4 current K factor</t>
    <phoneticPr fontId="4" type="noConversion"/>
  </si>
  <si>
    <t>Channel 4 current 32nd-63rd harmonic</t>
    <phoneticPr fontId="4" type="noConversion"/>
  </si>
  <si>
    <t>Harmonic amplitude and phase angle (secondary side)</t>
  </si>
  <si>
    <t>Channel 4 current harmonic amplitude (2nd - 31st)</t>
    <phoneticPr fontId="4" type="noConversion"/>
  </si>
  <si>
    <r>
      <t>Channel 4 current Harmonic phase angle (32nd - 63rd</t>
    </r>
    <r>
      <rPr>
        <sz val="10"/>
        <rFont val="华文细黑"/>
        <family val="3"/>
        <charset val="134"/>
      </rPr>
      <t>）</t>
    </r>
    <phoneticPr fontId="4" type="noConversion"/>
  </si>
  <si>
    <t>Dual Source Energy Settings</t>
    <phoneticPr fontId="4" type="noConversion"/>
  </si>
  <si>
    <t>Dual source energy enable/disable</t>
  </si>
  <si>
    <t>0: Disabled; 1: Enabled</t>
  </si>
  <si>
    <t>Energy 1 selection</t>
    <phoneticPr fontId="4" type="noConversion"/>
  </si>
  <si>
    <t>0: Not selected
1: Active energy
2: Phase A active energy
3: Phase B active energy
4: Phase C active energy
5: Reactive energy
6: Phase A reactive energy
7: Phase B reactive energy
8: Phase C reactive energy
9: Apparent energy
10: Phase A apparent energy
11: Phase B apparent energy
12: Phase C apparent energy</t>
    <phoneticPr fontId="4" type="noConversion"/>
  </si>
  <si>
    <t>Energy 2 selection</t>
  </si>
  <si>
    <t>Energy 3 selection</t>
  </si>
  <si>
    <t>Control mode</t>
    <phoneticPr fontId="4" type="noConversion"/>
  </si>
  <si>
    <t>0: Controlled by communication
1 ~ 28: Controlled by DI1-DI28</t>
    <phoneticPr fontId="4" type="noConversion"/>
  </si>
  <si>
    <t>Direction flag</t>
    <phoneticPr fontId="4" type="noConversion"/>
  </si>
  <si>
    <t>When control mode is controlled by commnication, the value is writeable via communication; when control mode is controlled by DI, the value is readonly.
0: grid direction; 1: generator direction.</t>
    <phoneticPr fontId="4" type="noConversion"/>
  </si>
  <si>
    <t>clear Dual Source energy</t>
    <phoneticPr fontId="4" type="noConversion"/>
  </si>
  <si>
    <t>write 1 to clear</t>
    <phoneticPr fontId="4" type="noConversion"/>
  </si>
  <si>
    <t>clear Dual Source energy switching record</t>
    <phoneticPr fontId="4" type="noConversion"/>
  </si>
  <si>
    <t>Dual Source Energy Readings</t>
    <phoneticPr fontId="4" type="noConversion"/>
  </si>
  <si>
    <t>0x4930</t>
  </si>
  <si>
    <t>0x4931</t>
  </si>
  <si>
    <t>Energy 1 - Grid Direction</t>
  </si>
  <si>
    <t>0x4932</t>
  </si>
  <si>
    <t>0x4933</t>
  </si>
  <si>
    <t>Energy 1 - Generator Direction</t>
  </si>
  <si>
    <t>0x4934</t>
  </si>
  <si>
    <t>0x4935</t>
  </si>
  <si>
    <t>Energy 2 - Grid Direction</t>
  </si>
  <si>
    <t>0x4936</t>
  </si>
  <si>
    <t>0x4937</t>
  </si>
  <si>
    <t>Energy 2 - Generator Direction</t>
  </si>
  <si>
    <t>0x4938</t>
  </si>
  <si>
    <t>0x4939</t>
  </si>
  <si>
    <t>Energy 3 - Grid Direction</t>
  </si>
  <si>
    <t>0x493A</t>
  </si>
  <si>
    <t>Energy 3 - Generator Direction</t>
  </si>
  <si>
    <t>Dual Source Energy switching records</t>
    <phoneticPr fontId="4" type="noConversion"/>
  </si>
  <si>
    <t>the number of records to read</t>
    <phoneticPr fontId="4" type="noConversion"/>
  </si>
  <si>
    <t>1 to 20</t>
  </si>
  <si>
    <t>The ID of current switching record</t>
    <phoneticPr fontId="4" type="noConversion"/>
  </si>
  <si>
    <t>0 to 20</t>
  </si>
  <si>
    <t>The length of bytes that can be read by the current window</t>
    <phoneticPr fontId="4" type="noConversion"/>
  </si>
  <si>
    <t>0 to 85;
0: the window data is invalid.</t>
  </si>
  <si>
    <t>1st switch record - timestamp year&amp;month</t>
    <phoneticPr fontId="4" type="noConversion"/>
  </si>
  <si>
    <t>High byte: year
Low byte: month</t>
  </si>
  <si>
    <t>1st switch record - timestamp date&amp;hour</t>
    <phoneticPr fontId="4" type="noConversion"/>
  </si>
  <si>
    <t>High byte: date
Low byte: hour</t>
  </si>
  <si>
    <t>1st switch record - timestamp minute&amp;second</t>
    <phoneticPr fontId="4" type="noConversion"/>
  </si>
  <si>
    <t>High byte: minute
Low byte: second</t>
  </si>
  <si>
    <t>1st switch record - switch command source</t>
  </si>
  <si>
    <t>1st switch record - switch command</t>
  </si>
  <si>
    <t>0: grid direction,
1: generator direction</t>
  </si>
  <si>
    <t>1st Switch Record - Energy 1 - Grid Direction</t>
  </si>
  <si>
    <t>1st Switch Record - Energy 1 - Generator Direction</t>
  </si>
  <si>
    <t>1st Switch Record - Energy 2 - Grid Direction</t>
  </si>
  <si>
    <t>1st Switch Record - Energy 2 - Generator Direction</t>
  </si>
  <si>
    <t>1st Switch Record - Energy 3 - Grid Direction</t>
  </si>
  <si>
    <t>1st Switch Record - Energy 3 - Generator Direction</t>
  </si>
  <si>
    <t>2nd switch record data</t>
  </si>
  <si>
    <t>3rd switch record data</t>
  </si>
  <si>
    <t>4th switch record data</t>
  </si>
  <si>
    <t>5th switch record data</t>
  </si>
  <si>
    <t>Data log Setting</t>
  </si>
  <si>
    <t>Log1 number of registers and number of sectors</t>
    <phoneticPr fontId="4" type="noConversion"/>
  </si>
  <si>
    <t>Log1 Interval</t>
    <phoneticPr fontId="4" type="noConversion"/>
  </si>
  <si>
    <t>Log1 parameter selections (up to 117 parameters)</t>
    <phoneticPr fontId="4" type="noConversion"/>
  </si>
  <si>
    <t>Log1 register #1-#117 descriptors</t>
    <phoneticPr fontId="4" type="noConversion"/>
  </si>
  <si>
    <t>Currently not in use</t>
    <phoneticPr fontId="4" type="noConversion"/>
  </si>
  <si>
    <t>Data log mode selection</t>
  </si>
  <si>
    <t>Start month, year</t>
    <phoneticPr fontId="4" type="noConversion"/>
  </si>
  <si>
    <t>Start day, hour</t>
    <phoneticPr fontId="4" type="noConversion"/>
  </si>
  <si>
    <t>Start minute, second</t>
    <phoneticPr fontId="4" type="noConversion"/>
  </si>
  <si>
    <t>End month, year</t>
  </si>
  <si>
    <t>End day, hour</t>
  </si>
  <si>
    <t>End minute, second</t>
  </si>
  <si>
    <t>Clear Data Log 1</t>
    <phoneticPr fontId="4" type="noConversion"/>
  </si>
  <si>
    <t>Log2 setting</t>
  </si>
  <si>
    <t>Log3 setting</t>
  </si>
  <si>
    <t>Data log Reading</t>
  </si>
  <si>
    <t>Record type, enable, state</t>
  </si>
  <si>
    <t>Record number of each window+window state</t>
  </si>
  <si>
    <t>OFFSET</t>
  </si>
  <si>
    <t>Window</t>
  </si>
  <si>
    <t>Data log Status</t>
    <phoneticPr fontId="4" type="noConversion"/>
  </si>
  <si>
    <t>Max Records</t>
  </si>
  <si>
    <t>Used Records</t>
  </si>
  <si>
    <t>Record size</t>
  </si>
  <si>
    <r>
      <t>Log Availability</t>
    </r>
    <r>
      <rPr>
        <sz val="10"/>
        <rFont val="华文细黑"/>
        <family val="3"/>
        <charset val="134"/>
      </rPr>
      <t>（</t>
    </r>
    <r>
      <rPr>
        <sz val="10"/>
        <rFont val="Arial"/>
        <family val="2"/>
      </rPr>
      <t>reserve</t>
    </r>
    <r>
      <rPr>
        <sz val="10"/>
        <rFont val="华文细黑"/>
        <family val="3"/>
        <charset val="134"/>
      </rPr>
      <t>）</t>
    </r>
  </si>
  <si>
    <t xml:space="preserve">First Record Time stamp
</t>
  </si>
  <si>
    <t xml:space="preserve">Last Record Time stamp
</t>
  </si>
  <si>
    <t>Recordsize</t>
  </si>
  <si>
    <t>Log Availability</t>
  </si>
  <si>
    <t>FirstRecordTimestamp</t>
  </si>
  <si>
    <t>LastRecordTimestamp</t>
    <phoneticPr fontId="4" type="noConversion"/>
  </si>
  <si>
    <t>First Record Time stamp</t>
  </si>
  <si>
    <t>Last Record Time stamp,</t>
  </si>
  <si>
    <t>Data Log settings</t>
    <phoneticPr fontId="4" type="noConversion"/>
  </si>
  <si>
    <t>0 -39;50</t>
  </si>
  <si>
    <t>1 - 1440</t>
  </si>
  <si>
    <t xml:space="preserve">Parameter selection address Range: 0x4000 - 0x4041 (not include demand) 0x405A - 0x412A  0x4294 - 0x42A8   0x4381 - 0x4398  0x4500 - 0x45BF  </t>
  </si>
  <si>
    <t>register #1-#117 descriptors</t>
  </si>
  <si>
    <t>0 - 2</t>
  </si>
  <si>
    <t>Low byte: month,high byte: year（keep consistence with Data Log123）</t>
  </si>
  <si>
    <t>Low byte: houe,high byte: day</t>
  </si>
  <si>
    <t>Low byte: second,high byte: minute</t>
  </si>
  <si>
    <t>Low byte: month,high byte: year</t>
  </si>
  <si>
    <t>Clear Data Log 4</t>
    <phoneticPr fontId="4" type="noConversion"/>
  </si>
  <si>
    <t>Data Log reading</t>
    <phoneticPr fontId="4" type="noConversion"/>
  </si>
  <si>
    <t>0 - 3  （3 for Data Log4）</t>
  </si>
  <si>
    <t>High byte: Record number of window（setting）。
Low byte: window state（0x0B: data effective,0xFF: data not effective,0xAA: Data Log on clearing,0xBB: Data Log clearing end）</t>
  </si>
  <si>
    <t>Data Log format: record number（4bytes ）+ time stamps（6bytes） + [data1~dataN]（6Nbytes） + CRC( 2bytes)。
Data format: parameter1 average value, parameter2 average value...parameter1 max value, parameter2 max value, parameter1 min value, parameter2 min value...</t>
  </si>
  <si>
    <t>Data Log status</t>
    <phoneticPr fontId="4" type="noConversion"/>
  </si>
  <si>
    <t>0 - 468104</t>
  </si>
  <si>
    <t>1 - 468104</t>
  </si>
  <si>
    <t>18 - 714</t>
  </si>
  <si>
    <t>Last Record Time stamp</t>
    <phoneticPr fontId="4" type="noConversion"/>
  </si>
  <si>
    <t>note: max records of Data Log4 = 65536 / (number of register * 6 + 12) * sector number (fixed to 50 at present)</t>
  </si>
  <si>
    <t>Max of V1</t>
  </si>
  <si>
    <t>Time Stamp</t>
    <phoneticPr fontId="4" type="noConversion"/>
  </si>
  <si>
    <t>Max of V2</t>
  </si>
  <si>
    <t>Time Stamp</t>
  </si>
  <si>
    <t>Max of V3</t>
  </si>
  <si>
    <t>Max of V12</t>
  </si>
  <si>
    <t>Max of V23</t>
  </si>
  <si>
    <t>Max of V31</t>
  </si>
  <si>
    <t>Max of I1</t>
  </si>
  <si>
    <t>Max of I2</t>
  </si>
  <si>
    <t>Max of I3</t>
  </si>
  <si>
    <t>Max of System Power</t>
  </si>
  <si>
    <t>Max of Reactive Power</t>
  </si>
  <si>
    <t>Max of Apparent Power</t>
  </si>
  <si>
    <t>Max of Power Factor</t>
  </si>
  <si>
    <t>Max of Frequency</t>
  </si>
  <si>
    <t>Max of Power Demand</t>
  </si>
  <si>
    <t>Max of Reactive power demand</t>
  </si>
  <si>
    <t>Max of Apparent power demand</t>
  </si>
  <si>
    <t>Max of Voltage unbalance</t>
  </si>
  <si>
    <t>Max of Current unbalance</t>
  </si>
  <si>
    <t>Max of THD_V1(V12)</t>
  </si>
  <si>
    <t>Max of THD_V2(V31)</t>
  </si>
  <si>
    <t>Max of THD_V3(V23)</t>
  </si>
  <si>
    <t>Max of THD_I1</t>
  </si>
  <si>
    <t>Max of THD_I2</t>
  </si>
  <si>
    <t>Max of THD_I3</t>
  </si>
  <si>
    <t>Min of V1</t>
  </si>
  <si>
    <t>Min  of V2</t>
  </si>
  <si>
    <t>Min  of V3</t>
  </si>
  <si>
    <t>Min  of V12</t>
  </si>
  <si>
    <t>Min  of V23</t>
  </si>
  <si>
    <t>Min  of V31</t>
  </si>
  <si>
    <t>Min  of I1</t>
  </si>
  <si>
    <t>Min  of I2</t>
  </si>
  <si>
    <t>Min  of I3</t>
  </si>
  <si>
    <t>Min  of System Power</t>
  </si>
  <si>
    <t>Min  of Reactive Power</t>
  </si>
  <si>
    <t>Min of Apparent Power</t>
  </si>
  <si>
    <t>Min  of Power Factor</t>
  </si>
  <si>
    <t>Min of Frequency</t>
  </si>
  <si>
    <t>Min  of Power Demand</t>
  </si>
  <si>
    <t>Min of Reactive power demand</t>
  </si>
  <si>
    <t>Min of Apparent power demand</t>
  </si>
  <si>
    <t>Min of Voltage unbalance</t>
  </si>
  <si>
    <t>Min of Current unbalance</t>
  </si>
  <si>
    <t>Min of THD_V1(V12)</t>
  </si>
  <si>
    <t>Min of THD_V2(V31)</t>
  </si>
  <si>
    <t>Min of THD_V3(V23)</t>
  </si>
  <si>
    <t>Min of THD_I1</t>
  </si>
  <si>
    <t>Min of THD_I2</t>
  </si>
  <si>
    <t>Min of THD_I3</t>
  </si>
  <si>
    <t>Max of Phase A current demand</t>
  </si>
  <si>
    <t>Max of Phase B current demand</t>
  </si>
  <si>
    <t>Max of Phase C current demand</t>
  </si>
  <si>
    <t>Max of Phase A P</t>
  </si>
  <si>
    <t>Max of Phase B P</t>
  </si>
  <si>
    <t>Max of Phase C P</t>
  </si>
  <si>
    <t>Max of Phase N P</t>
  </si>
  <si>
    <t>Max of Phase A Q</t>
  </si>
  <si>
    <t>Max of Phase B Q</t>
  </si>
  <si>
    <t>Max of Phase C Q</t>
  </si>
  <si>
    <t>Max of Phase N Q</t>
  </si>
  <si>
    <t>Max of Phase A S</t>
  </si>
  <si>
    <t>Max of Phase B S</t>
  </si>
  <si>
    <t>Max of Phase C S</t>
  </si>
  <si>
    <t>Max of Phase N S</t>
  </si>
  <si>
    <t>Max of Phase A PF</t>
  </si>
  <si>
    <t>Max of Phase B PF</t>
  </si>
  <si>
    <t>Max of Phase C PF</t>
  </si>
  <si>
    <t>Max of Phase N PF</t>
  </si>
  <si>
    <t xml:space="preserve">Max of Phase A P demand </t>
  </si>
  <si>
    <t xml:space="preserve">Max of Phase B P Demand </t>
  </si>
  <si>
    <t xml:space="preserve">Max of Phase C P Demand </t>
  </si>
  <si>
    <t xml:space="preserve">Max of Phase N P Demand </t>
  </si>
  <si>
    <t xml:space="preserve">Max of Phase A Q demand </t>
  </si>
  <si>
    <t xml:space="preserve">Max of Phase B Q Demand </t>
  </si>
  <si>
    <t xml:space="preserve">Max of Phase C Q Demand </t>
  </si>
  <si>
    <t xml:space="preserve">Max of Phase N Q demand </t>
  </si>
  <si>
    <t xml:space="preserve">Max of Phase A S Demand </t>
  </si>
  <si>
    <t xml:space="preserve">Max of Phase B S Demand </t>
  </si>
  <si>
    <t xml:space="preserve">Max of Phase C S demand </t>
  </si>
  <si>
    <t xml:space="preserve">Max of Phase N S Demand </t>
  </si>
  <si>
    <t xml:space="preserve">Max of Phase N I Demand </t>
  </si>
  <si>
    <t>Max of Phase N I</t>
  </si>
  <si>
    <t>Max of Summation 2 P</t>
  </si>
  <si>
    <t>Max of Summation 2 Q</t>
  </si>
  <si>
    <t>Max of Summation 2 S</t>
  </si>
  <si>
    <t>Max of Summation 2 PF</t>
  </si>
  <si>
    <t xml:space="preserve">Max of Summation 2 P demand </t>
  </si>
  <si>
    <t xml:space="preserve">Max of Summation 2 Q Demand </t>
  </si>
  <si>
    <t xml:space="preserve">Max of Summation 2 S Demand </t>
  </si>
  <si>
    <t>Max of Summation 2 I</t>
  </si>
  <si>
    <t xml:space="preserve">Max of In THD </t>
  </si>
  <si>
    <t>Min of Phase A P</t>
  </si>
  <si>
    <t>Min of Phase B P</t>
  </si>
  <si>
    <t>Min of Phase C P</t>
  </si>
  <si>
    <t>Min of Phase N P</t>
  </si>
  <si>
    <t>Min of Phase A Q</t>
  </si>
  <si>
    <t>Min of Phase B Q</t>
  </si>
  <si>
    <t>Min of Phase C Q</t>
  </si>
  <si>
    <t>Min of Phase N Q</t>
  </si>
  <si>
    <t>Min of Phase A S</t>
  </si>
  <si>
    <t>Min of Phase B S</t>
  </si>
  <si>
    <t>Min of Phase C S</t>
  </si>
  <si>
    <t>Min of Phase N S</t>
  </si>
  <si>
    <t>Min of Phase A PF</t>
  </si>
  <si>
    <t>Min of Phase B PF</t>
  </si>
  <si>
    <t>Min of Phase C PF</t>
  </si>
  <si>
    <t>Min of Phase N PF</t>
  </si>
  <si>
    <t xml:space="preserve">Min of Phase A P demand </t>
  </si>
  <si>
    <t xml:space="preserve">Min of Phase B P Demand </t>
  </si>
  <si>
    <t xml:space="preserve">Min of Phase C P Demand </t>
  </si>
  <si>
    <t xml:space="preserve">Min of Phase N P demand </t>
  </si>
  <si>
    <t xml:space="preserve">Min of Phase A Q Demand </t>
  </si>
  <si>
    <t xml:space="preserve">Min of Phase B Q Demand </t>
  </si>
  <si>
    <t xml:space="preserve">Min of Phase C Q demand </t>
  </si>
  <si>
    <t xml:space="preserve">Min of Phase N Q Demand </t>
  </si>
  <si>
    <t xml:space="preserve">Min of Phase A S Demand </t>
  </si>
  <si>
    <t xml:space="preserve">Min of Phase B S demand </t>
  </si>
  <si>
    <t xml:space="preserve">Min of Phase C S Demand </t>
  </si>
  <si>
    <t xml:space="preserve">Min of Phase N S Demand </t>
  </si>
  <si>
    <t>Min of Phase N I</t>
  </si>
  <si>
    <t>Min of Summation 2 P</t>
  </si>
  <si>
    <t>Min of Summation 2 Q</t>
  </si>
  <si>
    <t>Min of Summation 2 S</t>
  </si>
  <si>
    <t>Min of Summation 2 PF</t>
  </si>
  <si>
    <t xml:space="preserve">Min of Summation 2 P demand </t>
  </si>
  <si>
    <t xml:space="preserve">Min of Summation 2 Q Demand </t>
  </si>
  <si>
    <t xml:space="preserve">Min of Summation 2 S Demand </t>
  </si>
  <si>
    <t>Min of Summation 2 I</t>
  </si>
  <si>
    <t xml:space="preserve">Min of In THD </t>
  </si>
  <si>
    <t>RO11-1</t>
  </si>
  <si>
    <t>RO11-2</t>
  </si>
  <si>
    <t>RO31-1</t>
  </si>
  <si>
    <t>RO31-2</t>
  </si>
  <si>
    <t>RO12-1</t>
  </si>
  <si>
    <t>RO12-2</t>
  </si>
  <si>
    <t>RO32-1</t>
  </si>
  <si>
    <t>RO32-2</t>
  </si>
  <si>
    <t>RO_T-1</t>
  </si>
  <si>
    <t>RO_T-2</t>
  </si>
  <si>
    <t>Alarm Log</t>
    <phoneticPr fontId="4" type="noConversion"/>
  </si>
  <si>
    <t>Alarm Log 1: Alarming Status</t>
    <phoneticPr fontId="4" type="noConversion"/>
  </si>
  <si>
    <t>High Byte: Alarm ID
Low Byte Bit0: Alarm Status; 1: On         0: Off
Low Byte Bit1: if "AND" enabled</t>
    <phoneticPr fontId="4" type="noConversion"/>
  </si>
  <si>
    <t>Alarm Log 1: Alarming parameter code</t>
    <phoneticPr fontId="4" type="noConversion"/>
  </si>
  <si>
    <t>0~79</t>
  </si>
  <si>
    <t>Alarm Log 1: over/under limit value</t>
    <phoneticPr fontId="4" type="noConversion"/>
  </si>
  <si>
    <t>Related to parameter chosen</t>
  </si>
  <si>
    <t>Alarm Log 1: timestamp: year</t>
  </si>
  <si>
    <t>Alarm Log 1: timestamp: month</t>
  </si>
  <si>
    <t>Alarm Log 1: timestamp: day</t>
  </si>
  <si>
    <t>Alarm Log 1: timestamp: hour</t>
  </si>
  <si>
    <t>Alarm Log 1: timestamp: minute</t>
  </si>
  <si>
    <t>Alarm Log 1: timestamp: second</t>
  </si>
  <si>
    <t>Alarm Log 1: timestamp: ms</t>
  </si>
  <si>
    <t>Alarm Log 2</t>
    <phoneticPr fontId="4" type="noConversion"/>
  </si>
  <si>
    <t>Alarm Log 3</t>
  </si>
  <si>
    <t>Alarm Log 4</t>
  </si>
  <si>
    <t>Alarm Log 5</t>
  </si>
  <si>
    <t>Alarm Log 6</t>
  </si>
  <si>
    <t>Alarm Log 7</t>
  </si>
  <si>
    <t>Alarm Log 8</t>
  </si>
  <si>
    <t>Alarm Log 9</t>
  </si>
  <si>
    <t>Alarm Log 10</t>
  </si>
  <si>
    <t>Alarm Log 11</t>
  </si>
  <si>
    <t>Alarm Log 12</t>
  </si>
  <si>
    <t>Alarm Log 13</t>
  </si>
  <si>
    <t>Alarm Log 14</t>
  </si>
  <si>
    <t>Alarm Log 15</t>
  </si>
  <si>
    <t>Alarm Log 16</t>
  </si>
  <si>
    <t>DI1 pulse count</t>
  </si>
  <si>
    <t>DI2 pulse count</t>
  </si>
  <si>
    <t>DI3 pulse count</t>
  </si>
  <si>
    <t>DI4 pulse count</t>
  </si>
  <si>
    <t>DI5 pulse count</t>
  </si>
  <si>
    <t>DI6 pulse count</t>
  </si>
  <si>
    <t>DI7 pulse count</t>
  </si>
  <si>
    <t>DI8 pulse count</t>
  </si>
  <si>
    <t>DI9 pulse count</t>
  </si>
  <si>
    <t>DI10 pulse count</t>
  </si>
  <si>
    <t>DI11 pulse count</t>
  </si>
  <si>
    <t>DI12 pulse count</t>
  </si>
  <si>
    <t>DI13 pulse count</t>
  </si>
  <si>
    <t>DI14 pulse count</t>
  </si>
  <si>
    <t>DI15 pulse count</t>
  </si>
  <si>
    <t>DI16 pulse count</t>
  </si>
  <si>
    <t>DI17 pulse count</t>
  </si>
  <si>
    <t>DI18 pulse count</t>
  </si>
  <si>
    <t>DI19 pulse count</t>
  </si>
  <si>
    <t>DI20 pulse count</t>
  </si>
  <si>
    <t>DI21 pulse count</t>
  </si>
  <si>
    <t>DI22 pulse count</t>
  </si>
  <si>
    <t>DI23 pulse count</t>
  </si>
  <si>
    <t>DI24 pulse count</t>
  </si>
  <si>
    <t>DI25 pulse count</t>
  </si>
  <si>
    <t>DI26 pulse count</t>
  </si>
  <si>
    <t>DI27 pulse count</t>
  </si>
  <si>
    <t>DI28 pulse count</t>
  </si>
  <si>
    <t>AO/AI analogic value</t>
    <phoneticPr fontId="4" type="noConversion"/>
  </si>
  <si>
    <t>AO1 output value</t>
  </si>
  <si>
    <t>AO2 output value</t>
  </si>
  <si>
    <t>AO3 output value</t>
  </si>
  <si>
    <t>AO4 output value</t>
  </si>
  <si>
    <t>AI1 sample value</t>
  </si>
  <si>
    <t>AI2 sample value</t>
  </si>
  <si>
    <t>AI3 sample value</t>
  </si>
  <si>
    <t>AI4 sample value</t>
  </si>
  <si>
    <t>AO/AI real value</t>
    <phoneticPr fontId="4" type="noConversion"/>
  </si>
  <si>
    <t>AO1 value</t>
  </si>
  <si>
    <t>AO2 value</t>
  </si>
  <si>
    <t>AO3 value</t>
  </si>
  <si>
    <t>AO4 value</t>
  </si>
  <si>
    <t>AI1 value</t>
  </si>
  <si>
    <t>AI2 value</t>
  </si>
  <si>
    <t>AI3 value</t>
  </si>
  <si>
    <t>AI4 value</t>
  </si>
  <si>
    <t>SOE Log</t>
    <phoneticPr fontId="4" type="noConversion"/>
  </si>
  <si>
    <t>SOE Log 1 timestamp - year</t>
    <phoneticPr fontId="4" type="noConversion"/>
  </si>
  <si>
    <t>SOE Log 1 timestamp - month</t>
  </si>
  <si>
    <t>SOE Log 1 timestamp - day</t>
  </si>
  <si>
    <t>SOE Log 1 timestamp - hour</t>
  </si>
  <si>
    <t>SOE Log 1 timestamp - minute</t>
  </si>
  <si>
    <t>SOE Log 1 timestamp - second</t>
  </si>
  <si>
    <t>SOE Log 1 timestamp - ms</t>
    <phoneticPr fontId="4" type="noConversion"/>
  </si>
  <si>
    <t>SOE Log 1 status</t>
    <phoneticPr fontId="4" type="noConversion"/>
  </si>
  <si>
    <t>SOE Log 2</t>
    <phoneticPr fontId="4" type="noConversion"/>
  </si>
  <si>
    <t>SOE Log 3</t>
  </si>
  <si>
    <t>SOE Log 4</t>
  </si>
  <si>
    <t>SOE Log 5</t>
  </si>
  <si>
    <t>SOE Log 6</t>
  </si>
  <si>
    <t>SOE Log 7</t>
  </si>
  <si>
    <t>SOE Log 8</t>
  </si>
  <si>
    <t>SOE Log 9</t>
  </si>
  <si>
    <t>SOE Log 10</t>
  </si>
  <si>
    <t>SOE Log 11</t>
  </si>
  <si>
    <t>SOE Log 12</t>
  </si>
  <si>
    <t>SOE Log 13</t>
  </si>
  <si>
    <t>SOE Log 14</t>
  </si>
  <si>
    <t>SOE Log 15</t>
  </si>
  <si>
    <t>SOE Log 16</t>
  </si>
  <si>
    <t>SOE Log 17</t>
  </si>
  <si>
    <t>SOE Log 18</t>
  </si>
  <si>
    <t>SOE Log 19</t>
  </si>
  <si>
    <t>SOE Log 20</t>
  </si>
  <si>
    <t>SOE record from IO module number</t>
    <phoneticPr fontId="4" type="noConversion"/>
  </si>
  <si>
    <t>Waveform record parameter setup</t>
  </si>
  <si>
    <t>Manually Trigger</t>
  </si>
  <si>
    <t>Write 0x00AA to trigger</t>
    <phoneticPr fontId="4" type="noConversion"/>
  </si>
  <si>
    <t>DI Trigger-AXM-IO11</t>
  </si>
  <si>
    <t>DI Trigger-AXM-IO21</t>
  </si>
  <si>
    <t>DI Trigger-AXM-IO31</t>
  </si>
  <si>
    <t>Voltage Rated Value</t>
  </si>
  <si>
    <t xml:space="preserve">word </t>
  </si>
  <si>
    <t>Voltage Sag Trigger</t>
  </si>
  <si>
    <t>Voltage Sag Threshold</t>
  </si>
  <si>
    <t>Voltage Sag Half cycle</t>
  </si>
  <si>
    <t>Voltage Swell Trigger</t>
  </si>
  <si>
    <t>Voltage Swell Threshold</t>
  </si>
  <si>
    <t>Current Rated Value</t>
  </si>
  <si>
    <t>Over-Current Trigger</t>
  </si>
  <si>
    <t>Over-Current Threshold</t>
  </si>
  <si>
    <t>Waveform Clear</t>
  </si>
  <si>
    <t>Power Quality Event clear</t>
  </si>
  <si>
    <t>Energy quality event, waveform record event
 - switch to output D01</t>
  </si>
  <si>
    <t>0: No alarm output
Bit0: Energy quality event-Voltage Sag
Bit1: Energy quality event-Voltage Swell
Bit2: waveform record event-Voltage Sag
Bit3waveform record event-Voltage Swell
Bit4: waveform record event-Over Current</t>
  </si>
  <si>
    <t>Energy quality event, waveform record event
 - switch to output D02</t>
  </si>
  <si>
    <t>Energy quality event, waveform record event
 - switch to output D03</t>
  </si>
  <si>
    <t>Energy quality event, waveform record event
 - switch to output D04</t>
  </si>
  <si>
    <t>Energy quality event-Voltage Sag 
output to RO</t>
  </si>
  <si>
    <t>0: No output
Bit0: Output to relay 1
.
.
Bit7: Output to relay 8</t>
  </si>
  <si>
    <t>Energy quality event-Voltage Swell 
output to RO</t>
  </si>
  <si>
    <t>waveform record event-Voltage Sag 
output to RO</t>
  </si>
  <si>
    <t>waveform record event-Voltage Swell 
output to RO</t>
  </si>
  <si>
    <t>waveform record event-Over-current 
output to RO</t>
  </si>
  <si>
    <t>Event Record Reading Area</t>
  </si>
  <si>
    <t>Latest event record group number</t>
  </si>
  <si>
    <t>Read event record first group number</t>
  </si>
  <si>
    <t>Item number of every reading</t>
  </si>
  <si>
    <t>Time stamp: high byte-year,low byte-month</t>
  </si>
  <si>
    <t>Time stamp: high byte-day,low byte-hour</t>
  </si>
  <si>
    <t>Time stamp: high byte-minute,low byte-second</t>
  </si>
  <si>
    <t>Time stamp: ms</t>
  </si>
  <si>
    <t>Voltage sag or voltage swell --- event record</t>
  </si>
  <si>
    <t>Rated value</t>
  </si>
  <si>
    <t>Set value</t>
  </si>
  <si>
    <t>Half cycle count</t>
  </si>
  <si>
    <t>2nd event record</t>
  </si>
  <si>
    <t>3rd event record</t>
  </si>
  <si>
    <t>4th event record</t>
  </si>
  <si>
    <t>5th event record</t>
  </si>
  <si>
    <t>6th event record</t>
  </si>
  <si>
    <t>7th event record</t>
  </si>
  <si>
    <t>8th event record</t>
  </si>
  <si>
    <t>9th event record</t>
  </si>
  <si>
    <t>10th event record</t>
  </si>
  <si>
    <r>
      <t>Event Record Reading</t>
    </r>
    <r>
      <rPr>
        <b/>
        <sz val="10"/>
        <rFont val="宋体"/>
        <family val="3"/>
        <charset val="134"/>
      </rPr>
      <t>（</t>
    </r>
    <r>
      <rPr>
        <b/>
        <sz val="10"/>
        <rFont val="Arial"/>
        <family val="2"/>
      </rPr>
      <t>Hardware V2.0</t>
    </r>
    <r>
      <rPr>
        <b/>
        <sz val="10"/>
        <rFont val="宋体"/>
        <family val="3"/>
        <charset val="134"/>
      </rPr>
      <t>）</t>
    </r>
  </si>
  <si>
    <t>Group number of reading waveform</t>
  </si>
  <si>
    <t>Data number of each record</t>
  </si>
  <si>
    <t>Data state of waveform record window</t>
  </si>
  <si>
    <t>Latest waveform record groupe number</t>
  </si>
  <si>
    <t>Waveform record data reading window</t>
  </si>
  <si>
    <r>
      <t>Event Record Reading</t>
    </r>
    <r>
      <rPr>
        <b/>
        <sz val="10"/>
        <color theme="1"/>
        <rFont val="宋体"/>
        <family val="2"/>
        <charset val="134"/>
      </rPr>
      <t>（</t>
    </r>
    <r>
      <rPr>
        <b/>
        <sz val="10"/>
        <color theme="1"/>
        <rFont val="Arial"/>
        <family val="2"/>
      </rPr>
      <t>Hardware V4.0</t>
    </r>
    <r>
      <rPr>
        <b/>
        <sz val="10"/>
        <color theme="1"/>
        <rFont val="宋体"/>
        <family val="2"/>
        <charset val="134"/>
      </rPr>
      <t>）</t>
    </r>
  </si>
  <si>
    <t>Data Format</t>
  </si>
  <si>
    <t>1 - 100 or 1 - 200</t>
  </si>
  <si>
    <t>For detail see function description</t>
  </si>
  <si>
    <r>
      <t>0xBH: window data effective;
0xFF: window data not effective;
0xAA: waveform record content under clearing</t>
    </r>
    <r>
      <rPr>
        <sz val="10"/>
        <rFont val="华文细黑"/>
        <family val="3"/>
        <charset val="134"/>
      </rPr>
      <t>。</t>
    </r>
  </si>
  <si>
    <r>
      <t>1 - 100 or 1 - 200;0: no waveform record data</t>
    </r>
    <r>
      <rPr>
        <sz val="10"/>
        <rFont val="华文细黑"/>
        <family val="3"/>
        <charset val="134"/>
      </rPr>
      <t>。</t>
    </r>
  </si>
  <si>
    <t>-32768 ~ 32767</t>
  </si>
  <si>
    <t>In the case of 64-point recording: 
0: Read-only waveform record reason mode;
1: Time and reason of waveform recording;
2 - 11: The first ten cycles of UA waveform data;
12 - 21: The first ten cycles of UB waveform data;
22 - 31: The first ten cycles of UC waveform data;
32 - 41: The first ten cycles of IA waveform data;
42 - 51: The first ten cycles of IB waveform data;
52 - 61: The first ten cycles of IC waveform data;
62 - 71: ten cycles after the UA waveform data;
72 - 81: Ten cycles after UB waveform data;
82 - 91: ten cycles after UC waveform data;
92 - 101: ten cycles after the IA waveform data;
102 - 111: ten cycles after IB waveform data;
112 - 121: ten cycles after IC waveform data;</t>
  </si>
  <si>
    <t>In the case of 128-point recording and broadcasting,
0: Read-only waveform record reason mode;
1: Time and reason of waveform recording;
2 - 21: The first ten cycles of UA waveform data;
22 - 41: The first ten cycles of UB waveform data;
42 - 61: The first ten cycles of UC waveform data;
62 - 81: The first ten cycles of IA waveform data;
82 - 101: The first ten cycles of IB waveform data;
102 - 121: The first ten cycles of IC waveform data;
122 - 141: ten cycles after UA waveform data;
142 - 161: Ten cycles after UB waveform data;
162 - 181: ten cycles after UC waveform data;
182 - 201: ten cycles after the IA waveform data;
202 - 221: ten cycles after IB waveform data;
222 - 241: ten cycles after IC waveform data;</t>
    <phoneticPr fontId="4" type="noConversion"/>
  </si>
  <si>
    <t>Read window data arRangement when data number = 1</t>
  </si>
  <si>
    <t>Frequency (Accuracy)</t>
  </si>
  <si>
    <t>Voltage/Bit</t>
    <phoneticPr fontId="2" type="noConversion"/>
  </si>
  <si>
    <t>Current/Bit</t>
    <phoneticPr fontId="2" type="noConversion"/>
  </si>
  <si>
    <t>Waveform time</t>
  </si>
  <si>
    <r>
      <t>In sequence as year, month, day, hour,minute, second, ms</t>
    </r>
    <r>
      <rPr>
        <sz val="10"/>
        <rFont val="华文细黑"/>
        <family val="3"/>
        <charset val="134"/>
      </rPr>
      <t>。</t>
    </r>
  </si>
  <si>
    <t>Waveform cause</t>
  </si>
  <si>
    <t>For future</t>
  </si>
  <si>
    <t>Note</t>
  </si>
  <si>
    <t>TOU factory default settings</t>
    <phoneticPr fontId="4" type="noConversion"/>
  </si>
  <si>
    <t>0x6A command for writing</t>
    <phoneticPr fontId="4" type="noConversion"/>
  </si>
  <si>
    <t>Clear factory value of multiple rates time zone</t>
    <phoneticPr fontId="4" type="noConversion"/>
  </si>
  <si>
    <t>Send 0xAA to clear</t>
  </si>
  <si>
    <t>Note: Before setting factory value of multiple rates time zone, this command is needed</t>
  </si>
  <si>
    <t>Not effective</t>
  </si>
  <si>
    <t>Year time zone number</t>
  </si>
  <si>
    <t>day time section record number</t>
  </si>
  <si>
    <t>day time section number</t>
  </si>
  <si>
    <t>Tarif number</t>
  </si>
  <si>
    <r>
      <t>Week off</t>
    </r>
    <r>
      <rPr>
        <sz val="10"/>
        <rFont val="华文细黑"/>
        <family val="3"/>
        <charset val="134"/>
      </rPr>
      <t>（</t>
    </r>
    <r>
      <rPr>
        <sz val="10"/>
        <rFont val="Arial"/>
        <family val="2"/>
      </rPr>
      <t>0: no week off day;1: Sunday;2: Saturday;3: Sunday, Saturday</t>
    </r>
    <r>
      <rPr>
        <sz val="10"/>
        <rFont val="华文细黑"/>
        <family val="3"/>
        <charset val="134"/>
      </rPr>
      <t>）</t>
    </r>
  </si>
  <si>
    <t>Week off time section</t>
  </si>
  <si>
    <t>Special day number</t>
  </si>
  <si>
    <t>Enable TOU</t>
  </si>
  <si>
    <t>Enable TOU time setup restoring to factory value</t>
  </si>
  <si>
    <r>
      <t>Tou month settlement model 0: nature weekend</t>
    </r>
    <r>
      <rPr>
        <sz val="10"/>
        <rFont val="华文细黑"/>
        <family val="3"/>
        <charset val="134"/>
      </rPr>
      <t>）</t>
    </r>
    <phoneticPr fontId="4" type="noConversion"/>
  </si>
  <si>
    <r>
      <t xml:space="preserve">Tou month settlement time: day </t>
    </r>
    <r>
      <rPr>
        <sz val="10"/>
        <rFont val="华文细黑"/>
        <family val="3"/>
        <charset val="134"/>
      </rPr>
      <t>（</t>
    </r>
    <r>
      <rPr>
        <sz val="10"/>
        <rFont val="Arial"/>
        <family val="2"/>
      </rPr>
      <t>default: 1</t>
    </r>
    <r>
      <rPr>
        <sz val="10"/>
        <rFont val="华文细黑"/>
        <family val="3"/>
        <charset val="134"/>
      </rPr>
      <t>）</t>
    </r>
  </si>
  <si>
    <r>
      <t xml:space="preserve">Tou month settlement time: hour </t>
    </r>
    <r>
      <rPr>
        <sz val="10"/>
        <rFont val="华文细黑"/>
        <family val="3"/>
        <charset val="134"/>
      </rPr>
      <t>（</t>
    </r>
    <r>
      <rPr>
        <sz val="10"/>
        <rFont val="Arial"/>
        <family val="2"/>
      </rPr>
      <t>default: 0</t>
    </r>
    <r>
      <rPr>
        <sz val="10"/>
        <rFont val="华文细黑"/>
        <family val="3"/>
        <charset val="134"/>
      </rPr>
      <t>）</t>
    </r>
  </si>
  <si>
    <r>
      <t xml:space="preserve">Tou month settlement time: minute </t>
    </r>
    <r>
      <rPr>
        <sz val="10"/>
        <rFont val="华文细黑"/>
        <family val="3"/>
        <charset val="134"/>
      </rPr>
      <t>（</t>
    </r>
    <r>
      <rPr>
        <sz val="10"/>
        <rFont val="Arial"/>
        <family val="2"/>
      </rPr>
      <t>default: 0</t>
    </r>
    <r>
      <rPr>
        <sz val="10"/>
        <rFont val="华文细黑"/>
        <family val="3"/>
        <charset val="134"/>
      </rPr>
      <t>）</t>
    </r>
  </si>
  <si>
    <r>
      <t xml:space="preserve">Tou month settlement time: second </t>
    </r>
    <r>
      <rPr>
        <sz val="10"/>
        <rFont val="华文细黑"/>
        <family val="3"/>
        <charset val="134"/>
      </rPr>
      <t>（</t>
    </r>
    <r>
      <rPr>
        <sz val="10"/>
        <rFont val="Arial"/>
        <family val="2"/>
      </rPr>
      <t>default: 0</t>
    </r>
    <r>
      <rPr>
        <sz val="10"/>
        <rFont val="华文细黑"/>
        <family val="3"/>
        <charset val="134"/>
      </rPr>
      <t>）</t>
    </r>
  </si>
  <si>
    <r>
      <t>Fault state word</t>
    </r>
    <r>
      <rPr>
        <sz val="10"/>
        <rFont val="华文细黑"/>
        <family val="3"/>
        <charset val="134"/>
      </rPr>
      <t>（</t>
    </r>
    <r>
      <rPr>
        <sz val="10"/>
        <rFont val="Arial"/>
        <family val="2"/>
      </rPr>
      <t>default</t>
    </r>
    <r>
      <rPr>
        <sz val="10"/>
        <rFont val="华文细黑"/>
        <family val="3"/>
        <charset val="134"/>
      </rPr>
      <t>）</t>
    </r>
  </si>
  <si>
    <t>1st time zone beginning date and day section record number(month, day, hour section number)</t>
  </si>
  <si>
    <t>2nd time zone beginning date and day section record number(month, day, hour section number)</t>
  </si>
  <si>
    <t>3rd time zone beginning date and day section record number(month, day, hour section number)</t>
  </si>
  <si>
    <t>4th time zone beginning date and day section record number(month, day, hour section number)</t>
  </si>
  <si>
    <t>5th time zone beginning date and day section record number(month, day, hour section number)</t>
  </si>
  <si>
    <t>6th time zone beginning date and day section record number(month, day, hour section number)</t>
  </si>
  <si>
    <t>7th time zone beginning date and day section record number(month, day, hour section number)</t>
  </si>
  <si>
    <t>8th time zone beginning date and day section record number(month, day, hour section number)</t>
  </si>
  <si>
    <t>9th time zone beginning date and day section record number(month, day, hour section number)</t>
  </si>
  <si>
    <t>10th time zone beginning date and day section record number(month, day, hour section number)</t>
  </si>
  <si>
    <t>11th time zone beginning date and day section record number(month, day, hour section number)</t>
  </si>
  <si>
    <t>12th time zone beginning date and day section record number(month, day, hour section number)</t>
  </si>
  <si>
    <r>
      <t>1st day time section, 1st time section begin time and tariff number(hour,minute,tariff</t>
    </r>
    <r>
      <rPr>
        <sz val="10"/>
        <rFont val="华文细黑"/>
        <family val="3"/>
        <charset val="134"/>
      </rPr>
      <t>）</t>
    </r>
  </si>
  <si>
    <r>
      <t>1st day time section, 2nd time section begin time and tariff number(hour,minute,tariff</t>
    </r>
    <r>
      <rPr>
        <sz val="10"/>
        <rFont val="华文细黑"/>
        <family val="3"/>
        <charset val="134"/>
      </rPr>
      <t>）</t>
    </r>
  </si>
  <si>
    <r>
      <t>1st day time section, 3rd time section begin time and tariff number(hour,minute,tariff</t>
    </r>
    <r>
      <rPr>
        <sz val="10"/>
        <rFont val="华文细黑"/>
        <family val="3"/>
        <charset val="134"/>
      </rPr>
      <t>）</t>
    </r>
  </si>
  <si>
    <r>
      <t>1st day time section, 4th time section begin time and tariff number(hour,minute,tariff</t>
    </r>
    <r>
      <rPr>
        <sz val="10"/>
        <rFont val="华文细黑"/>
        <family val="3"/>
        <charset val="134"/>
      </rPr>
      <t>）</t>
    </r>
  </si>
  <si>
    <r>
      <t>1st day time section, 5th time section begin time and tariff number(hour,minute,tariff</t>
    </r>
    <r>
      <rPr>
        <sz val="10"/>
        <rFont val="华文细黑"/>
        <family val="3"/>
        <charset val="134"/>
      </rPr>
      <t>）</t>
    </r>
  </si>
  <si>
    <r>
      <t>1st day time section, 6th time section begin time and tariff number(hour,minute,tariff</t>
    </r>
    <r>
      <rPr>
        <sz val="10"/>
        <rFont val="华文细黑"/>
        <family val="3"/>
        <charset val="134"/>
      </rPr>
      <t>）</t>
    </r>
  </si>
  <si>
    <r>
      <t>1st day time section, 7th time section begin time and tariff number(hour,minute,tariff</t>
    </r>
    <r>
      <rPr>
        <sz val="10"/>
        <rFont val="华文细黑"/>
        <family val="3"/>
        <charset val="134"/>
      </rPr>
      <t>）</t>
    </r>
  </si>
  <si>
    <r>
      <t>1st day time section, 8th time section begin time and tariff number(hour,minute,tariff</t>
    </r>
    <r>
      <rPr>
        <sz val="10"/>
        <rFont val="华文细黑"/>
        <family val="3"/>
        <charset val="134"/>
      </rPr>
      <t>）</t>
    </r>
  </si>
  <si>
    <r>
      <t>1st day time section, 9th time section begin time and tariff number(hour,minute,tariff</t>
    </r>
    <r>
      <rPr>
        <sz val="10"/>
        <rFont val="华文细黑"/>
        <family val="3"/>
        <charset val="134"/>
      </rPr>
      <t>）</t>
    </r>
  </si>
  <si>
    <r>
      <t>1st day time section, 10th time section begin time and tariff number(hour,minute,tariff</t>
    </r>
    <r>
      <rPr>
        <sz val="10"/>
        <rFont val="华文细黑"/>
        <family val="3"/>
        <charset val="134"/>
      </rPr>
      <t>）</t>
    </r>
  </si>
  <si>
    <r>
      <t>1st day time section, 11th time section begin time and tariff number(hour,minute,tariff</t>
    </r>
    <r>
      <rPr>
        <sz val="10"/>
        <rFont val="华文细黑"/>
        <family val="3"/>
        <charset val="134"/>
      </rPr>
      <t>）</t>
    </r>
  </si>
  <si>
    <r>
      <t>1st day time section, 12th time section begin time and tariff number(hour,minute,tariff</t>
    </r>
    <r>
      <rPr>
        <sz val="10"/>
        <rFont val="华文细黑"/>
        <family val="3"/>
        <charset val="134"/>
      </rPr>
      <t>）</t>
    </r>
  </si>
  <si>
    <r>
      <t>1st day time section, 13th time section begin time and tariff number(hour,minute,tariff</t>
    </r>
    <r>
      <rPr>
        <sz val="10"/>
        <rFont val="华文细黑"/>
        <family val="3"/>
        <charset val="134"/>
      </rPr>
      <t>）</t>
    </r>
  </si>
  <si>
    <r>
      <t>1st day time section, 14th time section begin time and tariff number(hour,minute,tariff</t>
    </r>
    <r>
      <rPr>
        <sz val="10"/>
        <rFont val="华文细黑"/>
        <family val="3"/>
        <charset val="134"/>
      </rPr>
      <t>）</t>
    </r>
  </si>
  <si>
    <r>
      <t>2nd day time section, 1st -14th time section begin time and tariff number(hour,minute,tariff</t>
    </r>
    <r>
      <rPr>
        <sz val="10"/>
        <rFont val="华文细黑"/>
        <family val="3"/>
        <charset val="134"/>
      </rPr>
      <t>）</t>
    </r>
  </si>
  <si>
    <r>
      <t>3rd day time section, 1st -14th time section begin time and tariff number(hour,minute,tariff</t>
    </r>
    <r>
      <rPr>
        <sz val="10"/>
        <rFont val="华文细黑"/>
        <family val="3"/>
        <charset val="134"/>
      </rPr>
      <t>）</t>
    </r>
  </si>
  <si>
    <r>
      <t>4th day time section, 1st -14th time section begin time and tariff number(hour,minute,tariff</t>
    </r>
    <r>
      <rPr>
        <sz val="10"/>
        <rFont val="华文细黑"/>
        <family val="3"/>
        <charset val="134"/>
      </rPr>
      <t>）</t>
    </r>
  </si>
  <si>
    <r>
      <t>5th day time section, 1st -14th time section begin time and tariff number(hour,minute,tariff</t>
    </r>
    <r>
      <rPr>
        <sz val="10"/>
        <rFont val="华文细黑"/>
        <family val="3"/>
        <charset val="134"/>
      </rPr>
      <t>）</t>
    </r>
  </si>
  <si>
    <r>
      <t>6th day time section, 1st -14th time section begin time and tariff number(hour,minute,tariff</t>
    </r>
    <r>
      <rPr>
        <sz val="10"/>
        <rFont val="华文细黑"/>
        <family val="3"/>
        <charset val="134"/>
      </rPr>
      <t>）</t>
    </r>
  </si>
  <si>
    <r>
      <t>7th day time section, 1st -14th time section begin time and tariff number(hour,minute,tariff</t>
    </r>
    <r>
      <rPr>
        <sz val="10"/>
        <rFont val="华文细黑"/>
        <family val="3"/>
        <charset val="134"/>
      </rPr>
      <t>）</t>
    </r>
  </si>
  <si>
    <r>
      <t>8th day time section, 1st -14th time section begin time and tariff number(hour,minute,tariff</t>
    </r>
    <r>
      <rPr>
        <sz val="10"/>
        <rFont val="华文细黑"/>
        <family val="3"/>
        <charset val="134"/>
      </rPr>
      <t>）</t>
    </r>
  </si>
  <si>
    <r>
      <t>9th day time section, 1st -14th time section begin time and tariff number(hour,minute,tariff</t>
    </r>
    <r>
      <rPr>
        <sz val="10"/>
        <rFont val="华文细黑"/>
        <family val="3"/>
        <charset val="134"/>
      </rPr>
      <t>）</t>
    </r>
  </si>
  <si>
    <r>
      <t>10th day time section, 1st -14th time section begin time and tariff number(hour,minute,tariff</t>
    </r>
    <r>
      <rPr>
        <sz val="10"/>
        <rFont val="华文细黑"/>
        <family val="3"/>
        <charset val="134"/>
      </rPr>
      <t>）</t>
    </r>
  </si>
  <si>
    <r>
      <t>11th day time section, 1st -14th time section begin time and tariff number(hour,minute,tariff</t>
    </r>
    <r>
      <rPr>
        <sz val="10"/>
        <rFont val="华文细黑"/>
        <family val="3"/>
        <charset val="134"/>
      </rPr>
      <t>）</t>
    </r>
  </si>
  <si>
    <r>
      <t>12th day time section, 1st -14th time section begin time and tariff number(hour,minute,tariff</t>
    </r>
    <r>
      <rPr>
        <sz val="10"/>
        <rFont val="华文细黑"/>
        <family val="3"/>
        <charset val="134"/>
      </rPr>
      <t>）</t>
    </r>
  </si>
  <si>
    <r>
      <t>13th day time section, 1st -14th time section begin time and tariff number(hour,minute,tariff</t>
    </r>
    <r>
      <rPr>
        <sz val="10"/>
        <rFont val="华文细黑"/>
        <family val="3"/>
        <charset val="134"/>
      </rPr>
      <t>）</t>
    </r>
  </si>
  <si>
    <r>
      <t>14th day time section, 1st -14th time section begin time and tariff number(hour,minute,tariff</t>
    </r>
    <r>
      <rPr>
        <sz val="10"/>
        <rFont val="华文细黑"/>
        <family val="3"/>
        <charset val="134"/>
      </rPr>
      <t>）</t>
    </r>
  </si>
  <si>
    <r>
      <t>1st special date and its time section number(month, day, time section number</t>
    </r>
    <r>
      <rPr>
        <sz val="10"/>
        <rFont val="华文细黑"/>
        <family val="3"/>
        <charset val="134"/>
      </rPr>
      <t>）</t>
    </r>
  </si>
  <si>
    <r>
      <t>2nd special date and its time section number(month, day, time section number</t>
    </r>
    <r>
      <rPr>
        <sz val="10"/>
        <rFont val="华文细黑"/>
        <family val="3"/>
        <charset val="134"/>
      </rPr>
      <t>）</t>
    </r>
  </si>
  <si>
    <r>
      <t>3rd special date and its time section number(month, day, time section number</t>
    </r>
    <r>
      <rPr>
        <sz val="10"/>
        <rFont val="华文细黑"/>
        <family val="3"/>
        <charset val="134"/>
      </rPr>
      <t>）</t>
    </r>
  </si>
  <si>
    <r>
      <t>4th special date and its time section number(month, day, time section number</t>
    </r>
    <r>
      <rPr>
        <sz val="10"/>
        <rFont val="华文细黑"/>
        <family val="3"/>
        <charset val="134"/>
      </rPr>
      <t>）</t>
    </r>
  </si>
  <si>
    <r>
      <t>5th special date and its time section number(month, day, time section number</t>
    </r>
    <r>
      <rPr>
        <sz val="10"/>
        <rFont val="华文细黑"/>
        <family val="3"/>
        <charset val="134"/>
      </rPr>
      <t>）</t>
    </r>
  </si>
  <si>
    <r>
      <t>6th special date and its time section number(month, day, time section number</t>
    </r>
    <r>
      <rPr>
        <sz val="10"/>
        <rFont val="华文细黑"/>
        <family val="3"/>
        <charset val="134"/>
      </rPr>
      <t>）</t>
    </r>
  </si>
  <si>
    <r>
      <t>7th special date and its time section number(month, day, time section number</t>
    </r>
    <r>
      <rPr>
        <sz val="10"/>
        <rFont val="华文细黑"/>
        <family val="3"/>
        <charset val="134"/>
      </rPr>
      <t>）</t>
    </r>
  </si>
  <si>
    <r>
      <t>8th special date and its time section number(month, day, time section number</t>
    </r>
    <r>
      <rPr>
        <sz val="10"/>
        <rFont val="华文细黑"/>
        <family val="3"/>
        <charset val="134"/>
      </rPr>
      <t>）</t>
    </r>
  </si>
  <si>
    <r>
      <t>9th special date and its time section number(month, day, time section number</t>
    </r>
    <r>
      <rPr>
        <sz val="10"/>
        <rFont val="华文细黑"/>
        <family val="3"/>
        <charset val="134"/>
      </rPr>
      <t>）</t>
    </r>
  </si>
  <si>
    <r>
      <t>10th special date and its time section number(month, day, time section number</t>
    </r>
    <r>
      <rPr>
        <sz val="10"/>
        <rFont val="华文细黑"/>
        <family val="3"/>
        <charset val="134"/>
      </rPr>
      <t>）</t>
    </r>
  </si>
  <si>
    <r>
      <t>11th special date and its time section number(month, day, time section number</t>
    </r>
    <r>
      <rPr>
        <sz val="10"/>
        <rFont val="华文细黑"/>
        <family val="3"/>
        <charset val="134"/>
      </rPr>
      <t>）</t>
    </r>
  </si>
  <si>
    <r>
      <t>12th special date and its time section number(month, day, time section number</t>
    </r>
    <r>
      <rPr>
        <sz val="10"/>
        <rFont val="华文细黑"/>
        <family val="3"/>
        <charset val="134"/>
      </rPr>
      <t>）</t>
    </r>
  </si>
  <si>
    <r>
      <t>13th special date and its time section number(month, day, time section number</t>
    </r>
    <r>
      <rPr>
        <sz val="10"/>
        <rFont val="华文细黑"/>
        <family val="3"/>
        <charset val="134"/>
      </rPr>
      <t>）</t>
    </r>
  </si>
  <si>
    <r>
      <t>14th special date and its time section number(month, day, time section number</t>
    </r>
    <r>
      <rPr>
        <sz val="10"/>
        <rFont val="华文细黑"/>
        <family val="3"/>
        <charset val="134"/>
      </rPr>
      <t>）</t>
    </r>
  </si>
  <si>
    <r>
      <t>15th special date and its time section number(month, day, time section number</t>
    </r>
    <r>
      <rPr>
        <sz val="10"/>
        <rFont val="华文细黑"/>
        <family val="3"/>
        <charset val="134"/>
      </rPr>
      <t>）</t>
    </r>
  </si>
  <si>
    <r>
      <t>16th special date and its time section number(month, day, time section number</t>
    </r>
    <r>
      <rPr>
        <sz val="10"/>
        <rFont val="华文细黑"/>
        <family val="3"/>
        <charset val="134"/>
      </rPr>
      <t>）</t>
    </r>
  </si>
  <si>
    <r>
      <t>17th special date and its time section number(month, day, time section number</t>
    </r>
    <r>
      <rPr>
        <sz val="10"/>
        <rFont val="华文细黑"/>
        <family val="3"/>
        <charset val="134"/>
      </rPr>
      <t>）</t>
    </r>
  </si>
  <si>
    <r>
      <t>18th special date and its time section number(month, day, time section number</t>
    </r>
    <r>
      <rPr>
        <sz val="10"/>
        <rFont val="华文细黑"/>
        <family val="3"/>
        <charset val="134"/>
      </rPr>
      <t>）</t>
    </r>
  </si>
  <si>
    <r>
      <t>19th special date and its time section number(month, day, time section number</t>
    </r>
    <r>
      <rPr>
        <sz val="10"/>
        <rFont val="华文细黑"/>
        <family val="3"/>
        <charset val="134"/>
      </rPr>
      <t>）</t>
    </r>
  </si>
  <si>
    <r>
      <t>20th special date and its time section number(month, day, time section number</t>
    </r>
    <r>
      <rPr>
        <sz val="10"/>
        <rFont val="华文细黑"/>
        <family val="3"/>
        <charset val="134"/>
      </rPr>
      <t>）</t>
    </r>
  </si>
  <si>
    <r>
      <t>21st special date and its time section number(month, day, time section number</t>
    </r>
    <r>
      <rPr>
        <sz val="10"/>
        <rFont val="华文细黑"/>
        <family val="3"/>
        <charset val="134"/>
      </rPr>
      <t>）</t>
    </r>
  </si>
  <si>
    <r>
      <t>22nd special date and its time section number(month, day, time section number</t>
    </r>
    <r>
      <rPr>
        <sz val="10"/>
        <rFont val="华文细黑"/>
        <family val="3"/>
        <charset val="134"/>
      </rPr>
      <t>）</t>
    </r>
  </si>
  <si>
    <r>
      <t>23rd special date and its time section number(month, day, time section number</t>
    </r>
    <r>
      <rPr>
        <sz val="10"/>
        <rFont val="华文细黑"/>
        <family val="3"/>
        <charset val="134"/>
      </rPr>
      <t>）</t>
    </r>
  </si>
  <si>
    <r>
      <t>24th special date and its time section number(month, day, time section number</t>
    </r>
    <r>
      <rPr>
        <sz val="10"/>
        <rFont val="华文细黑"/>
        <family val="3"/>
        <charset val="134"/>
      </rPr>
      <t>）</t>
    </r>
  </si>
  <si>
    <r>
      <t>25th special date and its time section number(month, day, time section number</t>
    </r>
    <r>
      <rPr>
        <sz val="10"/>
        <rFont val="华文细黑"/>
        <family val="3"/>
        <charset val="134"/>
      </rPr>
      <t>）</t>
    </r>
  </si>
  <si>
    <r>
      <t>26th special date and its time section number(month, day, time section number</t>
    </r>
    <r>
      <rPr>
        <sz val="10"/>
        <rFont val="华文细黑"/>
        <family val="3"/>
        <charset val="134"/>
      </rPr>
      <t>）</t>
    </r>
  </si>
  <si>
    <r>
      <t>27th special date and its time section number(month, day, time section number</t>
    </r>
    <r>
      <rPr>
        <sz val="10"/>
        <rFont val="华文细黑"/>
        <family val="3"/>
        <charset val="134"/>
      </rPr>
      <t>）</t>
    </r>
  </si>
  <si>
    <r>
      <t>28th special date and its time section number(month, day, time section number</t>
    </r>
    <r>
      <rPr>
        <sz val="10"/>
        <rFont val="华文细黑"/>
        <family val="3"/>
        <charset val="134"/>
      </rPr>
      <t>）</t>
    </r>
  </si>
  <si>
    <r>
      <t>29th special date and its time section number(month, day, time section number</t>
    </r>
    <r>
      <rPr>
        <sz val="10"/>
        <rFont val="华文细黑"/>
        <family val="3"/>
        <charset val="134"/>
      </rPr>
      <t>）</t>
    </r>
  </si>
  <si>
    <r>
      <t>30th special date and its time section number(month, day, time section number</t>
    </r>
    <r>
      <rPr>
        <sz val="10"/>
        <rFont val="华文细黑"/>
        <family val="3"/>
        <charset val="134"/>
      </rPr>
      <t>）</t>
    </r>
  </si>
  <si>
    <t>Default enable/disable ”Holiday many year setup“</t>
  </si>
  <si>
    <t>Default beginning year of ”Holiday many year setup“</t>
  </si>
  <si>
    <t>Default ending year of ”Holiday many year setup“</t>
  </si>
  <si>
    <t>10years holidy factory default settings</t>
    <phoneticPr fontId="4" type="noConversion"/>
  </si>
  <si>
    <t>0x6A command for writing</t>
  </si>
  <si>
    <t xml:space="preserve">Setup address for ten year holiday by PC  </t>
  </si>
  <si>
    <t xml:space="preserve">PROFIBUS  address  </t>
  </si>
  <si>
    <t>0x10 command for writing</t>
  </si>
  <si>
    <t xml:space="preserve">PROFIBUS  address  </t>
    <phoneticPr fontId="4" type="noConversion"/>
  </si>
  <si>
    <t>Current Month Accumulative TOU Energy: 03H Read</t>
    <phoneticPr fontId="4" type="noConversion"/>
  </si>
  <si>
    <t>sharp - Ep_Imp Import active energy</t>
  </si>
  <si>
    <t>0~999999999</t>
  </si>
  <si>
    <t>sharp - Ep_Exp Export active energy</t>
  </si>
  <si>
    <t xml:space="preserve">sharp - Eq_Imp Import reactive energy </t>
  </si>
  <si>
    <t>sharp - Eq_Exp Export reactive energy</t>
  </si>
  <si>
    <t>sharp - Es Apparent energy</t>
  </si>
  <si>
    <t>peak - Ep_Imp Import active energy</t>
  </si>
  <si>
    <t>peak - Ep_Exp Export active energy</t>
  </si>
  <si>
    <t xml:space="preserve">peak - Eq_Imp Import reactive energy </t>
  </si>
  <si>
    <t>peak - Eq_Exp Export reactive energy</t>
  </si>
  <si>
    <t>peak - Es Apparent energy</t>
  </si>
  <si>
    <t>valley - Ep_Imp Import active energy</t>
  </si>
  <si>
    <t>valley - Ep_Exp Export active energy</t>
  </si>
  <si>
    <t xml:space="preserve">valley - Eq_Imp Import reactive energy </t>
  </si>
  <si>
    <t>valley - Eq_Exp Export reactive energy</t>
  </si>
  <si>
    <t>valley - Es Apparent energy</t>
  </si>
  <si>
    <t>normal - Ep_Imp Import active energy</t>
  </si>
  <si>
    <t>normal - Ep_Exp Export active energy</t>
  </si>
  <si>
    <t xml:space="preserve">normal - Eq_Imp Import reactive energy </t>
  </si>
  <si>
    <t>normal - Eq_Exp Export reactive energy</t>
  </si>
  <si>
    <t>normal - Es Apparent energy</t>
  </si>
  <si>
    <t>total - Ep_Imp Import active energy</t>
  </si>
  <si>
    <t>total - Ep_Exp Export active energy</t>
  </si>
  <si>
    <t xml:space="preserve">total - Eq_Imp Import reactive energy </t>
  </si>
  <si>
    <t>total - Eq_Exp Export reactive energy</t>
  </si>
  <si>
    <t>total - Es Apparent energy</t>
  </si>
  <si>
    <t>Previous Month Accumulative TOU Energy: 03H Read</t>
    <phoneticPr fontId="4" type="noConversion"/>
  </si>
  <si>
    <t>Current Month Incremental TOU Energy: 03H Read</t>
    <phoneticPr fontId="4" type="noConversion"/>
  </si>
  <si>
    <t>Previous Month Incremental TOU Energy: 03H Read</t>
    <phoneticPr fontId="4" type="noConversion"/>
  </si>
  <si>
    <t>sharp - max import active power demand and timestamp
(format: max value; year month; date hour; minute second)</t>
    <phoneticPr fontId="4" type="noConversion"/>
  </si>
  <si>
    <t>sharp - max export active power demand and timestamp</t>
    <phoneticPr fontId="4" type="noConversion"/>
  </si>
  <si>
    <t>sharp - max import reactive power demand and timestamp</t>
    <phoneticPr fontId="4" type="noConversion"/>
  </si>
  <si>
    <t>sharp - max export reactive power demand and timestamp</t>
    <phoneticPr fontId="4" type="noConversion"/>
  </si>
  <si>
    <t>sharp - max apparent power demand and timestamp</t>
    <phoneticPr fontId="4" type="noConversion"/>
  </si>
  <si>
    <t>sharp - max Ia demand and timestamp</t>
    <phoneticPr fontId="4" type="noConversion"/>
  </si>
  <si>
    <t>sharp - max Ib demand and timestamp</t>
    <phoneticPr fontId="4" type="noConversion"/>
  </si>
  <si>
    <t>sharp - max Ic demand and timestamp</t>
    <phoneticPr fontId="4" type="noConversion"/>
  </si>
  <si>
    <t>peak - max import active power demand and timestamp</t>
  </si>
  <si>
    <t>peak - max export active power demand and timestamp</t>
  </si>
  <si>
    <t>peak - max import reactive power demand and timestamp</t>
  </si>
  <si>
    <t>peak - max export reactive power demand and timestamp</t>
  </si>
  <si>
    <t>peak - max apparent power demand and timestamp</t>
  </si>
  <si>
    <t>peak - max Ia demand and timestamp</t>
  </si>
  <si>
    <t>peak - max Ib demand and timestamp</t>
  </si>
  <si>
    <t>peak - max Ic demand and timestamp</t>
  </si>
  <si>
    <t>valley - max import active power demand and timestamp</t>
  </si>
  <si>
    <t>valley - max export active power demand and timestamp</t>
  </si>
  <si>
    <t>valley - max import reactive power demand and timestamp</t>
  </si>
  <si>
    <t>valley - max export reactive power demand and timestamp</t>
  </si>
  <si>
    <t>valley - max apparent power demand and timestamp</t>
  </si>
  <si>
    <t>valley - max Ia demand and timestamp</t>
  </si>
  <si>
    <t>valley - max Ib demand and timestamp</t>
  </si>
  <si>
    <t>valley - max Ic demand and timestamp</t>
  </si>
  <si>
    <t>normal - max import active power demand and timestamp</t>
  </si>
  <si>
    <t>normal - max export active power demand and timestamp</t>
  </si>
  <si>
    <t>normal - max import reactive power demand and timestamp</t>
  </si>
  <si>
    <t>normal - max export reactive power demand and timestamp</t>
  </si>
  <si>
    <t>normal - max apparent power demand and timestamp</t>
  </si>
  <si>
    <t>normal - max Ia demand and timestamp</t>
  </si>
  <si>
    <t>normal - max Ib demand and timestamp</t>
  </si>
  <si>
    <t>normal - max Ic demand and timestamp</t>
  </si>
  <si>
    <t>total - max import active power demand and timestamp</t>
  </si>
  <si>
    <t>total - max export active power demand and timestamp</t>
  </si>
  <si>
    <t>total - max import reactive power demand and timestamp</t>
  </si>
  <si>
    <t>total - max export reactive power demand and timestamp</t>
  </si>
  <si>
    <t>total - max apparent power demand and timestamp</t>
  </si>
  <si>
    <t>total - max Ia demand and timestamp</t>
  </si>
  <si>
    <t>total - max Ib demand and timestamp</t>
  </si>
  <si>
    <t>total - max Ic demand and timestamp</t>
  </si>
  <si>
    <t>Previous Month TOU Max Demand</t>
    <phoneticPr fontId="4" type="noConversion"/>
  </si>
  <si>
    <t>Daylight Savings Time Settings: 03H Read, 10H Write</t>
  </si>
  <si>
    <t>DST enable</t>
  </si>
  <si>
    <t>0: disable_x000D_
1: enable</t>
  </si>
  <si>
    <t>DST format</t>
  </si>
  <si>
    <t>0: format 1(fixed date)_x000D_
1: format 2 (non fixed date)</t>
  </si>
  <si>
    <t>Format 1: Fixed Date</t>
  </si>
  <si>
    <t>DST Start Month</t>
  </si>
  <si>
    <t>1~12</t>
  </si>
  <si>
    <t>DST Start Day</t>
  </si>
  <si>
    <t>1~31</t>
  </si>
  <si>
    <t>DST Start Hour</t>
  </si>
  <si>
    <t>0-23</t>
  </si>
  <si>
    <t>DST Start Min</t>
  </si>
  <si>
    <t>0-59</t>
  </si>
  <si>
    <t>DST Start Adjust time (Unit: Min)</t>
  </si>
  <si>
    <t>1-120</t>
  </si>
  <si>
    <t>DST End Month</t>
  </si>
  <si>
    <t>DST End Day</t>
  </si>
  <si>
    <t>DST End Hour</t>
  </si>
  <si>
    <t>DST End Minute</t>
  </si>
  <si>
    <t>DST End Adjust time (Unit: Minute)</t>
  </si>
  <si>
    <t>Format 2: Non Fixed Date</t>
  </si>
  <si>
    <t>DST Start Day</t>
    <phoneticPr fontId="4" type="noConversion"/>
  </si>
  <si>
    <t>0-6
0: Sunday 
1~6: Monday to
Saturday</t>
    <phoneticPr fontId="4" type="noConversion"/>
  </si>
  <si>
    <t>DST Start Week</t>
  </si>
  <si>
    <t>1~5</t>
  </si>
  <si>
    <t>DST Start Minute</t>
  </si>
  <si>
    <t>DST Start Adjust time (Unit: Minute)</t>
  </si>
  <si>
    <t>0-6_x000D_
0: Sunday 1~6 Monday to_x000D_
Saturday</t>
  </si>
  <si>
    <t>DST End Week</t>
  </si>
  <si>
    <t>Number of seasons</t>
    <phoneticPr fontId="4" type="noConversion"/>
  </si>
  <si>
    <t>0~12</t>
  </si>
  <si>
    <t>Number of schedules</t>
    <phoneticPr fontId="4" type="noConversion"/>
  </si>
  <si>
    <t>0~14</t>
  </si>
  <si>
    <t>Number of segments</t>
    <phoneticPr fontId="4" type="noConversion"/>
  </si>
  <si>
    <t>Number of tariffs</t>
    <phoneticPr fontId="4" type="noConversion"/>
  </si>
  <si>
    <t>0~3</t>
  </si>
  <si>
    <t>Weekend setting
 (Bit0: Sunday;    Bit1-Bit6: Mon-Sat) bit=0: not weekend     bit=1: is weekend</t>
    <phoneticPr fontId="4" type="noConversion"/>
  </si>
  <si>
    <t>0~127</t>
  </si>
  <si>
    <t>Weekend Schedule ID</t>
    <phoneticPr fontId="4" type="noConversion"/>
  </si>
  <si>
    <t>Number of holidays</t>
    <phoneticPr fontId="4" type="noConversion"/>
  </si>
  <si>
    <t>0~30</t>
  </si>
  <si>
    <t>Enable TOU</t>
    <phoneticPr fontId="4" type="noConversion"/>
  </si>
  <si>
    <t>1: enable</t>
  </si>
  <si>
    <t>Restore factory settings</t>
    <phoneticPr fontId="4" type="noConversion"/>
  </si>
  <si>
    <t>Monthly Billing Mode</t>
    <phoneticPr fontId="4" type="noConversion"/>
  </si>
  <si>
    <t>Billing time: day</t>
    <phoneticPr fontId="4" type="noConversion"/>
  </si>
  <si>
    <t>Billing time : hour</t>
    <phoneticPr fontId="4" type="noConversion"/>
  </si>
  <si>
    <t>0~23</t>
  </si>
  <si>
    <t>Billing time: minute</t>
    <phoneticPr fontId="4" type="noConversion"/>
  </si>
  <si>
    <t>0~59</t>
  </si>
  <si>
    <t>Billing time: second</t>
    <phoneticPr fontId="4" type="noConversion"/>
  </si>
  <si>
    <t>Error Code</t>
  </si>
  <si>
    <t>0: Settings correct</t>
    <phoneticPr fontId="4" type="noConversion"/>
  </si>
  <si>
    <t>TOU Season 1</t>
    <phoneticPr fontId="4" type="noConversion"/>
  </si>
  <si>
    <t>In format of month, day, schedule ID</t>
    <phoneticPr fontId="4" type="noConversion"/>
  </si>
  <si>
    <t>TOU Season 2</t>
  </si>
  <si>
    <t>TOU Season 3</t>
  </si>
  <si>
    <t>TOU Season 4</t>
  </si>
  <si>
    <t>TOU Season 5</t>
  </si>
  <si>
    <t>TOU Season 6</t>
  </si>
  <si>
    <t>TOU Season 7</t>
  </si>
  <si>
    <t>TOU Season 8</t>
  </si>
  <si>
    <t>TOU Season 9</t>
  </si>
  <si>
    <t>TOU Season 10</t>
  </si>
  <si>
    <t>TOU Season 11</t>
  </si>
  <si>
    <t>TOU Season 12</t>
  </si>
  <si>
    <t>Schedule 1 Segment 1 settings
In format of hour, minutes, segment ID</t>
    <phoneticPr fontId="4" type="noConversion"/>
  </si>
  <si>
    <t>Schedule 1 Segment 2 settings</t>
  </si>
  <si>
    <t>Schedule 1 Segment 3 settings</t>
  </si>
  <si>
    <t>Schedule 1 Segment 4 settings</t>
  </si>
  <si>
    <t>Schedule 1 Segment 5 settings</t>
  </si>
  <si>
    <t>Schedule 1 Segment 6 settings</t>
  </si>
  <si>
    <t>Schedule 1 Segment 7 settings</t>
  </si>
  <si>
    <t>Schedule 1 Segment 8 settings</t>
  </si>
  <si>
    <t>Schedule 1 Segment 9 settings</t>
  </si>
  <si>
    <t>Schedule 1 Segment 10 settings</t>
  </si>
  <si>
    <t>Schedule 1 Segment 11 settings</t>
  </si>
  <si>
    <t>Schedule 1 Segment 12 settings</t>
  </si>
  <si>
    <t>Schedule 1 Segment 13 settings</t>
  </si>
  <si>
    <t>Schedule 1 Segment 14 settings</t>
  </si>
  <si>
    <t>Schedule 2 settings</t>
    <phoneticPr fontId="4" type="noConversion"/>
  </si>
  <si>
    <t>Same as schedule 1 segment 1-14 settings</t>
    <phoneticPr fontId="4" type="noConversion"/>
  </si>
  <si>
    <t>Schedule 3 settings</t>
  </si>
  <si>
    <t>Schedule 4 settings</t>
  </si>
  <si>
    <t>Schedule 5 settings</t>
  </si>
  <si>
    <t>Schedule 6 settings</t>
  </si>
  <si>
    <t>Schedule 7 settings</t>
  </si>
  <si>
    <t>Schedule 8 settings</t>
  </si>
  <si>
    <t>Schedule 9 settings</t>
  </si>
  <si>
    <t>Schedule 10 settings</t>
  </si>
  <si>
    <t>Schedule 11 settings</t>
  </si>
  <si>
    <t>Schedule 12 settings</t>
  </si>
  <si>
    <t>Schedule 13 settings</t>
  </si>
  <si>
    <t>Schedule 14 settings</t>
  </si>
  <si>
    <t>1st Holiday settings
In format of month, day, schedule ID</t>
    <phoneticPr fontId="4" type="noConversion"/>
  </si>
  <si>
    <t>2nd Holiday settings</t>
  </si>
  <si>
    <t>3rd Holiday settings</t>
  </si>
  <si>
    <t>4th Holiday settings</t>
  </si>
  <si>
    <t>5th Holiday settings</t>
  </si>
  <si>
    <t>6th Holiday settings</t>
  </si>
  <si>
    <t>7th Holiday settings</t>
  </si>
  <si>
    <t>8th Holiday settings</t>
  </si>
  <si>
    <t>9th Holiday settings</t>
  </si>
  <si>
    <t>10th Holiday settings</t>
  </si>
  <si>
    <t>11th Holiday settings</t>
  </si>
  <si>
    <t>12th Holiday settings</t>
  </si>
  <si>
    <t>13th Holiday settings</t>
  </si>
  <si>
    <t>14th Holiday settings</t>
  </si>
  <si>
    <t>15th Holiday settings</t>
  </si>
  <si>
    <t>16th Holiday settings</t>
  </si>
  <si>
    <t>17th Holiday settings</t>
  </si>
  <si>
    <t>18th Holiday settings</t>
  </si>
  <si>
    <t>19th Holiday settings</t>
  </si>
  <si>
    <t>20th Holiday settings</t>
  </si>
  <si>
    <t>21st Holiday settings</t>
  </si>
  <si>
    <t>22nd Holiday settings</t>
  </si>
  <si>
    <t>23rd Holiday settings</t>
  </si>
  <si>
    <t>24th Holiday settings</t>
  </si>
  <si>
    <t>25th Holiday settings</t>
  </si>
  <si>
    <t>26th Holiday settings</t>
  </si>
  <si>
    <t>27th Holiday settings</t>
  </si>
  <si>
    <t>28th Holiday settings</t>
  </si>
  <si>
    <t>29th Holiday settings</t>
  </si>
  <si>
    <t>30th Holiday settings</t>
  </si>
  <si>
    <t>Holiday Setting enable</t>
  </si>
  <si>
    <t>Start Year</t>
    <phoneticPr fontId="4" type="noConversion"/>
  </si>
  <si>
    <t>End Year</t>
    <phoneticPr fontId="4" type="noConversion"/>
  </si>
  <si>
    <t>Year 1 holiday 1 settings
In format of month, day, schedule ID</t>
    <phoneticPr fontId="4" type="noConversion"/>
  </si>
  <si>
    <t>Year 1 holiday 2 settings</t>
    <phoneticPr fontId="4" type="noConversion"/>
  </si>
  <si>
    <t>Year 1 holiday 3 settings</t>
  </si>
  <si>
    <t>Year 1 holiday 4 settings</t>
  </si>
  <si>
    <t>Year 1 holiday 5 settings</t>
  </si>
  <si>
    <t>Year 1 holiday 6 settings</t>
  </si>
  <si>
    <t>Year 1 holiday 7 settings</t>
  </si>
  <si>
    <t>Year 1 holiday 8 settings</t>
  </si>
  <si>
    <t>Year 1 holiday 9 settings</t>
  </si>
  <si>
    <t>Year 1 holiday 10 settings</t>
  </si>
  <si>
    <t>Year 1 holiday 11 settings</t>
  </si>
  <si>
    <t>Year 1 holiday 12 settings</t>
  </si>
  <si>
    <t>Year 1 holiday 13 settings</t>
  </si>
  <si>
    <t>Year 1 holiday 14 settings</t>
  </si>
  <si>
    <t>Year 1 holiday 15 settings</t>
  </si>
  <si>
    <t>Year 1 holiday 16 settings</t>
  </si>
  <si>
    <t>Year 1 holiday 17 settings</t>
  </si>
  <si>
    <t>Year 1 holiday 18 settings</t>
  </si>
  <si>
    <t>Year 1 holiday 19 settings</t>
  </si>
  <si>
    <t>Year 1 holiday 20 settings</t>
  </si>
  <si>
    <t>Year 1 holiday 21 settings</t>
  </si>
  <si>
    <t>Year 1 holiday 22 settings</t>
  </si>
  <si>
    <t>Year 1 holiday 23 settings</t>
  </si>
  <si>
    <t>Year 1 holiday 24 settings</t>
  </si>
  <si>
    <t>Year 1 holiday 25 settings</t>
  </si>
  <si>
    <t>Year 1 holiday 26 settings</t>
  </si>
  <si>
    <t>Year 1 holiday 27 settings</t>
  </si>
  <si>
    <t>Year 1 holiday 28 settings</t>
  </si>
  <si>
    <t>Year 1 holiday 29 settings</t>
  </si>
  <si>
    <t>Year 1 holiday 30 settings</t>
  </si>
  <si>
    <t>Year 1 Settings Year</t>
    <phoneticPr fontId="4" type="noConversion"/>
  </si>
  <si>
    <t>Year 1 Number of holidays</t>
    <phoneticPr fontId="4" type="noConversion"/>
  </si>
  <si>
    <t>Year 2 holiday 1 settings</t>
    <phoneticPr fontId="4" type="noConversion"/>
  </si>
  <si>
    <t>Year 2 holiday 2 settings</t>
  </si>
  <si>
    <t>Year 2 holiday 3 settings</t>
  </si>
  <si>
    <t>Year 2 holiday 4 settings</t>
  </si>
  <si>
    <t>Year 2 holiday 5 settings</t>
  </si>
  <si>
    <t>Year 2 holiday 6 settings</t>
  </si>
  <si>
    <t>Year 2 holiday 7 settings</t>
  </si>
  <si>
    <t>Year 2 holiday 8 settings</t>
  </si>
  <si>
    <t>Year 2 holiday 9 settings</t>
  </si>
  <si>
    <t>Year 2 holiday 10 settings</t>
  </si>
  <si>
    <t>Year 2 holiday 11 settings</t>
  </si>
  <si>
    <t>Year 2 holiday 12 settings</t>
  </si>
  <si>
    <t>Year 2 holiday 13 settings</t>
  </si>
  <si>
    <t>Year 2 holiday 14 settings</t>
  </si>
  <si>
    <t>Year 2 holiday 15 settings</t>
  </si>
  <si>
    <t>Year 2 holiday 16 settings</t>
  </si>
  <si>
    <t>Year 2 holiday 17 settings</t>
  </si>
  <si>
    <t>Year 2 holiday 18 settings</t>
  </si>
  <si>
    <t>Year 2 holiday 19 settings</t>
  </si>
  <si>
    <t>Year 2 holiday 20 settings</t>
  </si>
  <si>
    <t>Year 2 holiday 21 settings</t>
  </si>
  <si>
    <t>Year 2 holiday 22 settings</t>
  </si>
  <si>
    <t>Year 2 holiday 23 settings</t>
  </si>
  <si>
    <t>Year 2 holiday 24 settings</t>
  </si>
  <si>
    <t>Year 2 holiday 25 settings</t>
  </si>
  <si>
    <t>Year 2 holiday 26 settings</t>
  </si>
  <si>
    <t>Year 2 holiday 27 settings</t>
  </si>
  <si>
    <t>Year 2 holiday 28 settings</t>
  </si>
  <si>
    <t>Year 2 holiday 29 settings</t>
  </si>
  <si>
    <t>Year 2 holiday 30 settings</t>
    <phoneticPr fontId="4" type="noConversion"/>
  </si>
  <si>
    <t>Year 2 Setting Year</t>
    <phoneticPr fontId="4" type="noConversion"/>
  </si>
  <si>
    <t>Year 2 Holiday Number setting</t>
    <phoneticPr fontId="4" type="noConversion"/>
  </si>
  <si>
    <t>Year 3 holiday 1 settings</t>
  </si>
  <si>
    <t>Year 3 holiday 2 settings</t>
  </si>
  <si>
    <t>Year 3 holiday 3 settings</t>
  </si>
  <si>
    <t>Year 3 holiday 4 settings</t>
  </si>
  <si>
    <t>Year 3 holiday 5 settings</t>
  </si>
  <si>
    <t>Year 3 holiday 6 settings</t>
  </si>
  <si>
    <t>Year 3 holiday 7 settings</t>
  </si>
  <si>
    <t>Year 3 holiday 8 settings</t>
  </si>
  <si>
    <t>Year 3 holiday 9 settings</t>
  </si>
  <si>
    <t>Year 3 holiday 10 settings</t>
  </si>
  <si>
    <t>Year 3 holiday 11 settings</t>
  </si>
  <si>
    <t>Year 3 holiday 12 settings</t>
  </si>
  <si>
    <t>Year 3 holiday 13 settings</t>
  </si>
  <si>
    <t>Year 3 holiday 14 settings</t>
  </si>
  <si>
    <t>Year 3 holiday 15 settings</t>
  </si>
  <si>
    <t>Year 3 holiday 16 settings</t>
  </si>
  <si>
    <t>Year 3 holiday 17 settings</t>
  </si>
  <si>
    <t>Year 3 holiday 18 settings</t>
  </si>
  <si>
    <t>Year 3 holiday 19 settings</t>
  </si>
  <si>
    <t>Year 3 holiday 20 settings</t>
  </si>
  <si>
    <t>Year 3 holiday 21 settings</t>
  </si>
  <si>
    <t>Year 3 holiday 22 settings</t>
  </si>
  <si>
    <t>Year 3 holiday 23 settings</t>
  </si>
  <si>
    <t>Year 3 holiday 24 settings</t>
  </si>
  <si>
    <t>Year 3 holiday 25 settings</t>
  </si>
  <si>
    <t>Year 3 holiday 26 settings</t>
  </si>
  <si>
    <t>Year 3 holiday 27 settings</t>
  </si>
  <si>
    <t>Year 3 holiday 28 settings</t>
  </si>
  <si>
    <t>Year 3 holiday 29 settings</t>
  </si>
  <si>
    <t>Year 3 holiday 30 settings</t>
  </si>
  <si>
    <t>Year 3 Setting Year</t>
  </si>
  <si>
    <t>Year 3 Holiday Number setting</t>
  </si>
  <si>
    <t>Year 4 holiday 1 settings</t>
  </si>
  <si>
    <t>Year 4 holiday 2 settings</t>
  </si>
  <si>
    <t>Year 4 holiday 3 settings</t>
  </si>
  <si>
    <t>Year 4 holiday 4 settings</t>
  </si>
  <si>
    <t>Year 4 holiday 5 settings</t>
  </si>
  <si>
    <t>Year 4 holiday 6 settings</t>
  </si>
  <si>
    <t>Year 4 holiday 7 settings</t>
  </si>
  <si>
    <t>Year 4 holiday 8 settings</t>
  </si>
  <si>
    <t>Year 4 holiday 9 settings</t>
  </si>
  <si>
    <t>Year 4 holiday 10 settings</t>
  </si>
  <si>
    <t>Year 4 holiday 11 settings</t>
  </si>
  <si>
    <t>Year 4 holiday 12 settings</t>
  </si>
  <si>
    <t>Year 4 holiday 13 settings</t>
  </si>
  <si>
    <t>Year 4 holiday 14 settings</t>
  </si>
  <si>
    <t>Year 4 holiday 15 settings</t>
  </si>
  <si>
    <t>Year 4 holiday 16 settings</t>
  </si>
  <si>
    <t>Year 4 holiday 17 settings</t>
  </si>
  <si>
    <t>Year 4 holiday 18 settings</t>
  </si>
  <si>
    <t>Year 4 holiday 19 settings</t>
  </si>
  <si>
    <t>Year 4 holiday 20 settings</t>
  </si>
  <si>
    <t>Year 4 holiday 21 settings</t>
  </si>
  <si>
    <t>Year 4 holiday 22 settings</t>
  </si>
  <si>
    <t>Year 4 holiday 23 settings</t>
  </si>
  <si>
    <t>Year 4 holiday 24 settings</t>
  </si>
  <si>
    <t>Year 4 holiday 25 settings</t>
  </si>
  <si>
    <t>Year 4 holiday 26 settings</t>
  </si>
  <si>
    <t>Year 4 holiday 27 settings</t>
  </si>
  <si>
    <t>Year 4 holiday 28 settings</t>
  </si>
  <si>
    <t>Year 4 holiday 29 settings</t>
  </si>
  <si>
    <t>Year 4 holiday 30 settings</t>
  </si>
  <si>
    <t>Year 4 Setting Year</t>
  </si>
  <si>
    <t>Year 4 Holiday Number setting</t>
  </si>
  <si>
    <t>Year 5 holiday 1 settings</t>
  </si>
  <si>
    <t>Year 5 holiday 2 settings</t>
  </si>
  <si>
    <t>Year 5 holiday 3 settings</t>
  </si>
  <si>
    <t>Year 5 holiday 4 settings</t>
  </si>
  <si>
    <t>Year 5 holiday 5 settings</t>
  </si>
  <si>
    <t>Year 5 holiday 6 settings</t>
  </si>
  <si>
    <t>Year 5 holiday 7 settings</t>
  </si>
  <si>
    <t>Year 5 holiday 8 settings</t>
  </si>
  <si>
    <t>Year 5 holiday 9 settings</t>
  </si>
  <si>
    <t>Year 5 holiday 10 settings</t>
  </si>
  <si>
    <t>Year 5 holiday 11 settings</t>
  </si>
  <si>
    <t>Year 5 holiday 12 settings</t>
  </si>
  <si>
    <t>Year 5 holiday 13 settings</t>
  </si>
  <si>
    <t>Year 5 holiday 14 settings</t>
  </si>
  <si>
    <t>Year 5 holiday 15 settings</t>
  </si>
  <si>
    <t>Year 5 holiday 16 settings</t>
  </si>
  <si>
    <t>Year 5 holiday 17 settings</t>
  </si>
  <si>
    <t>Year 5 holiday 18 settings</t>
  </si>
  <si>
    <t>Year 5 holiday 19 settings</t>
  </si>
  <si>
    <t>Year 5 holiday 20 settings</t>
  </si>
  <si>
    <t>Year 5 holiday 21 settings</t>
  </si>
  <si>
    <t>Year 5 holiday 22 settings</t>
  </si>
  <si>
    <t>Year 5 holiday 23 settings</t>
  </si>
  <si>
    <t>Year 5 holiday 24 settings</t>
  </si>
  <si>
    <t>Year 5 holiday 25 settings</t>
  </si>
  <si>
    <t>Year 5 holiday 26 settings</t>
  </si>
  <si>
    <t>Year 5 holiday 27 settings</t>
  </si>
  <si>
    <t>Year 5 holiday 28 settings</t>
  </si>
  <si>
    <t>Year 5 holiday 29 settings</t>
  </si>
  <si>
    <t>Year 5 holiday 30 settings</t>
  </si>
  <si>
    <t>Year 5 Setting Year</t>
  </si>
  <si>
    <t>Year 5 Holiday Number setting</t>
  </si>
  <si>
    <t>Year 6 holiday 1 settings</t>
    <phoneticPr fontId="4" type="noConversion"/>
  </si>
  <si>
    <t>Year 6 holiday 2 settings</t>
  </si>
  <si>
    <t>Year 6 holiday 3 settings</t>
  </si>
  <si>
    <t>Year 6 holiday 4 settings</t>
  </si>
  <si>
    <t>Year 6 holiday 5 settings</t>
  </si>
  <si>
    <t>Year 6 holiday 6 settings</t>
  </si>
  <si>
    <t>Year 6 holiday 7 settings</t>
  </si>
  <si>
    <t>Year 6 holiday 8 settings</t>
  </si>
  <si>
    <t>Year 6 holiday 9 settings</t>
  </si>
  <si>
    <t>Year 6 holiday 10 settings</t>
  </si>
  <si>
    <t>Year 6 holiday 11 settings</t>
  </si>
  <si>
    <t>Year 6 holiday 12 settings</t>
  </si>
  <si>
    <t>Year 6 holiday 13 settings</t>
  </si>
  <si>
    <t>Year 6 holiday 14 settings</t>
  </si>
  <si>
    <t>Year 6 holiday 15 settings</t>
  </si>
  <si>
    <t>Year 6 holiday 16 settings</t>
  </si>
  <si>
    <t>Year 6 holiday 17 settings</t>
  </si>
  <si>
    <t>Year 6 holiday 18 settings</t>
  </si>
  <si>
    <t>Year 6 holiday 19 settings</t>
  </si>
  <si>
    <t>Year 6 holiday 20 settings</t>
  </si>
  <si>
    <t>Year 6 holiday 21 settings</t>
  </si>
  <si>
    <t>Year 6 holiday 22 settings</t>
  </si>
  <si>
    <t>Year 6 holiday 23 settings</t>
  </si>
  <si>
    <t>Year 6 holiday 24 settings</t>
  </si>
  <si>
    <t>Year 6 holiday 25 settings</t>
  </si>
  <si>
    <t>Year 6 holiday 26 settings</t>
  </si>
  <si>
    <t>Year 6 holiday 27 settings</t>
  </si>
  <si>
    <t>Year 6 holiday 28 settings</t>
  </si>
  <si>
    <t>Year 6 holiday 29 settings</t>
  </si>
  <si>
    <t>Year 6 holiday 30 settings</t>
  </si>
  <si>
    <t>Year 6 Settings Year</t>
  </si>
  <si>
    <t>Year 6 Number of holidays</t>
  </si>
  <si>
    <t>Year 7 holiday 1 settings</t>
  </si>
  <si>
    <t>Year 7 holiday 2 settings</t>
  </si>
  <si>
    <t>Year 7 holiday 3 settings</t>
  </si>
  <si>
    <t>Year 7 holiday 4 settings</t>
  </si>
  <si>
    <t>Year 7 holiday 5 settings</t>
  </si>
  <si>
    <t>Year 7 holiday 6 settings</t>
  </si>
  <si>
    <t>Year 7 holiday 7 settings</t>
  </si>
  <si>
    <t>Year 7 holiday 8 settings</t>
  </si>
  <si>
    <t>Year 7 holiday 9 settings</t>
  </si>
  <si>
    <t>Year 7 holiday 10 settings</t>
  </si>
  <si>
    <t>Year 7 holiday 11 settings</t>
  </si>
  <si>
    <t>Year 7 holiday 12 settings</t>
  </si>
  <si>
    <t>Year 7 holiday 13 settings</t>
  </si>
  <si>
    <t>Year 7 holiday 14 settings</t>
  </si>
  <si>
    <t>Year 7 holiday 15 settings</t>
  </si>
  <si>
    <t>Year 7 holiday 16 settings</t>
  </si>
  <si>
    <t>Year 7 holiday 17 settings</t>
  </si>
  <si>
    <t>Year 7 holiday 18 settings</t>
  </si>
  <si>
    <t>Year 7 holiday 19 settings</t>
  </si>
  <si>
    <t>Year 7 holiday 20 settings</t>
  </si>
  <si>
    <t>Year 7 holiday 21 settings</t>
  </si>
  <si>
    <t>Year 7 holiday 22 settings</t>
  </si>
  <si>
    <t>Year 7 holiday 23 settings</t>
  </si>
  <si>
    <t>Year 7 holiday 24 settings</t>
  </si>
  <si>
    <t>Year 7 holiday 25 settings</t>
  </si>
  <si>
    <t>Year 7 holiday 26 settings</t>
  </si>
  <si>
    <t>Year 7 holiday 27 settings</t>
  </si>
  <si>
    <t>Year 7 holiday 28 settings</t>
  </si>
  <si>
    <t>Year 7 holiday 29 settings</t>
  </si>
  <si>
    <t>Year 7 holiday 30 settings</t>
  </si>
  <si>
    <t>Year 7 Setting Year</t>
  </si>
  <si>
    <t>Year 7 Holiday Number setting</t>
  </si>
  <si>
    <t>Year 8 holiday 1 settings</t>
  </si>
  <si>
    <t>Year 8 holiday 2 settings</t>
  </si>
  <si>
    <t>Year 8 holiday 3 settings</t>
  </si>
  <si>
    <t>Year 8 holiday 4 settings</t>
  </si>
  <si>
    <t>Year 8 holiday 5 settings</t>
  </si>
  <si>
    <t>Year 8 holiday 6 settings</t>
  </si>
  <si>
    <t>Year 8 holiday 7 settings</t>
  </si>
  <si>
    <t>Year 8 holiday 8 settings</t>
  </si>
  <si>
    <t>Year 8 holiday 9 settings</t>
  </si>
  <si>
    <t>Year 8 holiday 10 settings</t>
  </si>
  <si>
    <t>Year 8 holiday 11 settings</t>
  </si>
  <si>
    <t>Year 8 holiday 12 settings</t>
  </si>
  <si>
    <t>Year 8 holiday 13 settings</t>
  </si>
  <si>
    <t>Year 8 holiday 14 settings</t>
  </si>
  <si>
    <t>Year 8 holiday 15 settings</t>
  </si>
  <si>
    <t>Year 8 holiday 16 settings</t>
  </si>
  <si>
    <t>Year 8 holiday 17 settings</t>
  </si>
  <si>
    <t>Year 8 holiday 18 settings</t>
  </si>
  <si>
    <t>Year 8 holiday 19 settings</t>
  </si>
  <si>
    <t>Year 8 holiday 20 settings</t>
  </si>
  <si>
    <t>Year 8 holiday 21 settings</t>
  </si>
  <si>
    <t>Year 8 holiday 22 settings</t>
  </si>
  <si>
    <t>Year 8 holiday 23 settings</t>
  </si>
  <si>
    <t>Year 8 holiday 24 settings</t>
  </si>
  <si>
    <t>Year 8 holiday 25 settings</t>
  </si>
  <si>
    <t>Year 8 holiday 26 settings</t>
  </si>
  <si>
    <t>Year 8 holiday 27 settings</t>
  </si>
  <si>
    <t>Year 8 holiday 28 settings</t>
  </si>
  <si>
    <t>Year 8 holiday 29 settings</t>
  </si>
  <si>
    <t>Year 8 holiday 30 settings</t>
  </si>
  <si>
    <t>Year 8 Setting Year</t>
  </si>
  <si>
    <t>Year 8 Holiday Number setting</t>
  </si>
  <si>
    <t>Year 9 holiday 1 settings</t>
  </si>
  <si>
    <t>Year 9 holiday 2 settings</t>
  </si>
  <si>
    <t>Year 9 holiday 3 settings</t>
  </si>
  <si>
    <t>Year 9 holiday 4 settings</t>
  </si>
  <si>
    <t>Year 9 holiday 5 settings</t>
  </si>
  <si>
    <t>Year 9 holiday 6 settings</t>
  </si>
  <si>
    <t>Year 9 holiday 7 settings</t>
  </si>
  <si>
    <t>Year 9 holiday 8 settings</t>
  </si>
  <si>
    <t>Year 9 holiday 9 settings</t>
  </si>
  <si>
    <t>Year 9 holiday 10 settings</t>
  </si>
  <si>
    <t>Year 9 holiday 11 settings</t>
  </si>
  <si>
    <t>Year 9 holiday 12 settings</t>
  </si>
  <si>
    <t>Year 9 holiday 13 settings</t>
  </si>
  <si>
    <t>Year 9 holiday 14 settings</t>
  </si>
  <si>
    <t>Year 9 holiday 15 settings</t>
  </si>
  <si>
    <t>Year 9 holiday 16 settings</t>
  </si>
  <si>
    <t>Year 9 holiday 17 settings</t>
  </si>
  <si>
    <t>Year 9 holiday 18 settings</t>
  </si>
  <si>
    <t>Year 9 holiday 19 settings</t>
  </si>
  <si>
    <t>Year 9 holiday 20 settings</t>
  </si>
  <si>
    <t>Year 9 holiday 21 settings</t>
  </si>
  <si>
    <t>Year 9 holiday 22 settings</t>
  </si>
  <si>
    <t>Year 9 holiday 23 settings</t>
  </si>
  <si>
    <t>Year 9 holiday 24 settings</t>
  </si>
  <si>
    <t>Year 9 holiday 25 settings</t>
  </si>
  <si>
    <t>Year 9 holiday 26 settings</t>
  </si>
  <si>
    <t>Year 9 holiday 27 settings</t>
  </si>
  <si>
    <t>Year 9 holiday 28 settings</t>
  </si>
  <si>
    <t>Year 9 holiday 29 settings</t>
  </si>
  <si>
    <t>Year 9 holiday 30 settings</t>
  </si>
  <si>
    <t>Year 9 Setting Year</t>
  </si>
  <si>
    <t>Year 9 Holiday Number setting</t>
  </si>
  <si>
    <t>Year 10 holiday 1 settings</t>
  </si>
  <si>
    <t>Year 10 holiday 2 settings</t>
  </si>
  <si>
    <t>Year 10 holiday 3 settings</t>
  </si>
  <si>
    <t>Year 10 holiday 4 settings</t>
  </si>
  <si>
    <t>Year 10 holiday 5 settings</t>
  </si>
  <si>
    <t>Year 10 holiday 6 settings</t>
  </si>
  <si>
    <t>Year 10 holiday 7 settings</t>
  </si>
  <si>
    <t>Year 10 holiday 8 settings</t>
  </si>
  <si>
    <t>Year 10 holiday 9 settings</t>
  </si>
  <si>
    <t>Year 10 holiday 10 settings</t>
  </si>
  <si>
    <t>Year 10 holiday 11 settings</t>
  </si>
  <si>
    <t>Year 10 holiday 12 settings</t>
  </si>
  <si>
    <t>Year 10 holiday 13 settings</t>
  </si>
  <si>
    <t>Year 10 holiday 14 settings</t>
  </si>
  <si>
    <t>Year 10 holiday 15 settings</t>
  </si>
  <si>
    <t>Year 10 holiday 16 settings</t>
  </si>
  <si>
    <t>Year 10 holiday 17 settings</t>
  </si>
  <si>
    <t>Year 10 holiday 18 settings</t>
  </si>
  <si>
    <t>Year 10 holiday 19 settings</t>
  </si>
  <si>
    <t>Year 10 holiday 20 settings</t>
  </si>
  <si>
    <t>Year 10 holiday 21 settings</t>
  </si>
  <si>
    <t>Year 10 holiday 22 settings</t>
  </si>
  <si>
    <t>Year 10 holiday 23 settings</t>
  </si>
  <si>
    <t>Year 10 holiday 24 settings</t>
  </si>
  <si>
    <t>Year 10 holiday 25 settings</t>
  </si>
  <si>
    <t>Year 10 holiday 26 settings</t>
  </si>
  <si>
    <t>Year 10 holiday 27 settings</t>
  </si>
  <si>
    <t>Year 10 holiday 28 settings</t>
  </si>
  <si>
    <t>Year 10 holiday 29 settings</t>
  </si>
  <si>
    <t>Year 10 holiday 30 settings</t>
  </si>
  <si>
    <t>Year 10 Setting Year</t>
  </si>
  <si>
    <t>Year 10 Holiday Number setting</t>
  </si>
  <si>
    <t>Enable special weekday schedule</t>
    <phoneticPr fontId="4" type="noConversion"/>
  </si>
  <si>
    <t>0: Disable 1: Enable      If 0, Weekend schedule uses registers 0x7804H &amp; 0x7805H</t>
  </si>
  <si>
    <t>Season 1 weekday schedule enable</t>
    <phoneticPr fontId="4" type="noConversion"/>
  </si>
  <si>
    <t>bit0: Sunday bit1-bit6: Monday-Saturday bit=1 means Enabled</t>
  </si>
  <si>
    <t>Season 1 Sunday schedule ID</t>
    <phoneticPr fontId="4" type="noConversion"/>
  </si>
  <si>
    <t>Season 1 Monday Schedule ID</t>
  </si>
  <si>
    <t>Season 1 Tuesday Schedule ID</t>
  </si>
  <si>
    <t>Season 1 Wednesday Schedule ID</t>
  </si>
  <si>
    <t>Season 1 Thursday Schedule ID</t>
  </si>
  <si>
    <t>Season 1 Friday Schedule ID</t>
  </si>
  <si>
    <t>Season 1 Saturday Schedule ID</t>
  </si>
  <si>
    <t>Season 2 weekday schedule enable</t>
  </si>
  <si>
    <t>Season 2 Sunday schedule ID</t>
  </si>
  <si>
    <t>Season 2 Monday Schedule ID</t>
  </si>
  <si>
    <t>Season 2 Tuesday Schedule ID</t>
  </si>
  <si>
    <t>Season 2 Wednesday Schedule ID</t>
  </si>
  <si>
    <t>Season 2 Thursday Schedule ID</t>
  </si>
  <si>
    <t>Season 2 Friday Schedule ID</t>
  </si>
  <si>
    <t>Season 2 Saturday Schedule ID</t>
  </si>
  <si>
    <t>Season 3 weekday schedule enable</t>
  </si>
  <si>
    <t>Season 3 Sunday schedule ID</t>
  </si>
  <si>
    <t>Season 3 Monday Schedule ID</t>
  </si>
  <si>
    <t>Season 3 Tuesday Schedule ID</t>
  </si>
  <si>
    <t>Season 3 Wednesday Schedule ID</t>
  </si>
  <si>
    <t>Season 3 Thursday Schedule ID</t>
  </si>
  <si>
    <t>Season 3 Friday Schedule ID</t>
  </si>
  <si>
    <t>Season 3 Saturday Schedule ID</t>
  </si>
  <si>
    <t>Season 4 weekday schedule enable</t>
  </si>
  <si>
    <t>Season 4 Sunday schedule ID</t>
  </si>
  <si>
    <t>Season 4 Monday Schedule ID</t>
  </si>
  <si>
    <t>Season 4 Tuesday Schedule ID</t>
  </si>
  <si>
    <t>Season 4 Wednesday Schedule ID</t>
  </si>
  <si>
    <t>Season 4 Thursday Schedule ID</t>
  </si>
  <si>
    <t>Season 4 Friday Schedule ID</t>
  </si>
  <si>
    <t>Season 4 Saturday Schedule ID</t>
  </si>
  <si>
    <t>Season 5 weekday schedule enable</t>
  </si>
  <si>
    <t>Season 5 Sunday schedule ID</t>
  </si>
  <si>
    <t>Season 5 Monday Schedule ID</t>
  </si>
  <si>
    <t>Season 5 Tuesday Schedule ID</t>
  </si>
  <si>
    <t>Season 5 Wednesday Schedule ID</t>
  </si>
  <si>
    <t>Season 5 Thursday Schedule ID</t>
  </si>
  <si>
    <t>Season 5 Friday Schedule ID</t>
  </si>
  <si>
    <t>Season 5 Saturday Schedule ID</t>
  </si>
  <si>
    <t>Season 6 weekday schedule enable</t>
  </si>
  <si>
    <t>Season 6 Sunday schedule ID</t>
  </si>
  <si>
    <t>Season 6 Monday Schedule ID</t>
  </si>
  <si>
    <t>Season 6 Tuesday Schedule ID</t>
  </si>
  <si>
    <t>Season 6 Wednesday Schedule ID</t>
  </si>
  <si>
    <t>Season 6 Thursday Schedule ID</t>
  </si>
  <si>
    <t>Season 6 Friday Schedule ID</t>
  </si>
  <si>
    <t>Season 6 Saturday Schedule ID</t>
  </si>
  <si>
    <t>Season 7 weekday schedule enable</t>
  </si>
  <si>
    <t>Season 7 Sunday schedule ID</t>
  </si>
  <si>
    <t>Season 7 Monday Schedule ID</t>
  </si>
  <si>
    <t>Season 7 Tuesday Schedule ID</t>
  </si>
  <si>
    <t>Season 7 Wednesday Schedule ID</t>
  </si>
  <si>
    <t>Season 7 Thursday Schedule ID</t>
  </si>
  <si>
    <t>Season 7 Friday Schedule ID</t>
  </si>
  <si>
    <t>Season 7 Saturday Schedule ID</t>
  </si>
  <si>
    <t>Season 8 weekday schedule enable</t>
  </si>
  <si>
    <t>Season 8 Sunday schedule ID</t>
  </si>
  <si>
    <t>Season 8 Monday Schedule ID</t>
  </si>
  <si>
    <t>Season 8 Tuesday Schedule ID</t>
  </si>
  <si>
    <t>Season 8 Wednesday Schedule ID</t>
  </si>
  <si>
    <t>Season 8 Thursday Schedule ID</t>
  </si>
  <si>
    <t>Season 8 Friday Schedule ID</t>
  </si>
  <si>
    <t>Season 8 Saturday Schedule ID</t>
  </si>
  <si>
    <t>Season 9 weekday schedule enable</t>
  </si>
  <si>
    <t>Season 9 Sunday schedule ID</t>
  </si>
  <si>
    <t>Season 9 Monday Schedule ID</t>
  </si>
  <si>
    <t>Season 9 Tuesday Schedule ID</t>
  </si>
  <si>
    <t>Season 9 Wednesday Schedule ID</t>
  </si>
  <si>
    <t>Season 9 Thursday Schedule ID</t>
  </si>
  <si>
    <t>Season 9 Friday Schedule ID</t>
  </si>
  <si>
    <t>Season 9 Saturday Schedule ID</t>
  </si>
  <si>
    <t>Season 10 weekday schedule enable</t>
  </si>
  <si>
    <t>Season 10 Sunday schedule ID</t>
  </si>
  <si>
    <t>Season 10 Monday Schedule ID</t>
  </si>
  <si>
    <t>Season 10 Tuesday Schedule ID</t>
  </si>
  <si>
    <t>Season 10 Wednesday Schedule ID</t>
  </si>
  <si>
    <t>Season 10 Thursday Schedule ID</t>
  </si>
  <si>
    <t>Season 10 Friday Schedule ID</t>
  </si>
  <si>
    <t>Season 10 Saturday Schedule ID</t>
  </si>
  <si>
    <t>Season 11 weekday schedule enable</t>
  </si>
  <si>
    <t>Season 11 Sunday schedule ID</t>
  </si>
  <si>
    <t>Season 11 Monday Schedule ID</t>
  </si>
  <si>
    <t>Season 11 Tuesday Schedule ID</t>
  </si>
  <si>
    <t>Season 11 Wednesday Schedule ID</t>
  </si>
  <si>
    <t>Season 11 Thursday Schedule ID</t>
  </si>
  <si>
    <t>Season 11 Friday Schedule ID</t>
  </si>
  <si>
    <t>Season 11 Saturday Schedule ID</t>
  </si>
  <si>
    <t>Season 12 weekday schedule enable</t>
  </si>
  <si>
    <t>Season 12 Sunday schedule ID</t>
  </si>
  <si>
    <t>Season 12 Monday Schedule ID</t>
  </si>
  <si>
    <t>Season 12 Tuesday Schedule ID</t>
  </si>
  <si>
    <t>Season 12 Wednesday Schedule ID</t>
  </si>
  <si>
    <t>Season 12 Thursday Schedule ID</t>
  </si>
  <si>
    <t>Season 12 Friday Schedule ID</t>
  </si>
  <si>
    <t>Season 12 Saturday Schedule ID</t>
  </si>
  <si>
    <t>Start(Hex)</t>
    <phoneticPr fontId="3" type="noConversion"/>
  </si>
  <si>
    <t>End(Hex)</t>
    <phoneticPr fontId="3" type="noConversion"/>
  </si>
  <si>
    <t>Start(Dec)</t>
    <phoneticPr fontId="3" type="noConversion"/>
  </si>
  <si>
    <t>End(Dec)</t>
    <phoneticPr fontId="3" type="noConversion"/>
  </si>
  <si>
    <t>Data type</t>
    <phoneticPr fontId="3" type="noConversion"/>
  </si>
  <si>
    <t>RW</t>
    <phoneticPr fontId="3" type="noConversion"/>
  </si>
  <si>
    <t>Reg</t>
    <phoneticPr fontId="3" type="noConversion"/>
  </si>
  <si>
    <t>SunSpec  System Information Address Table</t>
    <phoneticPr fontId="3" type="noConversion"/>
  </si>
  <si>
    <t>SunSpec_ID</t>
  </si>
  <si>
    <t>Uint16</t>
  </si>
  <si>
    <t>0x53756e53</t>
  </si>
  <si>
    <t>Y</t>
    <phoneticPr fontId="3" type="noConversion"/>
  </si>
  <si>
    <t>ID</t>
  </si>
  <si>
    <t>Lenth</t>
  </si>
  <si>
    <t>Manufacturer</t>
  </si>
  <si>
    <t>string</t>
  </si>
  <si>
    <t>Well known value registered with SunSpec for compliance</t>
  </si>
  <si>
    <t>ACCUENERGY
41 43 43 55 45 4E 45 52 47 59</t>
    <phoneticPr fontId="3" type="noConversion"/>
  </si>
  <si>
    <t>Model</t>
  </si>
  <si>
    <t xml:space="preserve">Manufacturer specific value (32 chars) </t>
    <phoneticPr fontId="3" type="noConversion"/>
  </si>
  <si>
    <t>Acuvim II
41 63 75 76 69 6D 20 49 49</t>
    <phoneticPr fontId="3" type="noConversion"/>
  </si>
  <si>
    <t>Options</t>
    <phoneticPr fontId="3" type="noConversion"/>
  </si>
  <si>
    <t xml:space="preserve">Manufacturer specific value (16 chars) </t>
    <phoneticPr fontId="3" type="noConversion"/>
  </si>
  <si>
    <r>
      <t>Acuvim IIX
41 63 75 76 69 6D 20 49 49 
00</t>
    </r>
    <r>
      <rPr>
        <sz val="10"/>
        <rFont val="华文细黑"/>
        <family val="3"/>
        <charset val="134"/>
      </rPr>
      <t>（</t>
    </r>
    <r>
      <rPr>
        <sz val="10"/>
        <rFont val="Arial"/>
        <family val="2"/>
      </rPr>
      <t>II</t>
    </r>
    <r>
      <rPr>
        <sz val="10"/>
        <rFont val="华文细黑"/>
        <family val="3"/>
        <charset val="134"/>
      </rPr>
      <t>）</t>
    </r>
    <r>
      <rPr>
        <sz val="10"/>
        <rFont val="Arial"/>
        <family val="2"/>
      </rPr>
      <t>/52</t>
    </r>
    <r>
      <rPr>
        <sz val="10"/>
        <rFont val="华文细黑"/>
        <family val="3"/>
        <charset val="134"/>
      </rPr>
      <t>（</t>
    </r>
    <r>
      <rPr>
        <sz val="10"/>
        <rFont val="Arial"/>
        <family val="2"/>
      </rPr>
      <t>IIR</t>
    </r>
    <r>
      <rPr>
        <sz val="10"/>
        <rFont val="华文细黑"/>
        <family val="3"/>
        <charset val="134"/>
      </rPr>
      <t>）</t>
    </r>
    <r>
      <rPr>
        <sz val="10"/>
        <rFont val="Arial"/>
        <family val="2"/>
      </rPr>
      <t>/45(IIE)/57(IIW)/42 4E(IIBN)
MK II(4D 4B 20 49 49)</t>
    </r>
    <phoneticPr fontId="3" type="noConversion"/>
  </si>
  <si>
    <t>0xF050 product model ID</t>
  </si>
  <si>
    <t>Version</t>
  </si>
  <si>
    <t>Manufacturer specific value (16 chars)</t>
    <phoneticPr fontId="3" type="noConversion"/>
  </si>
  <si>
    <t>H: 2.32   S: 3.91
48 3A    32 2E 33 32    20 53 3A 33 2E 39 31 20 20 20</t>
  </si>
  <si>
    <t>Manufacturer specific value (32 chars)</t>
    <phoneticPr fontId="3" type="noConversion"/>
  </si>
  <si>
    <t>Device Address</t>
  </si>
  <si>
    <t>Modbus device address</t>
  </si>
  <si>
    <t xml:space="preserve">SunSpec Measured Data Address Table (Continued) </t>
    <phoneticPr fontId="3" type="noConversion"/>
  </si>
  <si>
    <t>Meter (Single Phase)single phase (AN or AB) meter --201
split single phase (ABN) meter –202
wye-connect three phase (abcn) meter-203
delta-connect three phase (abc) meter --204</t>
  </si>
  <si>
    <t>Lenth</t>
    <phoneticPr fontId="3" type="noConversion"/>
  </si>
  <si>
    <t>Amps(average): Sunspec;
Amps(average): AcuvimII</t>
  </si>
  <si>
    <t>0~9999  A</t>
  </si>
  <si>
    <t>Amps Phase A: Sunspec;
Phase A Current: AcuvimII</t>
  </si>
  <si>
    <t>Change to 0~32767</t>
  </si>
  <si>
    <t>Amps Phase B: Sunspec;
Phase B Current: AcuvimII</t>
  </si>
  <si>
    <t>Amps Phase C: Sunspec;
Phase C Current: AcuvimII</t>
  </si>
  <si>
    <t xml:space="preserve">Current scale factor: Sunspec;
CT Ratio: Acuvim II
</t>
  </si>
  <si>
    <t>sunssf</t>
  </si>
  <si>
    <t xml:space="preserve"> - 3 ~ + 2(used as exponent of a power of 10)</t>
  </si>
  <si>
    <t xml:space="preserve">Voltage LN (average): Sunspec;
Phase Average Voltage: Acuvim II
</t>
  </si>
  <si>
    <t>0~9999  V</t>
  </si>
  <si>
    <t xml:space="preserve">Phase Voltage AN: Sunspec;
Phase A Voltage: Acuvim II
</t>
  </si>
  <si>
    <t xml:space="preserve">Phase Voltage BN: Sunspec;
Phase B Voltage: Acuvim II
</t>
  </si>
  <si>
    <t xml:space="preserve">Phase Voltage CN: Sunspec;
Phase C Voltage: Acuvim II
</t>
  </si>
  <si>
    <t xml:space="preserve">Voltage LL (average): Sunspec;
Line Average Voltage: Acuvim II
</t>
  </si>
  <si>
    <t xml:space="preserve">Phase Voltage AB: Sunspec;
Line AB Voltage: Acuvim II
</t>
  </si>
  <si>
    <t xml:space="preserve">Phase Voltage BC: Sunspec;
Line BC Voltage: Acuvim II
</t>
  </si>
  <si>
    <t xml:space="preserve">Phase Voltage CA: Sunspec;
Line CA Voltage: Acuvim II
</t>
  </si>
  <si>
    <t>Voltage scale factor: Sunspec</t>
  </si>
  <si>
    <t xml:space="preserve"> - 2 ~ 4(used as exponent of a power of 10)</t>
  </si>
  <si>
    <t>Frequency</t>
  </si>
  <si>
    <t>45Hz-65Hz</t>
  </si>
  <si>
    <t>Frequency scale factor</t>
  </si>
  <si>
    <t>-2(used as exponent of a power of 10)</t>
  </si>
  <si>
    <t xml:space="preserve">Total Real Power: Sunspec;
Total Active Power: Acuvim II
</t>
  </si>
  <si>
    <t>0~9999 W</t>
  </si>
  <si>
    <t xml:space="preserve"> 'Change to -32768~32767</t>
  </si>
  <si>
    <t xml:space="preserve">Watts phase A: Sunspec;
Phase A Active Power: Acuvim II
</t>
  </si>
  <si>
    <t>P</t>
    <phoneticPr fontId="3" type="noConversion"/>
  </si>
  <si>
    <t xml:space="preserve">Watts phase B: Sunspec;
Phase B Active Power: Acuvim II
</t>
  </si>
  <si>
    <t xml:space="preserve">Watts phase C: Sunspec;
Phase C Active Power: Acuvim II
</t>
  </si>
  <si>
    <t>Real Power scale factor: Sunspec</t>
  </si>
  <si>
    <t>-1~ 4(used as exponent of a power of 10)</t>
  </si>
  <si>
    <t xml:space="preserve">Total  Apparent Power VA: Sunspec;
Total Apparent Power: Acuvim II
</t>
  </si>
  <si>
    <t>0~9999 VA</t>
  </si>
  <si>
    <t>S</t>
    <phoneticPr fontId="3" type="noConversion"/>
  </si>
  <si>
    <t xml:space="preserve">VA phase A: Sunspec;
Phase A Apparent Power: Acuvim II
</t>
  </si>
  <si>
    <t xml:space="preserve">VA phase B: Sunspec;
Phase B Apparent Power: Acuvim II
</t>
  </si>
  <si>
    <t xml:space="preserve">VA phaseCA: Sunspec;
Phase C Apparent Power: Acuvim II
</t>
  </si>
  <si>
    <t>Apparent Power scale factor: Sunspec;</t>
  </si>
  <si>
    <t xml:space="preserve"> - 1  ~  4(used as exponent of a power of 10)</t>
  </si>
  <si>
    <t>-1~8</t>
  </si>
  <si>
    <t xml:space="preserve">Reactive Power VAR: Sunspec;
Total Reactive Power: Acuvim II
</t>
  </si>
  <si>
    <t>0~9999 var</t>
  </si>
  <si>
    <t xml:space="preserve">VAR phase A: Sunspec;
Phase A Reactive Power: Acuvim II
</t>
  </si>
  <si>
    <t>-32768~32767</t>
  </si>
  <si>
    <t xml:space="preserve">VAR phase B: Sunspec;
Phase B Reactive Power: Acuvim II
</t>
  </si>
  <si>
    <t>Q</t>
    <phoneticPr fontId="3" type="noConversion"/>
  </si>
  <si>
    <t xml:space="preserve">VAR phase C: Sunspec;
Phase C Reactive Power: Acuvim II
</t>
  </si>
  <si>
    <t>Reactive Power scale factor: Sunspec</t>
  </si>
  <si>
    <t>-1 ~ 4(used as exponent of a power of 10)</t>
  </si>
  <si>
    <t>Power Factor</t>
  </si>
  <si>
    <t xml:space="preserve">-1000 ~ 1000  </t>
  </si>
  <si>
    <t>PF phase A</t>
  </si>
  <si>
    <t>-1000 ~ 1000</t>
  </si>
  <si>
    <t>PF phase B</t>
  </si>
  <si>
    <t>PF phase C</t>
  </si>
  <si>
    <t>Power Factor scale factor: Sunspec</t>
  </si>
  <si>
    <t>-3(used as exponent of a power of 10)</t>
  </si>
  <si>
    <t>Total Real Energy Exported: Sunspec
Total Active Energy Exported: Acuvim II</t>
  </si>
  <si>
    <t>acc32</t>
  </si>
  <si>
    <r>
      <t>0-999999999 Wh</t>
    </r>
    <r>
      <rPr>
        <sz val="10"/>
        <rFont val="华文细黑"/>
        <family val="3"/>
        <charset val="134"/>
      </rPr>
      <t>（</t>
    </r>
    <r>
      <rPr>
        <sz val="10"/>
        <rFont val="Arial"/>
        <family val="2"/>
      </rPr>
      <t>unit: W</t>
    </r>
    <r>
      <rPr>
        <sz val="10"/>
        <rFont val="华文细黑"/>
        <family val="3"/>
        <charset val="134"/>
      </rPr>
      <t>）</t>
    </r>
  </si>
  <si>
    <t>EP Export/Output</t>
  </si>
  <si>
    <t>Total Watt-hours Exported in phase A: Sunspec;
Total Active Energy Exported in Phase A: Acuvim II</t>
  </si>
  <si>
    <t>0-999999999 Wh</t>
  </si>
  <si>
    <t>Total Watt-hours Exported in phase B: Sunspec;
Total Active Energy Exported in PhaseB: Acuvim II</t>
  </si>
  <si>
    <t>Total Watt-hours Exported in phase C: Sunspec;
Total Active Energy Exported in Phase C: Acuvim II</t>
  </si>
  <si>
    <t>Total Real Energy Imported: Sunspec;
Total Active Energy Imported: Acuvim II</t>
  </si>
  <si>
    <t>EP Import/Input</t>
  </si>
  <si>
    <t>Total Watt-hours Imported phase A: Sunspec;
Total Active Energy Imported in Phase A: Acuvim II</t>
  </si>
  <si>
    <t>Total Watt-hours Imported phase B: Sunspec;
Total Active Energy Imported in Phase B: Acuvim II</t>
  </si>
  <si>
    <t>Total Watt-hours Imported phase C: Sunspec;
Total Active Energy Imported in Phase C: Acuvim II</t>
  </si>
  <si>
    <t>TotWh_SF: Sunspec</t>
  </si>
  <si>
    <t>Update to : Secondary Change to 0,Primary as 3(used as exponent of a power of 10)</t>
  </si>
  <si>
    <t>Total VA-hours  Exported: Sunspec;</t>
  </si>
  <si>
    <t>P &lt; 0</t>
    <phoneticPr fontId="3" type="noConversion"/>
  </si>
  <si>
    <t>ES Export/Output</t>
  </si>
  <si>
    <t>Total VA-hours  Exported  in phase A: Sunspec;</t>
  </si>
  <si>
    <t>Total VA-hours  Exported  in phase B: Sunspec;</t>
  </si>
  <si>
    <t>Total VA-hours  Exported  in phase C: Sunspec;</t>
  </si>
  <si>
    <t>Total VA-hours  Imported: Sunspec;</t>
  </si>
  <si>
    <t>ES Import/Input</t>
  </si>
  <si>
    <t>Total VA-hours  Imported  in phase A: Sunspec;</t>
  </si>
  <si>
    <t>Total VA-hours  Imported  in phase B: Sunspec;</t>
  </si>
  <si>
    <t>Total VA-hours  Imported  in phase C: Sunspec;</t>
  </si>
  <si>
    <t>TotVAh_SF: Sunspec</t>
  </si>
  <si>
    <t>Total VAr-hours Imported Q1: Sunspec</t>
  </si>
  <si>
    <t>Total VAr-hours Imported Q1 phase A: Sunspec</t>
  </si>
  <si>
    <t>Total VAr-hours Imported Q1 phase B: Sunspec</t>
  </si>
  <si>
    <t>Total VAr-hours Imported Q1 phase C: Sunspec</t>
  </si>
  <si>
    <t>Total VAr-hours Imported Q2: Sunspec</t>
  </si>
  <si>
    <t>Total VAr-hours Imported Q2 phase A: Sunspec</t>
  </si>
  <si>
    <t>Total VAr-hours Imported Q2 phase B: Sunspec</t>
  </si>
  <si>
    <t>Total VAr-hours Imported Q2 phase C: Sunspec</t>
  </si>
  <si>
    <t>Total VAr-hours Exported Q3: Sunspec</t>
  </si>
  <si>
    <t>Total VAr-hours Exported Q3 phase A: Sunspec</t>
  </si>
  <si>
    <t>Total VAr-hours Exported Q3 phase B: Sunspec</t>
  </si>
  <si>
    <t>Total VAr-hours Exported Q3 phase C: Sunspec</t>
  </si>
  <si>
    <t>Total VAr-hours Exported Q4: Sunspec</t>
  </si>
  <si>
    <t>Total VAr-hours Exported Q4 phase A: Sunspec</t>
  </si>
  <si>
    <t>Total VAr-hours Exported Q4 phase B: Sunspec</t>
  </si>
  <si>
    <t>Total VAr-hours Exported Q4 phase C: Sunspec</t>
  </si>
  <si>
    <t>TotVArh_SF: Sunspec;</t>
  </si>
  <si>
    <t>Meter Event Flags</t>
  </si>
  <si>
    <t>bitfield32</t>
  </si>
  <si>
    <t>SunSpec_end_ID: Sunspec</t>
  </si>
  <si>
    <t>0xFFFF</t>
  </si>
  <si>
    <t>SunSpec_end_lenth: Sunspec</t>
  </si>
  <si>
    <t>Modbus address 0xF000-0xF0001</t>
  </si>
  <si>
    <t>Acuvim II V3</t>
    <phoneticPr fontId="4" type="noConversion"/>
  </si>
  <si>
    <t>Panel Mount</t>
    <phoneticPr fontId="4" type="noConversion"/>
  </si>
  <si>
    <t>DIN Rail</t>
    <phoneticPr fontId="4" type="noConversion"/>
  </si>
  <si>
    <t>5A/1A</t>
    <phoneticPr fontId="4" type="noConversion"/>
  </si>
  <si>
    <t>333mV/RCT</t>
    <phoneticPr fontId="4" type="noConversion"/>
  </si>
  <si>
    <t>mA</t>
    <phoneticPr fontId="4" type="noConversion"/>
  </si>
  <si>
    <t>Acuvim IIR</t>
  </si>
  <si>
    <t>CP02</t>
  </si>
  <si>
    <t>CP22</t>
  </si>
  <si>
    <t>CP42</t>
  </si>
  <si>
    <t>CU02</t>
  </si>
  <si>
    <t>CU22</t>
  </si>
  <si>
    <t>Acuvim IIW</t>
  </si>
  <si>
    <t>CP04</t>
  </si>
  <si>
    <t>CP24</t>
  </si>
  <si>
    <t>CP44</t>
  </si>
  <si>
    <t>CU04</t>
  </si>
  <si>
    <t>CU24</t>
  </si>
  <si>
    <t>Eaton customized models</t>
    <phoneticPr fontId="4" type="noConversion"/>
  </si>
  <si>
    <t>5A/mV/mA</t>
    <phoneticPr fontId="4" type="noConversion"/>
  </si>
  <si>
    <t>PXM1000 Ring terminal</t>
    <phoneticPr fontId="4" type="noConversion"/>
  </si>
  <si>
    <t>CPD1</t>
    <phoneticPr fontId="4" type="noConversion"/>
  </si>
  <si>
    <t>CUD1</t>
    <phoneticPr fontId="4" type="noConversion"/>
  </si>
  <si>
    <t>PXM1100 Ring terminal</t>
  </si>
  <si>
    <t>CPD2</t>
  </si>
  <si>
    <t>CUD2</t>
  </si>
  <si>
    <t>PXM1200 Ring terminal</t>
  </si>
  <si>
    <t>CPD3</t>
  </si>
  <si>
    <t>CUD3</t>
  </si>
  <si>
    <t>PXM1300 Ring terminal</t>
  </si>
  <si>
    <t>CPD4</t>
  </si>
  <si>
    <t>CUD4</t>
  </si>
  <si>
    <t>PXM1000 4CT</t>
    <phoneticPr fontId="4" type="noConversion"/>
  </si>
  <si>
    <t>CPG1</t>
    <phoneticPr fontId="4" type="noConversion"/>
  </si>
  <si>
    <t>CUG1</t>
    <phoneticPr fontId="4" type="noConversion"/>
  </si>
  <si>
    <t>PXM1100 4CT</t>
  </si>
  <si>
    <t>CPG2</t>
  </si>
  <si>
    <t>CUG2</t>
  </si>
  <si>
    <t>PXM1200 4CT</t>
  </si>
  <si>
    <t>CPG3</t>
  </si>
  <si>
    <t>CUG3</t>
  </si>
  <si>
    <t>PXM1300 4CT</t>
  </si>
  <si>
    <t>CPG4</t>
  </si>
  <si>
    <t>CUG4</t>
  </si>
  <si>
    <t>PXM3000 Ring terminal</t>
    <phoneticPr fontId="4" type="noConversion"/>
  </si>
  <si>
    <t>CRD6</t>
    <phoneticPr fontId="4" type="noConversion"/>
  </si>
  <si>
    <t>CXD6</t>
    <phoneticPr fontId="4" type="noConversion"/>
  </si>
  <si>
    <t>DEIF customized models</t>
    <phoneticPr fontId="4" type="noConversion"/>
  </si>
  <si>
    <t>CPBx</t>
    <phoneticPr fontId="4" type="noConversion"/>
  </si>
  <si>
    <t>CUBx</t>
    <phoneticPr fontId="4" type="noConversion"/>
  </si>
  <si>
    <t>Acuvim-L V4</t>
    <phoneticPr fontId="4" type="noConversion"/>
  </si>
  <si>
    <t>Acuvim-CL</t>
  </si>
  <si>
    <t>CP07</t>
    <phoneticPr fontId="4" type="noConversion"/>
  </si>
  <si>
    <t>CP27</t>
    <phoneticPr fontId="4" type="noConversion"/>
  </si>
  <si>
    <t>CU07</t>
    <phoneticPr fontId="4" type="noConversion"/>
  </si>
  <si>
    <t>CU27</t>
    <phoneticPr fontId="4" type="noConversion"/>
  </si>
  <si>
    <t>Acuvim-EL</t>
  </si>
  <si>
    <t>CP08</t>
    <phoneticPr fontId="4" type="noConversion"/>
  </si>
  <si>
    <t>CP28</t>
    <phoneticPr fontId="4" type="noConversion"/>
  </si>
  <si>
    <t>CU08</t>
    <phoneticPr fontId="4" type="noConversion"/>
  </si>
  <si>
    <t>CU28</t>
    <phoneticPr fontId="4" type="noConversion"/>
  </si>
  <si>
    <t>In rush reboot counter</t>
  </si>
  <si>
    <t>Normal reboot counter</t>
  </si>
  <si>
    <t>0x9501</t>
  </si>
  <si>
    <t>ADE9000 in idle state counter</t>
  </si>
  <si>
    <t>Loop internal</t>
  </si>
  <si>
    <t>Pulse constant type</t>
  </si>
  <si>
    <t>0x10FA</t>
  </si>
  <si>
    <t>float</t>
  </si>
  <si>
    <t>Pulse constant</t>
  </si>
  <si>
    <r>
      <t xml:space="preserve">0: 3LN
1: 1LN
2: 2LL
3: 3LL
4: 1LL
</t>
    </r>
    <r>
      <rPr>
        <sz val="10"/>
        <color rgb="FFFF0000"/>
        <rFont val="Arial"/>
        <family val="2"/>
      </rPr>
      <t>5：3LN-2.5</t>
    </r>
  </si>
  <si>
    <t>Phase Order</t>
  </si>
  <si>
    <t>0: ABC; 1:ACB</t>
  </si>
  <si>
    <t>0x10FE</t>
  </si>
  <si>
    <t>0x10FF</t>
  </si>
  <si>
    <t>AI1 value， fast read</t>
  </si>
  <si>
    <t>AI2 value， fast read</t>
  </si>
  <si>
    <t>AI3 value， fast read</t>
  </si>
  <si>
    <t>AI4 value， fast read</t>
  </si>
  <si>
    <t>0x3043</t>
  </si>
  <si>
    <t>0：disable; 1: enable</t>
  </si>
  <si>
    <t>0.001 - 800</t>
  </si>
  <si>
    <t>v6.20</t>
  </si>
  <si>
    <t>Load Run Time</t>
  </si>
  <si>
    <t>Load Run Time High Byte</t>
  </si>
  <si>
    <t>System Setting</t>
  </si>
  <si>
    <t>Load Run Time Low Byte</t>
  </si>
  <si>
    <t>0x143A</t>
  </si>
  <si>
    <t>0x143B</t>
  </si>
  <si>
    <t>10 years holiday settings</t>
  </si>
  <si>
    <t>W</t>
  </si>
  <si>
    <t>0xAA</t>
  </si>
  <si>
    <t>Clear -- Year 10 Holiday Number setting</t>
  </si>
  <si>
    <t>0x7E98</t>
  </si>
  <si>
    <t>Write 10 to clear</t>
  </si>
  <si>
    <t>1. Added 0x1028 for enabling/disabling Modbus Gateway; 
2. Added 0x10FF for choosing phase order;
3. Added 0x10FA-0x10FE for new pulse constant parameters
4.   Added 0x303C -0x3043 for reading AI real values
5. Added 0x143A- 0x143B for load run time in Basic Setting.
6. Added 0x7E98 in TOU setting to clear 10 year holiday setting
7. Correct a wrong address in "Max, Min(float)" for min current demand</t>
  </si>
  <si>
    <t>Pulse constant for energy, advance setting, reactive power</t>
  </si>
  <si>
    <t>Pulse constant for energy, advance setting, active power</t>
  </si>
  <si>
    <t>Spare</t>
  </si>
  <si>
    <t>Average Filter for Frequency（Update rate/Window Size）</t>
  </si>
  <si>
    <t>Float</t>
  </si>
  <si>
    <t>Acuvim-LV3 values in primary side</t>
  </si>
  <si>
    <t>I n RMS (calculation)</t>
  </si>
  <si>
    <t>Acuvim LV3 primary real-time reading</t>
  </si>
  <si>
    <t>Acuvim-L Parameters</t>
  </si>
  <si>
    <t>0x0600</t>
  </si>
  <si>
    <t>0x064B</t>
  </si>
  <si>
    <t>Sample rate</t>
  </si>
  <si>
    <t>Restart IO module</t>
  </si>
  <si>
    <t>1：module11; 2: module12; 3: module21; 
4: module22; 5: module31; 6: module32.</t>
  </si>
  <si>
    <t>Additonal 6A command</t>
  </si>
  <si>
    <t>Flashing LCD</t>
  </si>
  <si>
    <t>0x143C</t>
  </si>
  <si>
    <t>enable DHCP，eth2</t>
  </si>
  <si>
    <t>IP address Byte 1 (high) and Byte 2 (low)，eth2</t>
  </si>
  <si>
    <t>IP address Byte 3 (high) and Byte 4 (low)，eth2</t>
  </si>
  <si>
    <t>Subnet mask Byte 1 (high) and Byte 2 (low)，eth2</t>
  </si>
  <si>
    <t>Subnet mask Byte 3 (high) and Byte 4 (low)，eth2</t>
  </si>
  <si>
    <t>Gateway IP address Byte 1 (high) and Byte 2 (low)，eth2</t>
  </si>
  <si>
    <t>Gateway IP address Byte 3 (high) and Byte 4 (low)，eth2</t>
  </si>
  <si>
    <t>0: grey; 1: light</t>
  </si>
  <si>
    <t>Flashing LCD command</t>
  </si>
  <si>
    <t>0x0115</t>
  </si>
  <si>
    <t>v6.27</t>
  </si>
  <si>
    <t>v1.09</t>
  </si>
  <si>
    <t>0x20DD</t>
  </si>
  <si>
    <t xml:space="preserve">MC type (measurement canada) </t>
  </si>
  <si>
    <t>RW</t>
  </si>
  <si>
    <t>MC-type</t>
  </si>
  <si>
    <t>0xF081</t>
  </si>
  <si>
    <t>v1.07</t>
  </si>
  <si>
    <t>Add 0x21D4 - 0x21DD in "Acuvim-L Parameters" for Phase Angles</t>
  </si>
  <si>
    <t>v6.24</t>
  </si>
  <si>
    <t>v1.08</t>
  </si>
  <si>
    <t>Add 0xF081 for MC enable/disable in "Basic Settings"</t>
  </si>
  <si>
    <t>v6.26</t>
  </si>
  <si>
    <t>IO11-</t>
  </si>
  <si>
    <t>IO21-</t>
  </si>
  <si>
    <t>IO31-</t>
  </si>
  <si>
    <t>IO12-</t>
  </si>
  <si>
    <t>IO22-</t>
  </si>
  <si>
    <t>IO32-</t>
  </si>
  <si>
    <t>bit0-bit6: DI1  -- DI6</t>
  </si>
  <si>
    <t>bit0-bit4: DI1  -- DI4</t>
  </si>
  <si>
    <t>IO module DI status</t>
  </si>
  <si>
    <t>0x443A</t>
  </si>
  <si>
    <t>0x443F</t>
  </si>
  <si>
    <t>Parameter 33 reading</t>
  </si>
  <si>
    <t>Parameter 34 reading</t>
  </si>
  <si>
    <t>Parameter 35 reading</t>
  </si>
  <si>
    <t>Parameter 36 reading</t>
  </si>
  <si>
    <t>Parameter 37 reading</t>
  </si>
  <si>
    <t>Parameter 38 reading</t>
  </si>
  <si>
    <t>Parameter 39 reading</t>
  </si>
  <si>
    <t>Parameter 40 reading</t>
  </si>
  <si>
    <t>Parameter 41 reading</t>
  </si>
  <si>
    <t>Parameter 42 reading</t>
  </si>
  <si>
    <t>Parameter 43 reading</t>
  </si>
  <si>
    <t>Parameter 44 reading</t>
  </si>
  <si>
    <t>Parameter 45 reading</t>
  </si>
  <si>
    <t>Parameter 46 reading</t>
  </si>
  <si>
    <t>Parameter 47 reading</t>
  </si>
  <si>
    <t>Parameter 48 reading</t>
  </si>
  <si>
    <t>Parameter 49 reading</t>
  </si>
  <si>
    <t>Parameter 50 reading</t>
  </si>
  <si>
    <t>Parameter 51 reading</t>
  </si>
  <si>
    <t>Parameter 52 reading</t>
  </si>
  <si>
    <t>Parameter 53 reading</t>
  </si>
  <si>
    <t>Parameter 54 reading</t>
  </si>
  <si>
    <t>Parameter 55 reading</t>
  </si>
  <si>
    <t>Parameter 56 reading</t>
  </si>
  <si>
    <t>Parameter 57 reading</t>
  </si>
  <si>
    <t>Parameter 58 reading</t>
  </si>
  <si>
    <t>Parameter 59 reading</t>
  </si>
  <si>
    <t>Parameter 60 reading</t>
  </si>
  <si>
    <t>Parameter 61 reading</t>
  </si>
  <si>
    <t>Parameter 62 reading</t>
  </si>
  <si>
    <t>Parameter 63 reading</t>
  </si>
  <si>
    <t>Parameter 64 reading</t>
  </si>
  <si>
    <t>Parameter 65 reading</t>
  </si>
  <si>
    <t>Parameter 66 reading</t>
  </si>
  <si>
    <t>Parameter 67 reading</t>
  </si>
  <si>
    <t>Parameter 68 reading</t>
  </si>
  <si>
    <t>Parameter 69 reading</t>
  </si>
  <si>
    <t>Parameter 70 reading</t>
  </si>
  <si>
    <t>Parameter 71 reading</t>
  </si>
  <si>
    <t>Parameter 73 reading</t>
  </si>
  <si>
    <t>Parameter 74 reading</t>
  </si>
  <si>
    <t>Parameter 75 reading</t>
  </si>
  <si>
    <t>Parameter 76 reading</t>
  </si>
  <si>
    <t>Parameter 77 reading</t>
  </si>
  <si>
    <t>Parameter 78 reading</t>
  </si>
  <si>
    <t>Parameter 79 reading</t>
  </si>
  <si>
    <t>Parameter 80 reading</t>
  </si>
  <si>
    <t>Parameter 81 reading</t>
  </si>
  <si>
    <t>Parameter 82 reading</t>
  </si>
  <si>
    <t>Parameter 83 reading</t>
  </si>
  <si>
    <t>Parameter 84 reading</t>
  </si>
  <si>
    <t>Parameter 85 reading</t>
  </si>
  <si>
    <t>Parameter 86 reading</t>
  </si>
  <si>
    <t>Parameter 87 reading</t>
  </si>
  <si>
    <t>Parameter 88 reading</t>
  </si>
  <si>
    <t>Parameter 89 reading</t>
  </si>
  <si>
    <t>Parameter 90 reading</t>
  </si>
  <si>
    <t>Parameter 91 reading</t>
  </si>
  <si>
    <t>Parameter 92 reading</t>
  </si>
  <si>
    <t>Parameter 93 reading</t>
  </si>
  <si>
    <t>Parameter 94 reading</t>
  </si>
  <si>
    <t>Parameter 95 reading</t>
  </si>
  <si>
    <t>Parameter 96 reading</t>
  </si>
  <si>
    <t>Parameter 97 reading</t>
  </si>
  <si>
    <t>Parameter 98 reading</t>
  </si>
  <si>
    <t>Parameter 99 reading</t>
  </si>
  <si>
    <t>Parameter 100 reading</t>
  </si>
  <si>
    <t>Parameter 101 reading</t>
  </si>
  <si>
    <t>Parameter 102 reading</t>
  </si>
  <si>
    <t>Parameter 103 reading</t>
  </si>
  <si>
    <t>Parameter 104 reading</t>
  </si>
  <si>
    <t>Parameter 105 reading</t>
  </si>
  <si>
    <t>Parameter 106 reading</t>
  </si>
  <si>
    <t>Parameter 107 reading</t>
  </si>
  <si>
    <t>Parameter 108 reading</t>
  </si>
  <si>
    <t>Parameter 109 reading</t>
  </si>
  <si>
    <t>Parameter 110 reading</t>
  </si>
  <si>
    <t>Parameter 111 reading</t>
  </si>
  <si>
    <t>Parameter 112 reading</t>
  </si>
  <si>
    <t>Parameter 113 reading</t>
  </si>
  <si>
    <t>Parameter 114 reading</t>
  </si>
  <si>
    <t>Parameter 115 reading</t>
  </si>
  <si>
    <t>Parameter 116 reading</t>
  </si>
  <si>
    <t>Parameter 117 reading</t>
  </si>
  <si>
    <t>Parameter 118 reading</t>
  </si>
  <si>
    <t>Parameter 119 reading</t>
  </si>
  <si>
    <t>Parameter 120 reading</t>
  </si>
  <si>
    <t>Parameter 33 Selection</t>
  </si>
  <si>
    <t>Parameter 34 Selection</t>
  </si>
  <si>
    <t>Parameter 35 Selection</t>
  </si>
  <si>
    <t>Parameter 36 Selection</t>
  </si>
  <si>
    <t>Parameter 37 Selection</t>
  </si>
  <si>
    <t>Parameter 38 Selection</t>
  </si>
  <si>
    <t>Parameter 39 Selection</t>
  </si>
  <si>
    <t>Parameter 40 Selection</t>
  </si>
  <si>
    <t>Parameter 41 Selection</t>
  </si>
  <si>
    <t>Parameter 42 Selection</t>
  </si>
  <si>
    <t>Parameter 43 Selection</t>
  </si>
  <si>
    <t>Parameter 44 Selection</t>
  </si>
  <si>
    <t>Parameter 45 Selection</t>
  </si>
  <si>
    <t>Parameter 46 Selection</t>
  </si>
  <si>
    <t>Parameter 47 Selection</t>
  </si>
  <si>
    <t>Parameter 48 Selection</t>
  </si>
  <si>
    <t>Parameter 49 Selection</t>
  </si>
  <si>
    <t>Parameter 50 Selection</t>
  </si>
  <si>
    <t>Parameter 51 Selection</t>
  </si>
  <si>
    <t>Parameter 52 Selection</t>
  </si>
  <si>
    <t>Parameter 53 Selection</t>
  </si>
  <si>
    <t>Parameter 54 Selection</t>
  </si>
  <si>
    <t>Parameter 55 Selection</t>
  </si>
  <si>
    <t>Parameter 56 Selection</t>
  </si>
  <si>
    <t>Parameter 57 Selection</t>
  </si>
  <si>
    <t>Parameter 58 Selection</t>
  </si>
  <si>
    <t>Parameter 59 Selection</t>
  </si>
  <si>
    <t>Parameter 60 Selection</t>
  </si>
  <si>
    <t>Parameter 61 Selection</t>
  </si>
  <si>
    <t>Parameter 63 Selection</t>
  </si>
  <si>
    <t>Parameter 64 Selection</t>
  </si>
  <si>
    <t>Parameter 65 Selection</t>
  </si>
  <si>
    <t>Parameter 66 Selection</t>
  </si>
  <si>
    <t>Parameter 67 Selection</t>
  </si>
  <si>
    <t>Parameter 68 Selection</t>
  </si>
  <si>
    <t>Parameter 69 Selection</t>
  </si>
  <si>
    <t>Parameter 70 Selection</t>
  </si>
  <si>
    <t>Parameter 71 Selection</t>
  </si>
  <si>
    <t>Parameter 72 Selection</t>
  </si>
  <si>
    <t>Parameter 73 Selection</t>
  </si>
  <si>
    <t>Parameter 74 Selection</t>
  </si>
  <si>
    <t>Parameter 75 Selection</t>
  </si>
  <si>
    <t>Parameter 76 Selection</t>
  </si>
  <si>
    <t>Parameter 77 Selection</t>
  </si>
  <si>
    <t>Parameter 78 Selection</t>
  </si>
  <si>
    <t>Parameter 79 Selection</t>
  </si>
  <si>
    <t>Parameter 80 Selection</t>
  </si>
  <si>
    <t>Parameter 81 Selection</t>
  </si>
  <si>
    <t>Parameter 82 Selection</t>
  </si>
  <si>
    <t>Parameter 83 Selection</t>
  </si>
  <si>
    <t>Parameter 84 Selection</t>
  </si>
  <si>
    <t>Parameter 85 Selection</t>
  </si>
  <si>
    <t>Parameter 86 Selection</t>
  </si>
  <si>
    <t>Parameter 87 Selection</t>
  </si>
  <si>
    <t>Parameter 88 Selection</t>
  </si>
  <si>
    <t>Parameter 89 Selection</t>
  </si>
  <si>
    <t>Parameter 90 Selection</t>
  </si>
  <si>
    <t>Parameter 91 Selection</t>
  </si>
  <si>
    <t>Parameter 92 Selection</t>
  </si>
  <si>
    <t>Parameter 93 Selection</t>
  </si>
  <si>
    <t>Parameter 94 Selection</t>
  </si>
  <si>
    <t>Parameter 95 Selection</t>
  </si>
  <si>
    <t>Parameter 96 Selection</t>
  </si>
  <si>
    <t>Parameter 97 Selection</t>
  </si>
  <si>
    <t>Parameter 98 Selection</t>
  </si>
  <si>
    <t>Parameter 99 Selection</t>
  </si>
  <si>
    <t>Parameter 100 Selection</t>
  </si>
  <si>
    <t>Parameter 101 Selection</t>
  </si>
  <si>
    <t>Parameter 102 Selection</t>
  </si>
  <si>
    <t>Parameter 103 Selection</t>
  </si>
  <si>
    <t>Parameter 104 Selection</t>
  </si>
  <si>
    <t>Parameter 105 Selection</t>
  </si>
  <si>
    <t>Parameter 106 Selection</t>
  </si>
  <si>
    <t>Parameter 107 Selection</t>
  </si>
  <si>
    <t>Parameter 108 Selection</t>
  </si>
  <si>
    <t>Parameter 109 Selection</t>
  </si>
  <si>
    <t>Parameter 110 Selection</t>
  </si>
  <si>
    <t>Parameter 111 Selection</t>
  </si>
  <si>
    <t>Parameter 112 Selection</t>
  </si>
  <si>
    <t>Parameter 113 Selection</t>
  </si>
  <si>
    <t>Parameter 114 Selection</t>
  </si>
  <si>
    <t>Parameter 115 Selection</t>
  </si>
  <si>
    <t>Parameter 116 Selection</t>
  </si>
  <si>
    <t>Parameter 117 Selection</t>
  </si>
  <si>
    <t>Parameter 118 Selection</t>
  </si>
  <si>
    <t>Parameter 119 Selection</t>
  </si>
  <si>
    <t>Parameter 120 Selection</t>
  </si>
  <si>
    <t>0x6A77</t>
  </si>
  <si>
    <t>0x6B78</t>
  </si>
  <si>
    <t>10/12 cycle</t>
  </si>
  <si>
    <t>Time Stamp， for RMS</t>
  </si>
  <si>
    <t>Uint64</t>
  </si>
  <si>
    <t>Time Stamp, for FFT</t>
  </si>
  <si>
    <t>Valid flag</t>
  </si>
  <si>
    <t>Event flag</t>
  </si>
  <si>
    <t>Block number</t>
  </si>
  <si>
    <t>V1</t>
  </si>
  <si>
    <t>V2</t>
  </si>
  <si>
    <t>V3</t>
  </si>
  <si>
    <t>V12</t>
  </si>
  <si>
    <t>V23</t>
  </si>
  <si>
    <t>V31</t>
  </si>
  <si>
    <t>VLN, average</t>
  </si>
  <si>
    <t>VLL, average</t>
  </si>
  <si>
    <t>I1</t>
  </si>
  <si>
    <t>I2</t>
  </si>
  <si>
    <t>I3</t>
  </si>
  <si>
    <t>In</t>
  </si>
  <si>
    <t>I, average</t>
  </si>
  <si>
    <t>P, phase A</t>
  </si>
  <si>
    <t>P, phase B</t>
  </si>
  <si>
    <t>P, phase C</t>
  </si>
  <si>
    <t>S, phase A</t>
  </si>
  <si>
    <t>S, phase B</t>
  </si>
  <si>
    <t>S, phase C</t>
  </si>
  <si>
    <t>P, system</t>
  </si>
  <si>
    <t>THD_V1(V12), odd</t>
  </si>
  <si>
    <t>THD_V1(V12), even</t>
  </si>
  <si>
    <t>THD_V2(V31), odd</t>
  </si>
  <si>
    <t>THD_V2(V31), even</t>
  </si>
  <si>
    <t>THD_V3(V23), odd</t>
  </si>
  <si>
    <t>THD_V3(V23), even</t>
  </si>
  <si>
    <t>THD_I1, odd</t>
  </si>
  <si>
    <t>THD_I1, even</t>
  </si>
  <si>
    <t>THD_I2, odd</t>
  </si>
  <si>
    <t>THD_I2, even</t>
  </si>
  <si>
    <t>THD_I3, odd</t>
  </si>
  <si>
    <t>THD_I3, even</t>
  </si>
  <si>
    <t>Voltage Unbalance Factor</t>
  </si>
  <si>
    <t>Voltage  Zero Sequence, real part</t>
  </si>
  <si>
    <t>Voltage  Zero Sequence, imaginary part</t>
  </si>
  <si>
    <t>Voltage Positive Sequence, real part</t>
  </si>
  <si>
    <t>Voltage Positive Sequence, imaginary part</t>
  </si>
  <si>
    <t>Voltage Negative Sequence, real part</t>
  </si>
  <si>
    <t>Voltage Negative Sequence, imaginary part</t>
  </si>
  <si>
    <t>Current Unbalance Factor</t>
  </si>
  <si>
    <t>Current  Zero Sequence, real part</t>
  </si>
  <si>
    <t>Current  Zero Sequence, imaginary part</t>
  </si>
  <si>
    <t>Current Positive Sequence, real part</t>
  </si>
  <si>
    <t>Current Positive Sequence, imaginary part</t>
  </si>
  <si>
    <t>Current Negative Sequence, real part</t>
  </si>
  <si>
    <t>Current Negative Sequence, imaginary part</t>
  </si>
  <si>
    <t>150/180 cycle</t>
  </si>
  <si>
    <t>10 min</t>
  </si>
  <si>
    <t>Not Use</t>
  </si>
  <si>
    <t>2 hours</t>
  </si>
  <si>
    <t>Harmonic - amplitude</t>
  </si>
  <si>
    <t>10 minutes</t>
  </si>
  <si>
    <t>Block</t>
    <phoneticPr fontId="3" type="noConversion"/>
  </si>
  <si>
    <t>Event record parameter setup</t>
  </si>
  <si>
    <t>R/W</t>
    <phoneticPr fontId="3" type="noConversion"/>
  </si>
  <si>
    <t>Sample rate</t>
    <phoneticPr fontId="3" type="noConversion"/>
  </si>
  <si>
    <t>Voltage Sag Enable/Disable</t>
  </si>
  <si>
    <t>10 to 90</t>
  </si>
  <si>
    <t>Voltage Sag Hysteresis</t>
  </si>
  <si>
    <t>1 to 10</t>
  </si>
  <si>
    <t>Voltage Sag Waveform Trigger</t>
  </si>
  <si>
    <t>Voltage Sag Event
 - switch to digital output D0X</t>
  </si>
  <si>
    <t>0: No output; 1:D01; 2: D02; 3: D03; 4: D04</t>
  </si>
  <si>
    <t>Energy quality event-Voltage Sag
output to RO</t>
  </si>
  <si>
    <t>Voltage Swell Enable/Disable</t>
  </si>
  <si>
    <t>110 to 150</t>
  </si>
  <si>
    <t>Voltage Swell Hysteresis</t>
  </si>
  <si>
    <t>Voltage Swell Waveform Trigger</t>
  </si>
  <si>
    <t>Voltage Swell Event
 - switch to digital output D0X</t>
  </si>
  <si>
    <t>Voltage Interrupt Enable/Disable</t>
  </si>
  <si>
    <t>Voltage Interrupt Threshold</t>
  </si>
  <si>
    <t>5 to 10</t>
  </si>
  <si>
    <t>Voltage Interrupt Hysteresis</t>
  </si>
  <si>
    <t>Voltage Interrupt Waveform Trigger</t>
  </si>
  <si>
    <t>Voltage Interrupt Event
 - switch to digital output D0X</t>
  </si>
  <si>
    <t>Energy quality event-Voltage Interrupt
output to RO</t>
  </si>
  <si>
    <t>Unbalance Voltage Enable/Disable</t>
  </si>
  <si>
    <t>Unbalance Voltage Threshold</t>
  </si>
  <si>
    <t>5 to 50</t>
  </si>
  <si>
    <t>Unbalance Voltage Hysteresis</t>
  </si>
  <si>
    <t>Unbalance Voltage Waveform Trigger</t>
  </si>
  <si>
    <t>Unbalance Voltage Event
 - switch to digital output D0X</t>
  </si>
  <si>
    <t>Energy quality event-Unbalance Voltage output to RO</t>
  </si>
  <si>
    <t>Current Dip Enable/Disable</t>
  </si>
  <si>
    <t>Current Dip Threshold</t>
  </si>
  <si>
    <t>Current Dip Hysteresis</t>
  </si>
  <si>
    <t>Current Dip Waveform Trigger</t>
  </si>
  <si>
    <t>Current Dip Event
 - switch to digital output D0X</t>
  </si>
  <si>
    <t>Energy quality event-Current Dip
output to RO</t>
  </si>
  <si>
    <t>Current Swell Enable/Disable</t>
  </si>
  <si>
    <t>Current Swell Threshold</t>
  </si>
  <si>
    <t>Current Swell Hysteresis</t>
  </si>
  <si>
    <t>Current Swell Waveform Trigger</t>
  </si>
  <si>
    <t>Current Swell Event
 - switch to digital output D0X</t>
  </si>
  <si>
    <t>Energy quality event-Current Swell 
output to RO</t>
  </si>
  <si>
    <t>Unbalance Current Enable/Disable</t>
  </si>
  <si>
    <t>Unbalance Current Threshold</t>
  </si>
  <si>
    <t>Unbalance Current Hysteresis</t>
  </si>
  <si>
    <t>Unbalance Current Waveform Trigger</t>
  </si>
  <si>
    <t>Unbalance Current Event
 - switch to digital output D0X</t>
  </si>
  <si>
    <t>Energy quality event-Unbalance Current output to RO</t>
  </si>
  <si>
    <t>Event Record Reading Area(Log)</t>
  </si>
  <si>
    <t>Time Stamp, UTC</t>
  </si>
  <si>
    <t>Time Stamp, Ms</t>
  </si>
  <si>
    <t>Event Trigger Info</t>
  </si>
  <si>
    <t>Exterm Value 1</t>
  </si>
  <si>
    <t>Exterm Value 2</t>
  </si>
  <si>
    <t>Exterm Value 3</t>
  </si>
  <si>
    <t>Event Duration</t>
  </si>
  <si>
    <t>Pading 1</t>
  </si>
  <si>
    <t>Pading 2</t>
  </si>
  <si>
    <t>4-30 Class S Reading</t>
  </si>
  <si>
    <t>0x95B0</t>
  </si>
  <si>
    <t>PQ Event Setup</t>
  </si>
  <si>
    <t>4-30 PQ Event</t>
  </si>
  <si>
    <t>0xAF66</t>
  </si>
  <si>
    <t>0xAF8C</t>
  </si>
  <si>
    <t>PQ Event Log</t>
  </si>
  <si>
    <t>0xAF96</t>
  </si>
  <si>
    <t>4-30 PQ Event Enable</t>
  </si>
  <si>
    <t>0xAF65</t>
  </si>
  <si>
    <t>Class S PQ Event enable</t>
  </si>
  <si>
    <t>10s</t>
  </si>
  <si>
    <t>Nominal full load power</t>
  </si>
  <si>
    <t>0xB008</t>
  </si>
  <si>
    <t>0x493D</t>
  </si>
  <si>
    <t>Moving Average Parameter for 1 Cycle RMS</t>
  </si>
  <si>
    <t xml:space="preserve">Moving Average Parameters </t>
  </si>
  <si>
    <t>for 1 Cycle RMS</t>
  </si>
  <si>
    <t>0x495E</t>
  </si>
  <si>
    <t>10 to 690(3LL）or 400</t>
  </si>
  <si>
    <t>5000(5A meter) 1000(mV meter)</t>
  </si>
  <si>
    <r>
      <t xml:space="preserve">READ: 
Acuvim II: 0;
Acuvim IIR: （1）;
Acuvim IIE: （2）;
Acuvim IIW: （3）;
Acuvim IIBN: (4)
Acuvim IIX: (5) (PXE2)
</t>
    </r>
    <r>
      <rPr>
        <sz val="10"/>
        <color rgb="FFFF0000"/>
        <rFont val="Arial"/>
        <family val="2"/>
      </rPr>
      <t>PXE1: (6)</t>
    </r>
    <r>
      <rPr>
        <sz val="10"/>
        <rFont val="Arial"/>
        <family val="2"/>
      </rPr>
      <t xml:space="preserve">
Acuvim-CL: 7
Acuvim-EL: 8</t>
    </r>
  </si>
  <si>
    <r>
      <t xml:space="preserve">WRITE: 
Acuvim II: 0;
Acuvim IIR: 0xE746;
Acuvim IIE: 0xD829;
Acuvim IIW: 0xC947;
Acuvim IIBN: 0xC836
</t>
    </r>
    <r>
      <rPr>
        <sz val="10"/>
        <color rgb="FFFF0000"/>
        <rFont val="Arial"/>
        <family val="2"/>
      </rPr>
      <t>Acuvim IIX/PXE2: 0xBA28
PXE1: 0xBA29</t>
    </r>
    <r>
      <rPr>
        <sz val="10"/>
        <rFont val="Arial"/>
        <family val="2"/>
      </rPr>
      <t xml:space="preserve">
Acuvim-CL: 0xE93A
Acuvim-EL: 0xBC46</t>
    </r>
  </si>
  <si>
    <t>0: 16 points; 1: 32 points;
2: 64 points; 3: 128 points;
4: 256 points; 5: 512.</t>
  </si>
  <si>
    <t xml:space="preserve">Bit 0-2: Phase A,B,C 
Bit 3-6: Dip, Swell, Unbalance, Interrupt
Bit 7: Voltage or Current, Voltage:0 , Current:1 </t>
  </si>
  <si>
    <t>Voltage Zero Unbalance Factor</t>
  </si>
  <si>
    <t>Current Zero Unbalance Factor</t>
  </si>
  <si>
    <t>0xA3E2</t>
  </si>
  <si>
    <r>
      <t xml:space="preserve">0: Energy Pulse output      1: Alarm output, </t>
    </r>
    <r>
      <rPr>
        <sz val="10"/>
        <color rgb="FFFF0000"/>
        <rFont val="Arial"/>
        <family val="2"/>
      </rPr>
      <t>2: PQ event</t>
    </r>
  </si>
  <si>
    <r>
      <t xml:space="preserve">0: Relay  1: Alarm </t>
    </r>
    <r>
      <rPr>
        <sz val="10"/>
        <color rgb="FFFF0000"/>
        <rFont val="Arial"/>
        <family val="2"/>
      </rPr>
      <t>2: PQ event</t>
    </r>
  </si>
  <si>
    <t>0: No output
Bit0: Output to relay RO11-1
Bit1: RO11-2. Bit2: RO31-1
Bit3: RO31-2. Bit4: RO12-1
Bit5: RO12-2. Bit6: RO32-1
Bit7: RO32-2</t>
  </si>
  <si>
    <t>0x9503</t>
  </si>
  <si>
    <t>0x9504</t>
  </si>
  <si>
    <t>Waveform counter</t>
  </si>
  <si>
    <t>V1 or V12 Harmonic amplitude  (1st - 63rd order)</t>
  </si>
  <si>
    <t>V2 or V23 Harmonic amplitude  (1st - 63rd order)</t>
  </si>
  <si>
    <t>V3 or V31 Harmonic amplitude  (1st - 63rd order)</t>
  </si>
  <si>
    <t>I1 Harmonic amplitude  (1st - 63rd order)</t>
  </si>
  <si>
    <t>I2 Harmonic amplitude  (1st - 63rd order)</t>
  </si>
  <si>
    <t>I3 Harmonic amplitude  (1st - 63rd order)</t>
  </si>
  <si>
    <t>V2 or V23 harmonic amplitude percentage (1st - 63rd order)</t>
  </si>
  <si>
    <t>V3 or V31 harmonic amplitude percentage (1st - 63rd order)</t>
  </si>
  <si>
    <t>I1 harmonic amplitude percentage (1st - 63rd order)</t>
  </si>
  <si>
    <t>I2 harmonic amplitude percentage (1st - 63rd order)</t>
  </si>
  <si>
    <t>I3 harmonic amplitude percentage (1st - 63rd order)</t>
  </si>
  <si>
    <t>V1 or V12 harmonic amplitude percentage (1st - 63rd order)</t>
  </si>
  <si>
    <t>Phase Rotation</t>
  </si>
  <si>
    <t>0x143D</t>
  </si>
  <si>
    <t>0: reverse; 1: normal</t>
  </si>
  <si>
    <t>Channel 2 communication protocol</t>
  </si>
  <si>
    <t>0 (1 for PXM model)</t>
  </si>
  <si>
    <t>v1.10</t>
  </si>
  <si>
    <t>v6.28</t>
  </si>
  <si>
    <r>
      <t xml:space="preserve">1. Added 0x0600- 0x064B in sheet "Acuvim-L Parameters"
2. Added 0x143C for flashing LCD command in "Basic Setting"
3. Added 0x010F-0x0115 for ETH2 parameters in "Communication Module"
4. Added 0x443A-0x443F for IO module DI status in "Alarm Recored|DI"
5. Extended user defined parameters to 120 in "Basic Setting"
6. Added sheet "4-30 Class S Reading"
</t>
    </r>
    <r>
      <rPr>
        <sz val="11"/>
        <rFont val="Calibri"/>
        <family val="2"/>
        <scheme val="minor"/>
      </rPr>
      <t>7.  Added sheet "4-30 PQ Event"</t>
    </r>
    <r>
      <rPr>
        <sz val="11"/>
        <rFont val="Calibri"/>
        <family val="2"/>
        <charset val="134"/>
        <scheme val="minor"/>
      </rPr>
      <t xml:space="preserve">
8. Added 0x493D-0x49FE in "Real Time Parameters" for Moving Average Parameter for 1 Cycle RMS 
9. Add 0x9503-0x9504 in "debug" sheet for waveform counter</t>
    </r>
  </si>
  <si>
    <t>CU42</t>
  </si>
  <si>
    <t>CU44</t>
  </si>
  <si>
    <t>PXE</t>
  </si>
  <si>
    <t>Ring terminal</t>
  </si>
  <si>
    <t>CPE1</t>
  </si>
  <si>
    <t>CUE1</t>
  </si>
  <si>
    <t>CPE4</t>
  </si>
  <si>
    <t>CUE4</t>
  </si>
  <si>
    <t>4CT</t>
  </si>
  <si>
    <t>CPH1</t>
  </si>
  <si>
    <t>CPH4</t>
  </si>
  <si>
    <t>CUH1</t>
  </si>
  <si>
    <t>CUH4</t>
  </si>
  <si>
    <t>M: panel mount with display
T: DIN rail without display</t>
  </si>
  <si>
    <t>PXE1M(T)B1(4)A-3</t>
  </si>
  <si>
    <t>PXE2M(T)B1(4)A-3</t>
  </si>
  <si>
    <t>PXE1M(T)B1(4)V-3</t>
  </si>
  <si>
    <t>PXE2M(T)B1(4)V-3</t>
  </si>
  <si>
    <t>PXE1M(T)B1(4)A-4</t>
  </si>
  <si>
    <t>PXE2M(T)B1(4)A-4</t>
  </si>
  <si>
    <t>PXE1M(T)B1(4)V-4</t>
  </si>
  <si>
    <t>PXE2M(T)B1(4)V-4</t>
  </si>
  <si>
    <t>Remove power parameters from sheet "4-30 Class S Reading"
Add PXE model in sheet "Meter Model"</t>
  </si>
  <si>
    <t>Actual amplitude percentage = 
reading data / 100</t>
  </si>
  <si>
    <t>500 to 5000(5A) or 100-1000</t>
  </si>
  <si>
    <t>Delta1: 46; Delta: 2</t>
  </si>
  <si>
    <t>Delta1:0x3200; Delta2: 0x320D</t>
  </si>
  <si>
    <t>Delta1:0x3202; Delta2: 0</t>
  </si>
  <si>
    <t>Delta1:0x3203; Delta2: 0</t>
  </si>
  <si>
    <t>Delta1:0x3204; Delta2: 0</t>
  </si>
  <si>
    <t>Delta1:0x3205; Delta2: 0</t>
  </si>
  <si>
    <t>Delta1:0x3206; Delta2: 0</t>
  </si>
  <si>
    <t>Delta1:0x3207; Delta2: 0</t>
  </si>
  <si>
    <t>Delta1:0x3208; Delta2: 0</t>
  </si>
  <si>
    <t>Delta1:0x3209; Delta2: 0</t>
  </si>
  <si>
    <t>Delta1:0x320A; Delta2: 0</t>
  </si>
  <si>
    <t>Delta1:0x3210; Delta2: 0</t>
  </si>
  <si>
    <t>Delta1:0x3211; Delta2: 0</t>
  </si>
  <si>
    <t>Delta1:0x3212; Delta2: 0</t>
  </si>
  <si>
    <t>Delta1:0x3213; Delta2: 0</t>
  </si>
  <si>
    <t>Delta1:0x3214; Delta2: 0</t>
  </si>
  <si>
    <t>Delta1:0x3215; Delta2: 0</t>
  </si>
  <si>
    <t>Delta1:0x3216; Delta2: 0</t>
  </si>
  <si>
    <t>Delta1:0x3217; Delta2: 0</t>
  </si>
  <si>
    <t>Delta1:0x3218; Delta2: 0</t>
  </si>
  <si>
    <t>Delta1:0x320B; Delta2: 0</t>
  </si>
  <si>
    <t>Delta1:0x320C; Delta2: 0</t>
  </si>
  <si>
    <t>Delta1:0x320D; Delta2: 0</t>
  </si>
  <si>
    <t>Delta1:0x320E; Delta2: 0</t>
  </si>
  <si>
    <t>Delta1:0x320F; Delta2: 0</t>
  </si>
  <si>
    <t>Delta1:0x3219; Delta2: 0</t>
  </si>
  <si>
    <t>Delta1:0x321A; Delta2: 0</t>
  </si>
  <si>
    <t>Delta1:0x321B; Delta2: 0</t>
  </si>
  <si>
    <t>Delta1:0x321C; Delta2: 0</t>
  </si>
  <si>
    <t>Delta1:0x321D; Delta2: 0</t>
  </si>
  <si>
    <t>Delta1:0x405A; Delta2: 0</t>
  </si>
  <si>
    <t>Delta1:0x405B; Delta2: 0</t>
  </si>
  <si>
    <t>Delta1:0x405C; Delta2: 0</t>
  </si>
  <si>
    <t>Delta1:0x405D; Delta2: 0</t>
  </si>
  <si>
    <t>Delta1:0x405E; Delta2: 0</t>
  </si>
  <si>
    <t>Delta1:0x405F; Delta2: 0</t>
  </si>
  <si>
    <t>Delta1:0x4060; Delta2: 0</t>
  </si>
  <si>
    <t>Delta1:0x4061; Delta2: 0</t>
  </si>
  <si>
    <t>Delta1:0x4620; Delta2: 0</t>
  </si>
  <si>
    <t>Delta1:0x4621; Delta2: 0</t>
  </si>
  <si>
    <t>Delta1:0x4624; Delta2: 0</t>
  </si>
  <si>
    <t>Delta1:0x4625; Delta2: 0</t>
  </si>
  <si>
    <t>Delta1:0x4628; Delta2: 0</t>
  </si>
  <si>
    <t>Delta1:0x4629; Delta2: 0</t>
  </si>
  <si>
    <t>Delta1:0x4048; Delta2: 0</t>
  </si>
  <si>
    <t>Delta1:0x4049; Delta2: 0</t>
  </si>
  <si>
    <t>Delta1:0x3201; Delta2: 0x443A</t>
  </si>
  <si>
    <t>For DELTA:
0xF058 is 0:Delta1; 0xF058 is "11": Delta2</t>
  </si>
  <si>
    <t>CPB2</t>
  </si>
  <si>
    <t>CUB2</t>
  </si>
  <si>
    <t xml:space="preserve">MIC-2 MKII  </t>
  </si>
  <si>
    <t>MIC-2 MKII  DIN</t>
  </si>
  <si>
    <t>MIC-2 MKII FCT</t>
  </si>
  <si>
    <t>MIC-2 MKII FCT DIN</t>
  </si>
  <si>
    <t>MIB 8000C</t>
  </si>
  <si>
    <t>CPB7</t>
  </si>
  <si>
    <t>MIC-2 MKII LV</t>
  </si>
  <si>
    <t>Acuvim IIR-D-5A-P1V3</t>
  </si>
  <si>
    <t>Acuvim IIR-M-5A-P1V3</t>
  </si>
  <si>
    <t>Acuvim IIR-D-RCT-P1V3</t>
  </si>
  <si>
    <t>Acuvim IIR-M-RCT-P1V3</t>
  </si>
  <si>
    <t>Acuvim-CL-D-5A-P1V4</t>
  </si>
  <si>
    <t>Acuvim IIR-D-5A-P2V3</t>
  </si>
  <si>
    <t xml:space="preserve">Demand reset max/min seting </t>
  </si>
  <si>
    <t xml:space="preserve">0:manuel ; 1:auto </t>
  </si>
  <si>
    <t>day(1-30) hour(1-24) min(1-60)</t>
  </si>
  <si>
    <t>0 - INT_MAX</t>
  </si>
  <si>
    <t xml:space="preserve">Demand MaxMin reset mode </t>
  </si>
  <si>
    <t>Demand MaxMin auto reset time (day/hour/min)</t>
  </si>
  <si>
    <t xml:space="preserve">Demand MaxMin reset count </t>
  </si>
  <si>
    <t xml:space="preserve">Demand MaxMin last reset time </t>
  </si>
  <si>
    <t>Demand MaxMin reset flag</t>
  </si>
  <si>
    <t>0-1</t>
  </si>
  <si>
    <t xml:space="preserve">Demand MaxMin reset Record </t>
  </si>
  <si>
    <t>Demand maxmin Reset config</t>
  </si>
  <si>
    <t xml:space="preserve">Basic Setting </t>
  </si>
  <si>
    <t>0x1450</t>
  </si>
  <si>
    <t>0x143D "Phase Rotation" in sheet "Basic Setting": add a second value</t>
  </si>
  <si>
    <t>v1.11</t>
  </si>
  <si>
    <t>V1.12</t>
  </si>
  <si>
    <t>Current In Direction</t>
  </si>
  <si>
    <t>System Setting - In current direction</t>
  </si>
  <si>
    <t>0x145D</t>
  </si>
  <si>
    <r>
      <t xml:space="preserve">Accumulated Energy </t>
    </r>
    <r>
      <rPr>
        <b/>
        <sz val="10"/>
        <color rgb="FFFF0000"/>
        <rFont val="华文细黑"/>
        <family val="3"/>
        <charset val="134"/>
      </rPr>
      <t>（</t>
    </r>
    <r>
      <rPr>
        <b/>
        <sz val="10"/>
        <color rgb="FFFF0000"/>
        <rFont val="Arial"/>
        <family val="2"/>
      </rPr>
      <t>1S</t>
    </r>
    <r>
      <rPr>
        <b/>
        <sz val="10"/>
        <color rgb="FFFF0000"/>
        <rFont val="华文细黑"/>
        <family val="3"/>
        <charset val="134"/>
      </rPr>
      <t>）</t>
    </r>
  </si>
  <si>
    <t>0x4980</t>
  </si>
  <si>
    <t xml:space="preserve">Energy accumulated start time </t>
  </si>
  <si>
    <t xml:space="preserve">Energy accumulated end time </t>
  </si>
  <si>
    <t>Accumulated Energy Setting</t>
  </si>
  <si>
    <t>Time Internal for accumulated energy</t>
  </si>
  <si>
    <t>0: 30min 1:1day 2:1week 3:1month</t>
  </si>
  <si>
    <t>Manuel reset accumulated energy</t>
  </si>
  <si>
    <t>Wirecheck Error Code</t>
  </si>
  <si>
    <t xml:space="preserve">Wirecheck error code </t>
  </si>
  <si>
    <t>v6.29/v6.30</t>
  </si>
  <si>
    <t>v6.31</t>
  </si>
  <si>
    <t>Display version</t>
  </si>
  <si>
    <t>Danyang Kuang
Haibo Song
Danyang Kuang
Danyang Kuang</t>
  </si>
  <si>
    <t xml:space="preserve">1. Add dmenad maxmin reset config 
2. System Setting - In current direction in sheet "Basic Setting": 0x145D
3. Add 0xF02A in "System" for display version
4.  Add accumulated energy setting and reading 
5. Add wire check error code </t>
  </si>
  <si>
    <t>2024/1/20
2024/01/31
2024/02/28</t>
  </si>
  <si>
    <t>0: disable; 1:enable; 2: S type</t>
  </si>
  <si>
    <t>V1.13</t>
  </si>
  <si>
    <t>RO
read: FC 01
write: FC 05</t>
  </si>
  <si>
    <t>Delta Meter 11
read: FC 03
write: FC 16</t>
  </si>
  <si>
    <t>Danyang Kuang</t>
  </si>
  <si>
    <t>DELTA</t>
  </si>
  <si>
    <t>1. Add all RO read&amp;write (Delta Require)  0xF083-0XF08A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</si>
</sst>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1"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Calibri"/>
      <family val="2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name val="宋体"/>
      <family val="3"/>
      <charset val="134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sz val="10"/>
      <color theme="1"/>
      <name val="华文细黑"/>
      <family val="3"/>
      <charset val="134"/>
    </font>
    <font>
      <sz val="10"/>
      <color indexed="63"/>
      <name val="Arial"/>
      <family val="2"/>
    </font>
    <font>
      <sz val="10"/>
      <name val="华文细黑"/>
      <family val="3"/>
      <charset val="134"/>
    </font>
    <font>
      <sz val="10"/>
      <name val="微软雅黑"/>
      <family val="2"/>
      <charset val="134"/>
    </font>
    <font>
      <sz val="10"/>
      <name val="Arial"/>
      <family val="3"/>
    </font>
    <font>
      <sz val="10"/>
      <color theme="1"/>
      <name val="Arial"/>
      <family val="3"/>
    </font>
    <font>
      <b/>
      <sz val="10"/>
      <name val="华文细黑"/>
      <family val="3"/>
      <charset val="134"/>
    </font>
    <font>
      <b/>
      <sz val="10"/>
      <name val="Arial"/>
      <family val="3"/>
    </font>
    <font>
      <b/>
      <sz val="10"/>
      <name val="宋体"/>
      <family val="3"/>
      <charset val="134"/>
    </font>
    <font>
      <b/>
      <sz val="10"/>
      <color indexed="63"/>
      <name val="Arial"/>
      <family val="2"/>
    </font>
    <font>
      <b/>
      <sz val="10"/>
      <color theme="1"/>
      <name val="宋体"/>
      <family val="3"/>
      <charset val="134"/>
    </font>
    <font>
      <b/>
      <sz val="10"/>
      <color theme="1"/>
      <name val="宋体"/>
      <family val="2"/>
      <charset val="134"/>
    </font>
    <font>
      <sz val="11"/>
      <color rgb="FFFF0000"/>
      <name val="Calibri"/>
      <family val="2"/>
      <charset val="134"/>
      <scheme val="minor"/>
    </font>
    <font>
      <sz val="11"/>
      <name val="Calibri"/>
      <family val="2"/>
      <charset val="134"/>
      <scheme val="minor"/>
    </font>
    <font>
      <sz val="8"/>
      <name val="Calibri"/>
      <family val="2"/>
      <charset val="134"/>
      <scheme val="minor"/>
    </font>
    <font>
      <sz val="10"/>
      <name val="等线"/>
      <family val="3"/>
      <charset val="134"/>
    </font>
    <font>
      <sz val="10"/>
      <name val="宋体"/>
      <family val="2"/>
      <charset val="134"/>
    </font>
    <font>
      <b/>
      <sz val="10"/>
      <color rgb="FFFF0000"/>
      <name val="Arial"/>
      <family val="2"/>
    </font>
    <font>
      <sz val="10"/>
      <color rgb="FF000000"/>
      <name val="Arial"/>
      <family val="2"/>
    </font>
    <font>
      <sz val="10"/>
      <color rgb="FF00B050"/>
      <name val="Arial"/>
      <family val="2"/>
    </font>
    <font>
      <sz val="10"/>
      <color theme="0" tint="-4.9989318521683403E-2"/>
      <name val="Arial"/>
      <family val="2"/>
    </font>
    <font>
      <sz val="10"/>
      <color theme="2"/>
      <name val="Arial"/>
      <family val="2"/>
    </font>
    <font>
      <sz val="11"/>
      <name val="Calibri"/>
      <family val="2"/>
      <scheme val="minor"/>
    </font>
    <font>
      <b/>
      <sz val="10"/>
      <color theme="0" tint="-0.14999847407452621"/>
      <name val="Arial"/>
      <family val="2"/>
    </font>
    <font>
      <sz val="10"/>
      <color theme="0" tint="-0.14999847407452621"/>
      <name val="Arial"/>
      <family val="2"/>
    </font>
    <font>
      <sz val="11"/>
      <color theme="0" tint="-0.14999847407452621"/>
      <name val="Calibri"/>
      <family val="2"/>
      <charset val="134"/>
      <scheme val="minor"/>
    </font>
    <font>
      <sz val="11"/>
      <color rgb="FF000000"/>
      <name val="Calibri"/>
      <family val="2"/>
      <scheme val="minor"/>
    </font>
    <font>
      <b/>
      <sz val="10"/>
      <color rgb="FFFF0000"/>
      <name val="华文细黑"/>
      <family val="3"/>
      <charset val="134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rgb="FFFFFFCC"/>
      </patternFill>
    </fill>
    <fill>
      <patternFill patternType="solid">
        <fgColor theme="2"/>
        <bgColor indexed="64"/>
      </patternFill>
    </fill>
  </fills>
  <borders count="13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4">
    <xf numFmtId="0" fontId="0" fillId="0" borderId="0">
      <alignment vertical="center"/>
    </xf>
    <xf numFmtId="0" fontId="5" fillId="0" borderId="0"/>
    <xf numFmtId="0" fontId="6" fillId="0" borderId="0">
      <alignment vertical="center"/>
    </xf>
    <xf numFmtId="0" fontId="1" fillId="0" borderId="0"/>
  </cellStyleXfs>
  <cellXfs count="156">
    <xf numFmtId="0" fontId="0" fillId="0" borderId="0" xfId="0">
      <alignment vertical="center"/>
    </xf>
    <xf numFmtId="0" fontId="8" fillId="0" borderId="0" xfId="0" applyFont="1" applyAlignment="1">
      <alignment horizontal="left" vertical="top" wrapText="1"/>
    </xf>
    <xf numFmtId="14" fontId="8" fillId="0" borderId="0" xfId="0" applyNumberFormat="1" applyFont="1" applyAlignment="1">
      <alignment horizontal="left" vertical="top" wrapText="1"/>
    </xf>
    <xf numFmtId="0" fontId="10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 wrapText="1"/>
    </xf>
    <xf numFmtId="0" fontId="12" fillId="2" borderId="0" xfId="0" applyFont="1" applyFill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11" fillId="0" borderId="0" xfId="0" applyFont="1" applyAlignment="1">
      <alignment horizontal="left" vertical="top"/>
    </xf>
    <xf numFmtId="0" fontId="7" fillId="0" borderId="0" xfId="0" applyFont="1" applyAlignment="1">
      <alignment horizontal="left" vertical="top"/>
    </xf>
    <xf numFmtId="0" fontId="7" fillId="2" borderId="0" xfId="0" applyFont="1" applyFill="1" applyAlignment="1">
      <alignment horizontal="left" vertical="top"/>
    </xf>
    <xf numFmtId="0" fontId="7" fillId="4" borderId="0" xfId="0" applyFont="1" applyFill="1" applyAlignment="1">
      <alignment horizontal="left" vertical="top"/>
    </xf>
    <xf numFmtId="0" fontId="7" fillId="6" borderId="0" xfId="0" applyFont="1" applyFill="1" applyAlignment="1">
      <alignment horizontal="left" vertical="top"/>
    </xf>
    <xf numFmtId="0" fontId="7" fillId="6" borderId="0" xfId="0" applyFont="1" applyFill="1" applyAlignment="1">
      <alignment horizontal="left" vertical="top" wrapText="1"/>
    </xf>
    <xf numFmtId="0" fontId="11" fillId="2" borderId="0" xfId="0" applyFont="1" applyFill="1" applyAlignment="1">
      <alignment horizontal="left" vertical="top"/>
    </xf>
    <xf numFmtId="0" fontId="14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/>
    </xf>
    <xf numFmtId="0" fontId="8" fillId="0" borderId="0" xfId="0" quotePrefix="1" applyFont="1" applyAlignment="1">
      <alignment horizontal="left" vertical="top" wrapText="1"/>
    </xf>
    <xf numFmtId="0" fontId="8" fillId="0" borderId="0" xfId="2" applyFont="1" applyAlignment="1">
      <alignment horizontal="left" vertical="top"/>
    </xf>
    <xf numFmtId="3" fontId="8" fillId="0" borderId="0" xfId="0" applyNumberFormat="1" applyFont="1" applyAlignment="1">
      <alignment horizontal="left" vertical="top" wrapText="1"/>
    </xf>
    <xf numFmtId="17" fontId="8" fillId="0" borderId="0" xfId="0" applyNumberFormat="1" applyFont="1" applyAlignment="1">
      <alignment horizontal="left" vertical="top" wrapText="1"/>
    </xf>
    <xf numFmtId="0" fontId="8" fillId="6" borderId="0" xfId="0" applyFont="1" applyFill="1" applyAlignment="1">
      <alignment horizontal="left" vertical="top"/>
    </xf>
    <xf numFmtId="0" fontId="8" fillId="6" borderId="0" xfId="0" applyFont="1" applyFill="1" applyAlignment="1">
      <alignment horizontal="left" vertical="top" wrapText="1"/>
    </xf>
    <xf numFmtId="0" fontId="8" fillId="0" borderId="0" xfId="2" applyFont="1" applyAlignment="1">
      <alignment horizontal="left" vertical="top" wrapText="1"/>
    </xf>
    <xf numFmtId="0" fontId="8" fillId="0" borderId="2" xfId="0" applyFont="1" applyBorder="1" applyAlignment="1">
      <alignment horizontal="left" vertical="top"/>
    </xf>
    <xf numFmtId="0" fontId="12" fillId="0" borderId="2" xfId="0" applyFont="1" applyBorder="1" applyAlignment="1">
      <alignment horizontal="left" vertical="top"/>
    </xf>
    <xf numFmtId="0" fontId="12" fillId="0" borderId="0" xfId="0" applyFont="1" applyAlignment="1">
      <alignment horizontal="left" vertical="top"/>
    </xf>
    <xf numFmtId="0" fontId="12" fillId="4" borderId="0" xfId="0" applyFont="1" applyFill="1" applyAlignment="1">
      <alignment horizontal="left" vertical="top"/>
    </xf>
    <xf numFmtId="0" fontId="8" fillId="4" borderId="0" xfId="0" applyFont="1" applyFill="1" applyAlignment="1">
      <alignment horizontal="left" vertical="top"/>
    </xf>
    <xf numFmtId="16" fontId="7" fillId="0" borderId="0" xfId="0" applyNumberFormat="1" applyFont="1" applyAlignment="1">
      <alignment horizontal="left" vertical="top" wrapText="1"/>
    </xf>
    <xf numFmtId="0" fontId="8" fillId="0" borderId="0" xfId="1" applyFont="1" applyAlignment="1">
      <alignment horizontal="left" vertical="top"/>
    </xf>
    <xf numFmtId="0" fontId="8" fillId="5" borderId="0" xfId="0" applyFont="1" applyFill="1" applyAlignment="1">
      <alignment horizontal="left" vertical="top"/>
    </xf>
    <xf numFmtId="0" fontId="8" fillId="0" borderId="0" xfId="0" quotePrefix="1" applyFont="1" applyAlignment="1">
      <alignment horizontal="left" vertical="top"/>
    </xf>
    <xf numFmtId="0" fontId="12" fillId="4" borderId="2" xfId="0" applyFont="1" applyFill="1" applyBorder="1" applyAlignment="1">
      <alignment horizontal="left" vertical="top"/>
    </xf>
    <xf numFmtId="0" fontId="12" fillId="0" borderId="5" xfId="0" applyFont="1" applyBorder="1" applyAlignment="1">
      <alignment horizontal="left" vertical="top"/>
    </xf>
    <xf numFmtId="0" fontId="12" fillId="0" borderId="3" xfId="0" applyFont="1" applyBorder="1" applyAlignment="1">
      <alignment horizontal="left" vertical="top"/>
    </xf>
    <xf numFmtId="0" fontId="8" fillId="0" borderId="4" xfId="0" applyFont="1" applyBorder="1" applyAlignment="1">
      <alignment horizontal="left" vertical="top"/>
    </xf>
    <xf numFmtId="0" fontId="8" fillId="0" borderId="1" xfId="0" applyFont="1" applyBorder="1" applyAlignment="1">
      <alignment horizontal="left" vertical="top"/>
    </xf>
    <xf numFmtId="0" fontId="11" fillId="6" borderId="0" xfId="0" applyFont="1" applyFill="1" applyAlignment="1">
      <alignment horizontal="left" vertical="top"/>
    </xf>
    <xf numFmtId="0" fontId="12" fillId="2" borderId="0" xfId="0" applyFont="1" applyFill="1" applyAlignment="1">
      <alignment horizontal="left" vertical="top"/>
    </xf>
    <xf numFmtId="0" fontId="8" fillId="2" borderId="0" xfId="0" applyFont="1" applyFill="1" applyAlignment="1">
      <alignment horizontal="left" vertical="top"/>
    </xf>
    <xf numFmtId="0" fontId="12" fillId="3" borderId="2" xfId="0" applyFont="1" applyFill="1" applyBorder="1" applyAlignment="1">
      <alignment horizontal="left" vertical="top"/>
    </xf>
    <xf numFmtId="0" fontId="12" fillId="3" borderId="6" xfId="0" applyFont="1" applyFill="1" applyBorder="1" applyAlignment="1">
      <alignment horizontal="left" vertical="top"/>
    </xf>
    <xf numFmtId="0" fontId="11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center"/>
    </xf>
    <xf numFmtId="0" fontId="8" fillId="6" borderId="0" xfId="0" applyFont="1" applyFill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 wrapText="1"/>
    </xf>
    <xf numFmtId="0" fontId="0" fillId="0" borderId="0" xfId="0" applyAlignment="1">
      <alignment horizontal="left" vertical="top"/>
    </xf>
    <xf numFmtId="0" fontId="12" fillId="6" borderId="0" xfId="0" applyFont="1" applyFill="1" applyAlignment="1">
      <alignment horizontal="left" vertical="top"/>
    </xf>
    <xf numFmtId="0" fontId="7" fillId="2" borderId="0" xfId="0" applyFont="1" applyFill="1" applyAlignment="1">
      <alignment horizontal="left" vertical="top" wrapText="1"/>
    </xf>
    <xf numFmtId="0" fontId="11" fillId="2" borderId="0" xfId="0" applyFont="1" applyFill="1" applyAlignment="1">
      <alignment horizontal="left" vertical="top" wrapText="1"/>
    </xf>
    <xf numFmtId="0" fontId="0" fillId="2" borderId="0" xfId="0" applyFill="1">
      <alignment vertical="center"/>
    </xf>
    <xf numFmtId="0" fontId="12" fillId="6" borderId="0" xfId="0" applyFont="1" applyFill="1" applyAlignment="1">
      <alignment horizontal="left" vertical="top" wrapText="1"/>
    </xf>
    <xf numFmtId="0" fontId="22" fillId="2" borderId="0" xfId="0" applyFont="1" applyFill="1" applyAlignment="1">
      <alignment horizontal="left" vertical="top" wrapText="1"/>
    </xf>
    <xf numFmtId="0" fontId="26" fillId="0" borderId="0" xfId="0" applyFont="1">
      <alignment vertical="center"/>
    </xf>
    <xf numFmtId="0" fontId="25" fillId="0" borderId="0" xfId="0" applyFont="1">
      <alignment vertical="center"/>
    </xf>
    <xf numFmtId="0" fontId="8" fillId="0" borderId="0" xfId="0" applyFont="1" applyAlignment="1">
      <alignment horizontal="center" vertical="top"/>
    </xf>
    <xf numFmtId="0" fontId="8" fillId="0" borderId="0" xfId="0" applyFont="1" applyAlignment="1">
      <alignment horizontal="center" vertical="top" wrapText="1"/>
    </xf>
    <xf numFmtId="14" fontId="8" fillId="0" borderId="0" xfId="0" applyNumberFormat="1" applyFont="1" applyAlignment="1">
      <alignment horizontal="left" vertical="top"/>
    </xf>
    <xf numFmtId="0" fontId="8" fillId="0" borderId="0" xfId="0" applyFont="1">
      <alignment vertical="center"/>
    </xf>
    <xf numFmtId="14" fontId="8" fillId="0" borderId="0" xfId="0" applyNumberFormat="1" applyFont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8" fillId="3" borderId="0" xfId="0" applyFont="1" applyFill="1" applyAlignment="1">
      <alignment horizontal="left" vertical="center"/>
    </xf>
    <xf numFmtId="0" fontId="8" fillId="4" borderId="0" xfId="0" applyFont="1" applyFill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12" fillId="4" borderId="0" xfId="0" applyFont="1" applyFill="1" applyAlignment="1">
      <alignment horizontal="left" vertical="center"/>
    </xf>
    <xf numFmtId="0" fontId="8" fillId="6" borderId="0" xfId="0" applyFont="1" applyFill="1" applyAlignment="1">
      <alignment horizontal="left" vertical="center" wrapText="1"/>
    </xf>
    <xf numFmtId="49" fontId="8" fillId="0" borderId="0" xfId="0" applyNumberFormat="1" applyFont="1" applyAlignment="1">
      <alignment horizontal="left" vertical="top" wrapText="1"/>
    </xf>
    <xf numFmtId="0" fontId="8" fillId="4" borderId="0" xfId="0" applyFont="1" applyFill="1" applyAlignment="1">
      <alignment horizontal="left" vertical="top" wrapText="1"/>
    </xf>
    <xf numFmtId="0" fontId="8" fillId="7" borderId="0" xfId="0" applyFont="1" applyFill="1" applyAlignment="1">
      <alignment horizontal="left" vertical="top" wrapText="1"/>
    </xf>
    <xf numFmtId="0" fontId="30" fillId="0" borderId="0" xfId="0" applyFont="1" applyAlignment="1">
      <alignment horizontal="left" vertical="top"/>
    </xf>
    <xf numFmtId="0" fontId="25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14" fontId="7" fillId="0" borderId="0" xfId="0" applyNumberFormat="1" applyFont="1" applyAlignment="1">
      <alignment horizontal="left" vertical="top"/>
    </xf>
    <xf numFmtId="0" fontId="0" fillId="0" borderId="0" xfId="0" applyAlignment="1">
      <alignment horizontal="center" vertical="center"/>
    </xf>
    <xf numFmtId="0" fontId="31" fillId="0" borderId="11" xfId="0" applyFont="1" applyBorder="1" applyAlignment="1">
      <alignment horizontal="left" vertical="top" wrapText="1"/>
    </xf>
    <xf numFmtId="0" fontId="31" fillId="0" borderId="12" xfId="0" applyFont="1" applyBorder="1" applyAlignment="1">
      <alignment horizontal="left" vertical="top" wrapText="1"/>
    </xf>
    <xf numFmtId="0" fontId="10" fillId="0" borderId="2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top"/>
    </xf>
    <xf numFmtId="0" fontId="10" fillId="7" borderId="2" xfId="0" applyFont="1" applyFill="1" applyBorder="1" applyAlignment="1">
      <alignment horizontal="left" vertical="top" wrapText="1"/>
    </xf>
    <xf numFmtId="0" fontId="10" fillId="0" borderId="2" xfId="0" applyFont="1" applyBorder="1" applyAlignment="1">
      <alignment horizontal="left" vertical="top" wrapText="1"/>
    </xf>
    <xf numFmtId="0" fontId="10" fillId="6" borderId="0" xfId="0" applyFont="1" applyFill="1" applyAlignment="1">
      <alignment horizontal="left" vertical="center"/>
    </xf>
    <xf numFmtId="0" fontId="0" fillId="0" borderId="0" xfId="0" applyAlignment="1"/>
    <xf numFmtId="0" fontId="10" fillId="0" borderId="0" xfId="0" applyFont="1">
      <alignment vertical="center"/>
    </xf>
    <xf numFmtId="0" fontId="30" fillId="2" borderId="0" xfId="0" applyFont="1" applyFill="1" applyAlignment="1">
      <alignment horizontal="left" vertical="top"/>
    </xf>
    <xf numFmtId="0" fontId="25" fillId="2" borderId="0" xfId="0" applyFont="1" applyFill="1">
      <alignment vertical="center"/>
    </xf>
    <xf numFmtId="0" fontId="32" fillId="0" borderId="0" xfId="0" applyFont="1" applyAlignment="1">
      <alignment horizontal="left" vertical="top"/>
    </xf>
    <xf numFmtId="17" fontId="32" fillId="0" borderId="0" xfId="0" applyNumberFormat="1" applyFont="1" applyAlignment="1">
      <alignment horizontal="left" vertical="top"/>
    </xf>
    <xf numFmtId="16" fontId="32" fillId="0" borderId="0" xfId="0" applyNumberFormat="1" applyFont="1" applyAlignment="1">
      <alignment horizontal="left" vertical="top"/>
    </xf>
    <xf numFmtId="0" fontId="10" fillId="4" borderId="0" xfId="0" applyFont="1" applyFill="1" applyAlignment="1">
      <alignment horizontal="left" vertical="center"/>
    </xf>
    <xf numFmtId="0" fontId="30" fillId="0" borderId="0" xfId="0" applyFont="1" applyAlignment="1">
      <alignment horizontal="center" vertical="top"/>
    </xf>
    <xf numFmtId="0" fontId="33" fillId="0" borderId="0" xfId="0" applyFont="1" applyAlignment="1">
      <alignment horizontal="left" vertical="top"/>
    </xf>
    <xf numFmtId="0" fontId="33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center" wrapText="1"/>
    </xf>
    <xf numFmtId="0" fontId="30" fillId="0" borderId="0" xfId="0" applyFont="1" applyAlignment="1">
      <alignment horizontal="left" vertical="center"/>
    </xf>
    <xf numFmtId="0" fontId="11" fillId="8" borderId="0" xfId="0" applyFont="1" applyFill="1" applyAlignment="1">
      <alignment horizontal="left" vertical="top"/>
    </xf>
    <xf numFmtId="0" fontId="8" fillId="8" borderId="0" xfId="0" applyFont="1" applyFill="1" applyAlignment="1">
      <alignment horizontal="left" vertical="top"/>
    </xf>
    <xf numFmtId="0" fontId="8" fillId="8" borderId="0" xfId="0" applyFont="1" applyFill="1" applyAlignment="1">
      <alignment horizontal="left" vertical="top" wrapText="1"/>
    </xf>
    <xf numFmtId="0" fontId="0" fillId="8" borderId="0" xfId="0" applyFill="1">
      <alignment vertical="center"/>
    </xf>
    <xf numFmtId="0" fontId="34" fillId="0" borderId="0" xfId="0" applyFont="1" applyAlignment="1">
      <alignment horizontal="left" vertical="top"/>
    </xf>
    <xf numFmtId="0" fontId="26" fillId="0" borderId="0" xfId="0" applyFont="1" applyAlignment="1">
      <alignment vertical="center" wrapText="1"/>
    </xf>
    <xf numFmtId="0" fontId="36" fillId="0" borderId="0" xfId="0" applyFont="1" applyAlignment="1">
      <alignment horizontal="left" vertical="top"/>
    </xf>
    <xf numFmtId="0" fontId="37" fillId="0" borderId="0" xfId="0" applyFont="1" applyAlignment="1">
      <alignment horizontal="left" vertical="top"/>
    </xf>
    <xf numFmtId="0" fontId="37" fillId="0" borderId="0" xfId="0" applyFont="1" applyAlignment="1">
      <alignment horizontal="left" vertical="top" wrapText="1"/>
    </xf>
    <xf numFmtId="0" fontId="38" fillId="0" borderId="0" xfId="0" applyFont="1">
      <alignment vertical="center"/>
    </xf>
    <xf numFmtId="0" fontId="25" fillId="0" borderId="0" xfId="0" applyFont="1" applyAlignment="1">
      <alignment vertical="center" wrapText="1"/>
    </xf>
    <xf numFmtId="0" fontId="39" fillId="0" borderId="0" xfId="0" applyFont="1" applyAlignment="1"/>
    <xf numFmtId="14" fontId="25" fillId="0" borderId="0" xfId="0" applyNumberFormat="1" applyFont="1" applyAlignment="1">
      <alignment vertical="center" wrapText="1"/>
    </xf>
    <xf numFmtId="0" fontId="30" fillId="0" borderId="0" xfId="0" applyFont="1" applyAlignment="1">
      <alignment horizontal="left" vertical="top" wrapText="1"/>
    </xf>
    <xf numFmtId="0" fontId="10" fillId="2" borderId="0" xfId="0" applyFont="1" applyFill="1" applyAlignment="1">
      <alignment horizontal="left" vertical="top" wrapText="1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top"/>
    </xf>
    <xf numFmtId="0" fontId="26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top" wrapText="1"/>
    </xf>
    <xf numFmtId="0" fontId="11" fillId="0" borderId="0" xfId="0" applyFont="1" applyAlignment="1">
      <alignment horizontal="left" vertical="top"/>
    </xf>
    <xf numFmtId="0" fontId="12" fillId="6" borderId="0" xfId="0" applyFont="1" applyFill="1" applyAlignment="1">
      <alignment horizontal="left" vertical="top"/>
    </xf>
    <xf numFmtId="0" fontId="8" fillId="6" borderId="0" xfId="0" applyFont="1" applyFill="1" applyAlignment="1">
      <alignment horizontal="left" vertical="top" wrapText="1"/>
    </xf>
    <xf numFmtId="0" fontId="12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31" fillId="0" borderId="12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  <xf numFmtId="0" fontId="8" fillId="8" borderId="0" xfId="0" applyFont="1" applyFill="1" applyAlignment="1">
      <alignment horizontal="left" vertical="top" wrapText="1"/>
    </xf>
    <xf numFmtId="0" fontId="30" fillId="0" borderId="0" xfId="0" applyFont="1" applyAlignment="1">
      <alignment horizontal="center" vertical="top"/>
    </xf>
    <xf numFmtId="0" fontId="10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/>
    </xf>
    <xf numFmtId="0" fontId="34" fillId="0" borderId="0" xfId="0" applyFont="1" applyAlignment="1">
      <alignment horizontal="left" vertical="top"/>
    </xf>
    <xf numFmtId="0" fontId="30" fillId="0" borderId="0" xfId="0" applyFont="1" applyAlignment="1">
      <alignment horizontal="left" vertical="top" wrapText="1"/>
    </xf>
    <xf numFmtId="0" fontId="8" fillId="0" borderId="9" xfId="0" applyFont="1" applyBorder="1" applyAlignment="1">
      <alignment horizontal="left" vertical="top"/>
    </xf>
    <xf numFmtId="0" fontId="8" fillId="0" borderId="7" xfId="0" applyFont="1" applyBorder="1" applyAlignment="1">
      <alignment horizontal="left" vertical="top"/>
    </xf>
    <xf numFmtId="0" fontId="8" fillId="0" borderId="10" xfId="0" applyFont="1" applyBorder="1" applyAlignment="1">
      <alignment horizontal="left" vertical="top"/>
    </xf>
    <xf numFmtId="0" fontId="8" fillId="0" borderId="2" xfId="0" applyFont="1" applyBorder="1" applyAlignment="1">
      <alignment horizontal="left" vertical="top"/>
    </xf>
    <xf numFmtId="0" fontId="8" fillId="0" borderId="5" xfId="0" applyFont="1" applyBorder="1" applyAlignment="1">
      <alignment horizontal="left" vertical="top"/>
    </xf>
    <xf numFmtId="0" fontId="12" fillId="4" borderId="2" xfId="0" applyFont="1" applyFill="1" applyBorder="1" applyAlignment="1">
      <alignment horizontal="left" vertical="top"/>
    </xf>
    <xf numFmtId="0" fontId="8" fillId="4" borderId="2" xfId="0" applyFont="1" applyFill="1" applyBorder="1" applyAlignment="1">
      <alignment horizontal="left" vertical="top"/>
    </xf>
    <xf numFmtId="0" fontId="12" fillId="0" borderId="2" xfId="0" applyFont="1" applyBorder="1" applyAlignment="1">
      <alignment horizontal="left" vertical="top"/>
    </xf>
    <xf numFmtId="0" fontId="12" fillId="3" borderId="8" xfId="0" applyFont="1" applyFill="1" applyBorder="1" applyAlignment="1">
      <alignment horizontal="left" vertical="top"/>
    </xf>
    <xf numFmtId="0" fontId="8" fillId="3" borderId="10" xfId="0" applyFont="1" applyFill="1" applyBorder="1" applyAlignment="1">
      <alignment horizontal="left" vertical="top"/>
    </xf>
    <xf numFmtId="0" fontId="8" fillId="0" borderId="2" xfId="0" applyFont="1" applyBorder="1" applyAlignment="1">
      <alignment horizontal="left" vertical="top" wrapText="1"/>
    </xf>
    <xf numFmtId="0" fontId="12" fillId="4" borderId="3" xfId="0" applyFont="1" applyFill="1" applyBorder="1" applyAlignment="1">
      <alignment horizontal="center" vertical="top"/>
    </xf>
    <xf numFmtId="0" fontId="12" fillId="4" borderId="4" xfId="0" applyFont="1" applyFill="1" applyBorder="1" applyAlignment="1">
      <alignment horizontal="center" vertical="top"/>
    </xf>
    <xf numFmtId="0" fontId="12" fillId="4" borderId="1" xfId="0" applyFont="1" applyFill="1" applyBorder="1" applyAlignment="1">
      <alignment horizontal="center" vertical="top"/>
    </xf>
    <xf numFmtId="0" fontId="8" fillId="0" borderId="3" xfId="0" applyFont="1" applyBorder="1" applyAlignment="1">
      <alignment horizontal="center" vertical="top"/>
    </xf>
    <xf numFmtId="0" fontId="8" fillId="0" borderId="1" xfId="0" applyFont="1" applyBorder="1" applyAlignment="1">
      <alignment horizontal="center" vertical="top"/>
    </xf>
    <xf numFmtId="0" fontId="39" fillId="0" borderId="2" xfId="0" applyFont="1" applyBorder="1" applyAlignment="1">
      <alignment horizontal="center"/>
    </xf>
    <xf numFmtId="0" fontId="39" fillId="0" borderId="3" xfId="0" applyFont="1" applyBorder="1" applyAlignment="1">
      <alignment horizontal="center"/>
    </xf>
    <xf numFmtId="0" fontId="39" fillId="0" borderId="4" xfId="0" applyFont="1" applyBorder="1" applyAlignment="1">
      <alignment horizontal="center"/>
    </xf>
    <xf numFmtId="0" fontId="39" fillId="0" borderId="1" xfId="0" applyFont="1" applyBorder="1" applyAlignment="1">
      <alignment horizontal="center"/>
    </xf>
    <xf numFmtId="0" fontId="8" fillId="0" borderId="4" xfId="0" applyFont="1" applyBorder="1" applyAlignment="1">
      <alignment horizontal="center" vertical="top"/>
    </xf>
    <xf numFmtId="0" fontId="39" fillId="0" borderId="2" xfId="0" applyFont="1" applyBorder="1" applyAlignment="1">
      <alignment horizontal="left"/>
    </xf>
    <xf numFmtId="14" fontId="25" fillId="0" borderId="0" xfId="0" applyNumberFormat="1" applyFont="1">
      <alignment vertical="center"/>
    </xf>
  </cellXfs>
  <cellStyles count="4">
    <cellStyle name="Normal" xfId="0" builtinId="0"/>
    <cellStyle name="常规 2" xfId="1" xr:uid="{00000000-0005-0000-0000-000001000000}"/>
    <cellStyle name="常规 2 2" xfId="3" xr:uid="{9E4503CF-143D-4A4F-8D03-13ACB3993C13}"/>
    <cellStyle name="常规 3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29764</xdr:colOff>
      <xdr:row>104</xdr:row>
      <xdr:rowOff>89297</xdr:rowOff>
    </xdr:from>
    <xdr:to>
      <xdr:col>21</xdr:col>
      <xdr:colOff>11341</xdr:colOff>
      <xdr:row>120</xdr:row>
      <xdr:rowOff>6616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AF28948-16AD-959F-4896-12EF8ED9B26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1069" t="31833" r="26315" b="12991"/>
        <a:stretch/>
      </xdr:blipFill>
      <xdr:spPr>
        <a:xfrm>
          <a:off x="16410780" y="28376563"/>
          <a:ext cx="4744077" cy="2351484"/>
        </a:xfrm>
        <a:prstGeom prst="rect">
          <a:avLst/>
        </a:prstGeom>
      </xdr:spPr>
    </xdr:pic>
    <xdr:clientData/>
  </xdr:twoCellAnchor>
  <xdr:twoCellAnchor editAs="oneCell">
    <xdr:from>
      <xdr:col>12</xdr:col>
      <xdr:colOff>1617267</xdr:colOff>
      <xdr:row>114</xdr:row>
      <xdr:rowOff>99220</xdr:rowOff>
    </xdr:from>
    <xdr:to>
      <xdr:col>21</xdr:col>
      <xdr:colOff>9921</xdr:colOff>
      <xdr:row>124</xdr:row>
      <xdr:rowOff>563855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D3BEC30-868C-E748-C1B8-CA67CF8E1B7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3402" t="16013" r="23927" b="10290"/>
        <a:stretch/>
      </xdr:blipFill>
      <xdr:spPr>
        <a:xfrm>
          <a:off x="16371095" y="30708204"/>
          <a:ext cx="4782343" cy="3163385"/>
        </a:xfrm>
        <a:prstGeom prst="rect">
          <a:avLst/>
        </a:prstGeom>
      </xdr:spPr>
    </xdr:pic>
    <xdr:clientData/>
  </xdr:twoCellAnchor>
  <xdr:twoCellAnchor editAs="oneCell">
    <xdr:from>
      <xdr:col>12</xdr:col>
      <xdr:colOff>1607344</xdr:colOff>
      <xdr:row>131</xdr:row>
      <xdr:rowOff>9922</xdr:rowOff>
    </xdr:from>
    <xdr:to>
      <xdr:col>21</xdr:col>
      <xdr:colOff>5125</xdr:colOff>
      <xdr:row>143</xdr:row>
      <xdr:rowOff>95911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3C15253-DC16-E49D-7722-AE98F9AC75F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13402" t="31832" r="23927" b="9518"/>
        <a:stretch/>
      </xdr:blipFill>
      <xdr:spPr>
        <a:xfrm>
          <a:off x="16361172" y="33873281"/>
          <a:ext cx="4787470" cy="25201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290F9-FEEB-4120-A5E0-06FBD65489AF}">
  <dimension ref="A1:F17"/>
  <sheetViews>
    <sheetView tabSelected="1" topLeftCell="A10" workbookViewId="0">
      <selection activeCell="B17" sqref="B17"/>
    </sheetView>
  </sheetViews>
  <sheetFormatPr defaultColWidth="8.7109375" defaultRowHeight="15"/>
  <cols>
    <col min="1" max="1" width="13.140625" style="55" customWidth="1"/>
    <col min="2" max="2" width="81.28515625" style="55" customWidth="1"/>
    <col min="3" max="3" width="16.5703125" style="55" customWidth="1"/>
    <col min="4" max="4" width="10.85546875" style="55" customWidth="1"/>
    <col min="5" max="5" width="12.42578125" style="55" customWidth="1"/>
    <col min="6" max="6" width="23.140625" style="62" customWidth="1"/>
    <col min="7" max="16384" width="8.7109375" style="55"/>
  </cols>
  <sheetData>
    <row r="1" spans="1:6" ht="25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58" t="s">
        <v>5</v>
      </c>
    </row>
    <row r="2" spans="1:6" ht="280.5">
      <c r="A2" s="1" t="s">
        <v>6</v>
      </c>
      <c r="B2" s="1" t="s">
        <v>7</v>
      </c>
      <c r="C2" s="1" t="s">
        <v>8</v>
      </c>
      <c r="D2" s="1"/>
      <c r="E2" s="2">
        <v>44848</v>
      </c>
      <c r="F2" s="57"/>
    </row>
    <row r="3" spans="1:6" ht="127.5">
      <c r="A3" s="1" t="s">
        <v>9</v>
      </c>
      <c r="B3" s="1" t="s">
        <v>10</v>
      </c>
      <c r="C3" s="1" t="s">
        <v>11</v>
      </c>
      <c r="D3" s="1"/>
      <c r="E3" s="2">
        <v>44909</v>
      </c>
      <c r="F3" s="57"/>
    </row>
    <row r="4" spans="1:6">
      <c r="A4" s="16" t="s">
        <v>12</v>
      </c>
      <c r="B4" s="16" t="s">
        <v>13</v>
      </c>
      <c r="C4" s="1" t="s">
        <v>11</v>
      </c>
      <c r="D4" s="16"/>
      <c r="E4" s="2">
        <v>44945</v>
      </c>
      <c r="F4" s="57"/>
    </row>
    <row r="5" spans="1:6" ht="153">
      <c r="A5" s="16" t="s">
        <v>14</v>
      </c>
      <c r="B5" s="1" t="s">
        <v>15</v>
      </c>
      <c r="C5" s="16" t="s">
        <v>16</v>
      </c>
      <c r="D5" s="16"/>
      <c r="E5" s="59">
        <v>45036</v>
      </c>
      <c r="F5" s="57" t="s">
        <v>17</v>
      </c>
    </row>
    <row r="6" spans="1:6" s="60" customFormat="1" ht="12.75">
      <c r="A6" s="113" t="s">
        <v>18</v>
      </c>
      <c r="B6" s="60" t="s">
        <v>19</v>
      </c>
      <c r="C6" s="1" t="s">
        <v>11</v>
      </c>
      <c r="E6" s="59">
        <v>45079</v>
      </c>
      <c r="F6" s="114" t="s">
        <v>20</v>
      </c>
    </row>
    <row r="7" spans="1:6" s="60" customFormat="1" ht="16.5" customHeight="1">
      <c r="A7" s="113"/>
      <c r="B7" s="60" t="s">
        <v>21</v>
      </c>
      <c r="C7" s="1" t="s">
        <v>11</v>
      </c>
      <c r="E7" s="61">
        <v>45124</v>
      </c>
      <c r="F7" s="114"/>
    </row>
    <row r="8" spans="1:6">
      <c r="A8" s="113" t="s">
        <v>22</v>
      </c>
      <c r="B8" s="60" t="s">
        <v>23</v>
      </c>
      <c r="C8" s="1" t="s">
        <v>11</v>
      </c>
      <c r="E8" s="59">
        <v>45168</v>
      </c>
      <c r="F8" s="115" t="s">
        <v>24</v>
      </c>
    </row>
    <row r="9" spans="1:6" s="56" customFormat="1">
      <c r="A9" s="113"/>
      <c r="B9" s="55" t="s">
        <v>25</v>
      </c>
      <c r="C9" s="1" t="s">
        <v>11</v>
      </c>
      <c r="D9" s="55"/>
      <c r="E9" s="59">
        <v>45177</v>
      </c>
      <c r="F9" s="115"/>
    </row>
    <row r="10" spans="1:6" customFormat="1" ht="105">
      <c r="A10" t="s">
        <v>26</v>
      </c>
      <c r="B10" s="74" t="s">
        <v>2864</v>
      </c>
      <c r="C10" s="7" t="s">
        <v>11</v>
      </c>
      <c r="E10" s="75">
        <v>45267</v>
      </c>
      <c r="F10" s="76" t="s">
        <v>2851</v>
      </c>
    </row>
    <row r="11" spans="1:6">
      <c r="A11" s="55" t="s">
        <v>2899</v>
      </c>
      <c r="B11" s="55" t="s">
        <v>2900</v>
      </c>
      <c r="C11" s="1" t="s">
        <v>11</v>
      </c>
      <c r="E11" s="59">
        <v>45441</v>
      </c>
      <c r="F11" s="62" t="s">
        <v>2901</v>
      </c>
    </row>
    <row r="12" spans="1:6">
      <c r="A12" s="55" t="s">
        <v>2902</v>
      </c>
      <c r="B12" s="55" t="s">
        <v>2903</v>
      </c>
      <c r="C12" s="1" t="s">
        <v>11</v>
      </c>
      <c r="E12" s="59">
        <v>45447</v>
      </c>
      <c r="F12" s="62" t="s">
        <v>2904</v>
      </c>
    </row>
    <row r="13" spans="1:6" ht="150">
      <c r="A13" s="55" t="s">
        <v>2893</v>
      </c>
      <c r="B13" s="103" t="s">
        <v>3263</v>
      </c>
      <c r="C13" s="1" t="s">
        <v>11</v>
      </c>
      <c r="E13" s="59">
        <v>45505</v>
      </c>
      <c r="F13" s="62" t="s">
        <v>2892</v>
      </c>
    </row>
    <row r="14" spans="1:6" ht="30">
      <c r="A14" s="55" t="s">
        <v>3261</v>
      </c>
      <c r="B14" s="103" t="s">
        <v>3286</v>
      </c>
      <c r="C14" s="1" t="s">
        <v>11</v>
      </c>
      <c r="E14" s="59">
        <v>45580</v>
      </c>
      <c r="F14" s="62" t="s">
        <v>3262</v>
      </c>
    </row>
    <row r="15" spans="1:6">
      <c r="A15" s="55" t="s">
        <v>3367</v>
      </c>
      <c r="B15" s="55" t="s">
        <v>3366</v>
      </c>
      <c r="C15" s="1" t="s">
        <v>11</v>
      </c>
      <c r="E15" s="59">
        <v>45683</v>
      </c>
      <c r="F15" s="62" t="s">
        <v>3382</v>
      </c>
    </row>
    <row r="16" spans="1:6" ht="75">
      <c r="A16" s="56" t="s">
        <v>3368</v>
      </c>
      <c r="B16" s="108" t="s">
        <v>3386</v>
      </c>
      <c r="C16" s="108" t="s">
        <v>3385</v>
      </c>
      <c r="D16" s="56"/>
      <c r="E16" s="110" t="s">
        <v>3387</v>
      </c>
      <c r="F16" s="73" t="s">
        <v>3383</v>
      </c>
    </row>
    <row r="17" spans="1:6">
      <c r="A17" s="56" t="s">
        <v>3389</v>
      </c>
      <c r="B17" s="56" t="s">
        <v>3394</v>
      </c>
      <c r="C17" s="56" t="s">
        <v>3392</v>
      </c>
      <c r="D17" s="56"/>
      <c r="E17" s="155">
        <v>45398</v>
      </c>
      <c r="F17" s="73" t="s">
        <v>3393</v>
      </c>
    </row>
  </sheetData>
  <mergeCells count="4">
    <mergeCell ref="A6:A7"/>
    <mergeCell ref="F6:F7"/>
    <mergeCell ref="A8:A9"/>
    <mergeCell ref="F8:F9"/>
  </mergeCells>
  <phoneticPr fontId="4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31E0D-A0C3-4108-ABD8-62ADD1201B65}">
  <dimension ref="A1:F225"/>
  <sheetViews>
    <sheetView workbookViewId="0">
      <pane ySplit="1" topLeftCell="A174" activePane="bottomLeft" state="frozen"/>
      <selection pane="bottomLeft" activeCell="D218" sqref="D218"/>
    </sheetView>
  </sheetViews>
  <sheetFormatPr defaultColWidth="8.7109375" defaultRowHeight="12.75"/>
  <cols>
    <col min="1" max="1" width="60.28515625" style="44" customWidth="1"/>
    <col min="2" max="2" width="41" style="44" customWidth="1"/>
    <col min="3" max="3" width="21.140625" style="44" customWidth="1"/>
    <col min="4" max="4" width="8.7109375" style="44"/>
    <col min="5" max="5" width="9.140625" style="44"/>
    <col min="6" max="6" width="31.5703125" style="44" customWidth="1"/>
    <col min="7" max="16384" width="8.7109375" style="44"/>
  </cols>
  <sheetData>
    <row r="1" spans="1:6" s="67" customFormat="1">
      <c r="A1" s="66" t="s">
        <v>27</v>
      </c>
      <c r="B1" s="66" t="s">
        <v>28</v>
      </c>
      <c r="C1" s="66" t="s">
        <v>29</v>
      </c>
      <c r="D1" s="66" t="s">
        <v>30</v>
      </c>
      <c r="E1" s="66" t="s">
        <v>31</v>
      </c>
      <c r="F1" s="66" t="s">
        <v>32</v>
      </c>
    </row>
    <row r="2" spans="1:6">
      <c r="A2" s="44" t="s">
        <v>33</v>
      </c>
      <c r="B2" s="44" t="s">
        <v>34</v>
      </c>
      <c r="C2" s="44" t="s">
        <v>35</v>
      </c>
      <c r="D2" s="46" t="s">
        <v>2891</v>
      </c>
      <c r="E2" s="44">
        <f>HEX2DEC(SUBSTITUTE(D2,"0x",""))-HEX2DEC(SUBSTITUTE(C2,"0x",""))+1</f>
        <v>22</v>
      </c>
    </row>
    <row r="4" spans="1:6">
      <c r="A4" s="44" t="s">
        <v>36</v>
      </c>
      <c r="B4" s="44" t="s">
        <v>34</v>
      </c>
      <c r="C4" s="44" t="s">
        <v>37</v>
      </c>
      <c r="D4" s="44" t="s">
        <v>38</v>
      </c>
      <c r="E4" s="44">
        <f>HEX2DEC(SUBSTITUTE(D4,"0x",""))-HEX2DEC(SUBSTITUTE(C4,"0x",""))+1</f>
        <v>15</v>
      </c>
    </row>
    <row r="5" spans="1:6" s="45" customFormat="1">
      <c r="A5" s="45" t="s">
        <v>39</v>
      </c>
      <c r="B5" s="45" t="s">
        <v>34</v>
      </c>
      <c r="C5" s="45" t="s">
        <v>40</v>
      </c>
      <c r="D5" s="45" t="s">
        <v>41</v>
      </c>
      <c r="E5" s="45">
        <f>HEX2DEC(SUBSTITUTE(D5,"0x",""))-HEX2DEC(SUBSTITUTE(C5,"0x",""))+1</f>
        <v>155</v>
      </c>
      <c r="F5" s="45" t="s">
        <v>42</v>
      </c>
    </row>
    <row r="7" spans="1:6">
      <c r="A7" s="44" t="s">
        <v>43</v>
      </c>
      <c r="B7" s="44" t="s">
        <v>34</v>
      </c>
      <c r="C7" s="44" t="s">
        <v>44</v>
      </c>
      <c r="D7" s="44" t="s">
        <v>45</v>
      </c>
      <c r="E7" s="44">
        <f>HEX2DEC(SUBSTITUTE(D7,"0x",""))-HEX2DEC(SUBSTITUTE(C7,"0x",""))+1</f>
        <v>32</v>
      </c>
    </row>
    <row r="9" spans="1:6">
      <c r="A9" s="44" t="s">
        <v>46</v>
      </c>
      <c r="B9" s="44" t="s">
        <v>34</v>
      </c>
      <c r="C9" s="44" t="s">
        <v>47</v>
      </c>
      <c r="D9" s="44" t="s">
        <v>48</v>
      </c>
      <c r="E9" s="44">
        <f>HEX2DEC(SUBSTITUTE(D9,"0x",""))-HEX2DEC(SUBSTITUTE(C9,"0x",""))+1</f>
        <v>32</v>
      </c>
    </row>
    <row r="11" spans="1:6">
      <c r="A11" s="44" t="s">
        <v>49</v>
      </c>
      <c r="B11" s="44" t="s">
        <v>34</v>
      </c>
      <c r="C11" s="44" t="s">
        <v>50</v>
      </c>
      <c r="D11" s="44" t="s">
        <v>51</v>
      </c>
      <c r="E11" s="44">
        <f>HEX2DEC(SUBSTITUTE(D11,"0x",""))-HEX2DEC(SUBSTITUTE(C11,"0x",""))+1</f>
        <v>2</v>
      </c>
    </row>
    <row r="12" spans="1:6">
      <c r="A12" s="44" t="s">
        <v>52</v>
      </c>
      <c r="B12" s="44" t="s">
        <v>34</v>
      </c>
      <c r="C12" s="44" t="s">
        <v>53</v>
      </c>
      <c r="D12" s="44" t="s">
        <v>54</v>
      </c>
      <c r="E12" s="44">
        <f>HEX2DEC(SUBSTITUTE(D12,"0x",""))-HEX2DEC(SUBSTITUTE(C12,"0x",""))+1</f>
        <v>2</v>
      </c>
    </row>
    <row r="14" spans="1:6">
      <c r="A14" s="44" t="s">
        <v>55</v>
      </c>
      <c r="B14" s="44" t="s">
        <v>34</v>
      </c>
      <c r="C14" s="44" t="s">
        <v>56</v>
      </c>
      <c r="D14" s="44" t="s">
        <v>57</v>
      </c>
      <c r="E14" s="44">
        <f>HEX2DEC(SUBSTITUTE(D14,"0x",""))-HEX2DEC(SUBSTITUTE(C14,"0x",""))+1</f>
        <v>4</v>
      </c>
    </row>
    <row r="16" spans="1:6" s="45" customFormat="1">
      <c r="A16" s="45" t="s">
        <v>58</v>
      </c>
      <c r="B16" s="45" t="s">
        <v>34</v>
      </c>
      <c r="C16" s="45" t="s">
        <v>59</v>
      </c>
      <c r="D16" s="45" t="s">
        <v>60</v>
      </c>
      <c r="E16" s="45">
        <f>HEX2DEC(SUBSTITUTE(D16,"0x",""))-HEX2DEC(SUBSTITUTE(C16,"0x",""))+1</f>
        <v>20</v>
      </c>
      <c r="F16" s="45" t="s">
        <v>42</v>
      </c>
    </row>
    <row r="17" spans="1:6" s="45" customFormat="1"/>
    <row r="18" spans="1:6" s="84" customFormat="1">
      <c r="A18" s="84" t="s">
        <v>2872</v>
      </c>
      <c r="B18" s="84" t="s">
        <v>2873</v>
      </c>
      <c r="C18" s="84" t="s">
        <v>2874</v>
      </c>
      <c r="D18" s="84" t="s">
        <v>2875</v>
      </c>
      <c r="E18" s="84">
        <v>76</v>
      </c>
    </row>
    <row r="20" spans="1:6">
      <c r="A20" s="44" t="s">
        <v>61</v>
      </c>
      <c r="B20" s="44" t="s">
        <v>62</v>
      </c>
      <c r="C20" s="44" t="s">
        <v>63</v>
      </c>
      <c r="D20" s="44" t="s">
        <v>64</v>
      </c>
      <c r="E20" s="44">
        <f t="shared" ref="E20:E27" si="0">HEX2DEC(SUBSTITUTE(D20,"0x",""))-HEX2DEC(SUBSTITUTE(C20,"0x",""))+1</f>
        <v>66</v>
      </c>
      <c r="F20" s="44">
        <f>SUM(E20:E25)</f>
        <v>201</v>
      </c>
    </row>
    <row r="21" spans="1:6">
      <c r="A21" s="44" t="s">
        <v>65</v>
      </c>
      <c r="B21" s="44" t="s">
        <v>62</v>
      </c>
      <c r="C21" s="44" t="s">
        <v>66</v>
      </c>
      <c r="D21" s="44" t="s">
        <v>67</v>
      </c>
      <c r="E21" s="44">
        <f t="shared" si="0"/>
        <v>7</v>
      </c>
    </row>
    <row r="22" spans="1:6">
      <c r="A22" s="44" t="s">
        <v>68</v>
      </c>
      <c r="B22" s="44" t="s">
        <v>62</v>
      </c>
      <c r="C22" s="44" t="s">
        <v>69</v>
      </c>
      <c r="D22" s="44" t="s">
        <v>70</v>
      </c>
      <c r="E22" s="44">
        <f t="shared" si="0"/>
        <v>8</v>
      </c>
    </row>
    <row r="23" spans="1:6">
      <c r="A23" s="44" t="s">
        <v>71</v>
      </c>
      <c r="B23" s="44" t="s">
        <v>62</v>
      </c>
      <c r="C23" s="44" t="s">
        <v>72</v>
      </c>
      <c r="D23" s="44" t="s">
        <v>73</v>
      </c>
      <c r="E23" s="44">
        <f t="shared" si="0"/>
        <v>80</v>
      </c>
    </row>
    <row r="24" spans="1:6">
      <c r="A24" s="44" t="s">
        <v>74</v>
      </c>
      <c r="B24" s="44" t="s">
        <v>62</v>
      </c>
      <c r="C24" s="44" t="s">
        <v>75</v>
      </c>
      <c r="D24" s="44" t="s">
        <v>76</v>
      </c>
      <c r="E24" s="44">
        <f t="shared" si="0"/>
        <v>36</v>
      </c>
    </row>
    <row r="25" spans="1:6">
      <c r="A25" s="44" t="s">
        <v>77</v>
      </c>
      <c r="B25" s="44" t="s">
        <v>62</v>
      </c>
      <c r="C25" s="44" t="s">
        <v>78</v>
      </c>
      <c r="D25" s="44" t="s">
        <v>79</v>
      </c>
      <c r="E25" s="44">
        <f t="shared" si="0"/>
        <v>4</v>
      </c>
    </row>
    <row r="26" spans="1:6" s="45" customFormat="1">
      <c r="A26" s="45" t="s">
        <v>80</v>
      </c>
      <c r="B26" s="68" t="s">
        <v>81</v>
      </c>
      <c r="C26" s="45" t="s">
        <v>82</v>
      </c>
      <c r="D26" s="45" t="s">
        <v>83</v>
      </c>
      <c r="E26" s="45">
        <f t="shared" si="0"/>
        <v>3</v>
      </c>
      <c r="F26" s="45" t="s">
        <v>84</v>
      </c>
    </row>
    <row r="27" spans="1:6">
      <c r="A27" s="44" t="s">
        <v>85</v>
      </c>
      <c r="B27" s="44" t="s">
        <v>62</v>
      </c>
      <c r="C27" s="44" t="s">
        <v>86</v>
      </c>
      <c r="D27" s="44" t="s">
        <v>87</v>
      </c>
      <c r="E27" s="44">
        <f t="shared" si="0"/>
        <v>36</v>
      </c>
    </row>
    <row r="29" spans="1:6">
      <c r="A29" s="44" t="s">
        <v>88</v>
      </c>
      <c r="B29" s="44" t="s">
        <v>62</v>
      </c>
      <c r="C29" s="44" t="s">
        <v>89</v>
      </c>
      <c r="D29" s="44" t="s">
        <v>90</v>
      </c>
      <c r="E29" s="44">
        <v>4</v>
      </c>
    </row>
    <row r="30" spans="1:6">
      <c r="A30" s="44" t="s">
        <v>2868</v>
      </c>
      <c r="B30" s="44" t="s">
        <v>62</v>
      </c>
      <c r="C30" s="44" t="s">
        <v>92</v>
      </c>
      <c r="D30" s="44" t="s">
        <v>93</v>
      </c>
      <c r="E30" s="44">
        <v>2</v>
      </c>
    </row>
    <row r="31" spans="1:6">
      <c r="A31" s="44" t="s">
        <v>2838</v>
      </c>
      <c r="B31" s="44" t="s">
        <v>62</v>
      </c>
      <c r="C31" s="44" t="s">
        <v>2836</v>
      </c>
      <c r="D31" s="44" t="s">
        <v>2842</v>
      </c>
      <c r="E31" s="44">
        <v>5</v>
      </c>
    </row>
    <row r="32" spans="1:6">
      <c r="A32" s="44" t="s">
        <v>2840</v>
      </c>
      <c r="B32" s="44" t="s">
        <v>62</v>
      </c>
      <c r="C32" s="44" t="s">
        <v>2843</v>
      </c>
      <c r="E32" s="44">
        <v>1</v>
      </c>
    </row>
    <row r="34" spans="1:6">
      <c r="A34" s="44" t="s">
        <v>94</v>
      </c>
      <c r="B34" s="44" t="s">
        <v>95</v>
      </c>
      <c r="C34" s="44" t="s">
        <v>96</v>
      </c>
      <c r="D34" s="44" t="s">
        <v>97</v>
      </c>
      <c r="E34" s="44">
        <f>HEX2DEC(SUBSTITUTE(D34,"0x",""))-HEX2DEC(SUBSTITUTE(C34,"0x",""))+1</f>
        <v>576</v>
      </c>
    </row>
    <row r="36" spans="1:6" ht="31.5" customHeight="1">
      <c r="A36" s="47" t="s">
        <v>98</v>
      </c>
      <c r="B36" s="44" t="s">
        <v>62</v>
      </c>
      <c r="C36" s="44" t="s">
        <v>99</v>
      </c>
      <c r="D36" s="44" t="s">
        <v>100</v>
      </c>
      <c r="E36" s="44">
        <f>HEX2DEC(SUBSTITUTE(D36,"0x",""))-HEX2DEC(SUBSTITUTE(C36,"0x",""))+1</f>
        <v>11</v>
      </c>
    </row>
    <row r="37" spans="1:6" ht="20.25" customHeight="1">
      <c r="A37" s="65" t="s">
        <v>2854</v>
      </c>
      <c r="B37" s="47" t="s">
        <v>2852</v>
      </c>
      <c r="C37" s="44" t="s">
        <v>2856</v>
      </c>
      <c r="D37" s="44" t="s">
        <v>2857</v>
      </c>
      <c r="E37" s="44">
        <v>2</v>
      </c>
    </row>
    <row r="38" spans="1:6" s="46" customFormat="1" ht="18" customHeight="1">
      <c r="A38" s="46" t="s">
        <v>2880</v>
      </c>
      <c r="B38" s="46" t="s">
        <v>62</v>
      </c>
      <c r="C38" s="46" t="s">
        <v>2881</v>
      </c>
      <c r="E38" s="46">
        <v>1</v>
      </c>
    </row>
    <row r="39" spans="1:6" s="46" customFormat="1" ht="18" customHeight="1">
      <c r="A39" s="46" t="s">
        <v>3256</v>
      </c>
      <c r="B39" s="46" t="s">
        <v>62</v>
      </c>
      <c r="C39" s="46" t="s">
        <v>3257</v>
      </c>
      <c r="E39" s="46">
        <v>1</v>
      </c>
    </row>
    <row r="40" spans="1:6" s="46" customFormat="1" ht="18" customHeight="1"/>
    <row r="41" spans="1:6" s="46" customFormat="1" ht="18" customHeight="1">
      <c r="A41" s="46" t="s">
        <v>3363</v>
      </c>
      <c r="B41" s="46" t="s">
        <v>3364</v>
      </c>
      <c r="C41" s="46" t="s">
        <v>3365</v>
      </c>
      <c r="E41" s="46">
        <v>13</v>
      </c>
    </row>
    <row r="42" spans="1:6" s="46" customFormat="1" ht="18" customHeight="1">
      <c r="A42" s="46" t="s">
        <v>3370</v>
      </c>
      <c r="B42" s="46" t="s">
        <v>3364</v>
      </c>
      <c r="C42" s="46" t="s">
        <v>3371</v>
      </c>
      <c r="E42" s="46">
        <v>1</v>
      </c>
    </row>
    <row r="44" spans="1:6">
      <c r="A44" s="44" t="s">
        <v>101</v>
      </c>
      <c r="B44" s="44" t="s">
        <v>102</v>
      </c>
      <c r="C44" s="44" t="s">
        <v>103</v>
      </c>
      <c r="D44" s="44" t="s">
        <v>104</v>
      </c>
      <c r="E44" s="44">
        <f>HEX2DEC(SUBSTITUTE(D44,"0x",""))-HEX2DEC(SUBSTITUTE(C44,"0x",""))+1</f>
        <v>186</v>
      </c>
    </row>
    <row r="46" spans="1:6">
      <c r="A46" s="44" t="s">
        <v>105</v>
      </c>
      <c r="B46" s="44" t="s">
        <v>106</v>
      </c>
      <c r="C46" s="44" t="s">
        <v>107</v>
      </c>
      <c r="D46" s="44" t="s">
        <v>108</v>
      </c>
      <c r="E46" s="44">
        <f>HEX2DEC(SUBSTITUTE(D46,"0x",""))-HEX2DEC(SUBSTITUTE(C46,"0x",""))+1</f>
        <v>8</v>
      </c>
    </row>
    <row r="48" spans="1:6">
      <c r="A48" s="44" t="s">
        <v>109</v>
      </c>
      <c r="B48" s="44" t="s">
        <v>110</v>
      </c>
      <c r="C48" s="44" t="s">
        <v>111</v>
      </c>
      <c r="D48" s="44" t="s">
        <v>112</v>
      </c>
      <c r="E48" s="44">
        <f>HEX2DEC(SUBSTITUTE(D48,"0x",""))-HEX2DEC(SUBSTITUTE(C48,"0x",""))+1</f>
        <v>67</v>
      </c>
      <c r="F48" s="63" t="s">
        <v>113</v>
      </c>
    </row>
    <row r="51" spans="1:5" ht="13.5" customHeight="1">
      <c r="A51" s="44" t="s">
        <v>114</v>
      </c>
      <c r="B51" s="44" t="s">
        <v>115</v>
      </c>
      <c r="C51" s="44" t="s">
        <v>116</v>
      </c>
      <c r="D51" s="44" t="s">
        <v>117</v>
      </c>
      <c r="E51" s="44">
        <f>HEX2DEC(SUBSTITUTE(D51,"0x",""))-HEX2DEC(SUBSTITUTE(C51,"0x",""))+1</f>
        <v>42</v>
      </c>
    </row>
    <row r="52" spans="1:5" ht="13.5" customHeight="1"/>
    <row r="53" spans="1:5" ht="13.5" customHeight="1">
      <c r="A53" s="44" t="s">
        <v>118</v>
      </c>
      <c r="B53" s="44" t="s">
        <v>115</v>
      </c>
      <c r="C53" s="44" t="s">
        <v>119</v>
      </c>
      <c r="D53" s="46" t="s">
        <v>2894</v>
      </c>
      <c r="E53" s="46">
        <f>HEX2DEC(SUBSTITUTE(D53,"0x",""))-HEX2DEC(SUBSTITUTE(C53,"0x",""))+1</f>
        <v>94</v>
      </c>
    </row>
    <row r="54" spans="1:5" ht="13.5" customHeight="1"/>
    <row r="55" spans="1:5" ht="13.5" customHeight="1">
      <c r="A55" s="44" t="s">
        <v>120</v>
      </c>
      <c r="B55" s="44" t="s">
        <v>62</v>
      </c>
      <c r="C55" s="44" t="s">
        <v>121</v>
      </c>
      <c r="D55" s="44" t="s">
        <v>122</v>
      </c>
      <c r="E55" s="44">
        <f>HEX2DEC(SUBSTITUTE(D55,"0x",""))-HEX2DEC(SUBSTITUTE(C55,"0x",""))+1</f>
        <v>6</v>
      </c>
    </row>
    <row r="56" spans="1:5" ht="13.5" customHeight="1"/>
    <row r="57" spans="1:5" ht="13.5" customHeight="1">
      <c r="A57" s="44" t="s">
        <v>123</v>
      </c>
      <c r="B57" s="44" t="s">
        <v>115</v>
      </c>
      <c r="C57" s="44" t="s">
        <v>124</v>
      </c>
      <c r="D57" s="44" t="s">
        <v>125</v>
      </c>
      <c r="E57" s="44">
        <f>HEX2DEC(SUBSTITUTE(D57,"0x",""))-HEX2DEC(SUBSTITUTE(C57,"0x",""))+1</f>
        <v>84</v>
      </c>
    </row>
    <row r="58" spans="1:5" ht="13.5" customHeight="1"/>
    <row r="59" spans="1:5" ht="31.5" customHeight="1">
      <c r="A59" s="47" t="s">
        <v>126</v>
      </c>
      <c r="B59" s="44" t="s">
        <v>127</v>
      </c>
      <c r="C59" s="44" t="s">
        <v>128</v>
      </c>
      <c r="D59" s="44" t="s">
        <v>129</v>
      </c>
      <c r="E59" s="44">
        <f>HEX2DEC(SUBSTITUTE(D59,"0x",""))-HEX2DEC(SUBSTITUTE(C59,"0x",""))+1</f>
        <v>32</v>
      </c>
    </row>
    <row r="60" spans="1:5" ht="31.5" customHeight="1">
      <c r="A60" s="47"/>
    </row>
    <row r="61" spans="1:5" ht="31.5" customHeight="1">
      <c r="A61" s="47" t="s">
        <v>130</v>
      </c>
      <c r="B61" s="44" t="s">
        <v>130</v>
      </c>
      <c r="C61" s="44" t="s">
        <v>131</v>
      </c>
      <c r="D61" s="44" t="s">
        <v>132</v>
      </c>
      <c r="E61" s="44">
        <v>2</v>
      </c>
    </row>
    <row r="62" spans="1:5" ht="31.5" customHeight="1">
      <c r="A62" s="47"/>
    </row>
    <row r="63" spans="1:5" ht="31.5" customHeight="1">
      <c r="A63" s="47" t="s">
        <v>133</v>
      </c>
      <c r="B63" s="44" t="s">
        <v>127</v>
      </c>
      <c r="C63" s="44" t="s">
        <v>134</v>
      </c>
      <c r="D63" s="44" t="s">
        <v>135</v>
      </c>
      <c r="E63" s="44">
        <f>HEX2DEC(SUBSTITUTE(D63,"0x",""))-HEX2DEC(SUBSTITUTE(C63,"0x",""))+1</f>
        <v>70</v>
      </c>
    </row>
    <row r="64" spans="1:5" ht="31.5" customHeight="1">
      <c r="A64" s="47"/>
    </row>
    <row r="65" spans="1:5" ht="31.5" customHeight="1">
      <c r="A65" s="47" t="s">
        <v>136</v>
      </c>
      <c r="B65" s="44" t="s">
        <v>127</v>
      </c>
      <c r="C65" s="44" t="s">
        <v>137</v>
      </c>
      <c r="D65" s="44" t="s">
        <v>138</v>
      </c>
      <c r="E65" s="44">
        <f>HEX2DEC(SUBSTITUTE(D65,"0x",""))-HEX2DEC(SUBSTITUTE(C65,"0x",""))+1</f>
        <v>64</v>
      </c>
    </row>
    <row r="66" spans="1:5" ht="17.25" customHeight="1">
      <c r="A66" s="47"/>
    </row>
    <row r="67" spans="1:5" ht="13.5" customHeight="1"/>
    <row r="68" spans="1:5">
      <c r="A68" s="44" t="s">
        <v>139</v>
      </c>
      <c r="B68" s="44" t="s">
        <v>110</v>
      </c>
      <c r="C68" s="44" t="s">
        <v>140</v>
      </c>
      <c r="D68" s="44" t="s">
        <v>2848</v>
      </c>
      <c r="E68" s="44">
        <f>HEX2DEC(SUBSTITUTE(D68,"0x",""))-HEX2DEC(SUBSTITUTE(C68,"0x",""))+1</f>
        <v>68</v>
      </c>
    </row>
    <row r="70" spans="1:5">
      <c r="A70" s="44" t="s">
        <v>141</v>
      </c>
      <c r="B70" s="44" t="s">
        <v>110</v>
      </c>
      <c r="C70" s="44" t="s">
        <v>142</v>
      </c>
      <c r="D70" s="44" t="s">
        <v>143</v>
      </c>
      <c r="E70" s="44">
        <f>HEX2DEC(SUBSTITUTE(D70,"0x",""))-HEX2DEC(SUBSTITUTE(C70,"0x",""))+1</f>
        <v>39</v>
      </c>
    </row>
    <row r="72" spans="1:5">
      <c r="A72" s="44" t="s">
        <v>144</v>
      </c>
      <c r="B72" s="44" t="s">
        <v>110</v>
      </c>
      <c r="C72" s="44" t="s">
        <v>145</v>
      </c>
      <c r="D72" s="44" t="s">
        <v>146</v>
      </c>
      <c r="E72" s="44">
        <f>HEX2DEC(SUBSTITUTE(D72,"0x",""))-HEX2DEC(SUBSTITUTE(C72,"0x",""))+1</f>
        <v>30</v>
      </c>
    </row>
    <row r="74" spans="1:5">
      <c r="A74" s="44" t="s">
        <v>147</v>
      </c>
      <c r="B74" s="44" t="s">
        <v>110</v>
      </c>
      <c r="C74" s="44" t="s">
        <v>148</v>
      </c>
      <c r="D74" s="44" t="s">
        <v>149</v>
      </c>
      <c r="E74" s="44">
        <f>HEX2DEC(SUBSTITUTE(D74,"0x",""))-HEX2DEC(SUBSTITUTE(C74,"0x",""))+1</f>
        <v>24</v>
      </c>
    </row>
    <row r="76" spans="1:5">
      <c r="A76" s="44" t="s">
        <v>150</v>
      </c>
      <c r="B76" s="44" t="s">
        <v>110</v>
      </c>
      <c r="C76" s="44" t="s">
        <v>151</v>
      </c>
      <c r="D76" s="44" t="s">
        <v>152</v>
      </c>
      <c r="E76" s="44">
        <f>HEX2DEC(SUBSTITUTE(D76,"0x",""))-HEX2DEC(SUBSTITUTE(C76,"0x",""))+1</f>
        <v>72</v>
      </c>
    </row>
    <row r="77" spans="1:5">
      <c r="A77" s="44" t="s">
        <v>153</v>
      </c>
      <c r="B77" s="44" t="s">
        <v>110</v>
      </c>
      <c r="C77" s="44" t="s">
        <v>154</v>
      </c>
      <c r="D77" s="44" t="s">
        <v>155</v>
      </c>
      <c r="E77" s="44">
        <f>HEX2DEC(SUBSTITUTE(D77,"0x",""))-HEX2DEC(SUBSTITUTE(C77,"0x",""))+1</f>
        <v>18</v>
      </c>
    </row>
    <row r="78" spans="1:5">
      <c r="A78" s="44" t="s">
        <v>156</v>
      </c>
      <c r="B78" s="44" t="s">
        <v>110</v>
      </c>
      <c r="C78" s="44" t="s">
        <v>157</v>
      </c>
      <c r="D78" s="44" t="s">
        <v>158</v>
      </c>
      <c r="E78" s="44">
        <f>HEX2DEC(SUBSTITUTE(D78,"0x",""))-HEX2DEC(SUBSTITUTE(C78,"0x",""))+1</f>
        <v>209</v>
      </c>
    </row>
    <row r="80" spans="1:5">
      <c r="A80" s="44" t="s">
        <v>159</v>
      </c>
      <c r="B80" s="44" t="s">
        <v>160</v>
      </c>
      <c r="C80" s="44" t="s">
        <v>161</v>
      </c>
      <c r="D80" s="44" t="s">
        <v>162</v>
      </c>
      <c r="E80" s="44">
        <f t="shared" ref="E80:E89" si="1">HEX2DEC(SUBSTITUTE(D80,"0x",""))-HEX2DEC(SUBSTITUTE(C80,"0x",""))+1</f>
        <v>175</v>
      </c>
    </row>
    <row r="81" spans="1:5">
      <c r="A81" s="44" t="s">
        <v>163</v>
      </c>
      <c r="B81" s="44" t="s">
        <v>160</v>
      </c>
      <c r="C81" s="44" t="s">
        <v>164</v>
      </c>
      <c r="D81" s="44" t="s">
        <v>165</v>
      </c>
      <c r="E81" s="44">
        <f t="shared" si="1"/>
        <v>175</v>
      </c>
    </row>
    <row r="82" spans="1:5">
      <c r="A82" s="44" t="s">
        <v>166</v>
      </c>
      <c r="B82" s="44" t="s">
        <v>167</v>
      </c>
      <c r="C82" s="44" t="s">
        <v>168</v>
      </c>
      <c r="D82" s="44" t="s">
        <v>169</v>
      </c>
      <c r="E82" s="44">
        <f t="shared" si="1"/>
        <v>12</v>
      </c>
    </row>
    <row r="83" spans="1:5">
      <c r="A83" s="44" t="s">
        <v>170</v>
      </c>
      <c r="B83" s="44" t="s">
        <v>167</v>
      </c>
      <c r="C83" s="44" t="s">
        <v>171</v>
      </c>
      <c r="D83" s="44" t="s">
        <v>172</v>
      </c>
      <c r="E83" s="44">
        <f t="shared" si="1"/>
        <v>9</v>
      </c>
    </row>
    <row r="84" spans="1:5">
      <c r="A84" s="44" t="s">
        <v>173</v>
      </c>
      <c r="B84" s="44" t="s">
        <v>173</v>
      </c>
      <c r="C84" s="44" t="s">
        <v>174</v>
      </c>
      <c r="D84" s="44" t="s">
        <v>175</v>
      </c>
      <c r="E84" s="44">
        <f t="shared" si="1"/>
        <v>160</v>
      </c>
    </row>
    <row r="85" spans="1:5">
      <c r="A85" s="44" t="s">
        <v>176</v>
      </c>
      <c r="B85" s="44" t="s">
        <v>173</v>
      </c>
      <c r="C85" s="44" t="s">
        <v>177</v>
      </c>
      <c r="D85" s="44" t="s">
        <v>178</v>
      </c>
      <c r="E85" s="44">
        <f t="shared" si="1"/>
        <v>56</v>
      </c>
    </row>
    <row r="86" spans="1:5">
      <c r="A86" s="44" t="s">
        <v>179</v>
      </c>
      <c r="B86" s="44" t="s">
        <v>173</v>
      </c>
      <c r="C86" s="44" t="s">
        <v>180</v>
      </c>
      <c r="D86" s="44" t="s">
        <v>181</v>
      </c>
      <c r="E86" s="44">
        <f t="shared" si="1"/>
        <v>8</v>
      </c>
    </row>
    <row r="87" spans="1:5">
      <c r="A87" s="44" t="s">
        <v>182</v>
      </c>
      <c r="B87" s="44" t="s">
        <v>173</v>
      </c>
      <c r="C87" s="44" t="s">
        <v>183</v>
      </c>
      <c r="D87" s="44" t="s">
        <v>184</v>
      </c>
      <c r="E87" s="44">
        <f t="shared" si="1"/>
        <v>16</v>
      </c>
    </row>
    <row r="88" spans="1:5">
      <c r="A88" s="44" t="s">
        <v>185</v>
      </c>
      <c r="B88" s="44" t="s">
        <v>173</v>
      </c>
      <c r="C88" s="44" t="s">
        <v>186</v>
      </c>
      <c r="D88" s="44" t="s">
        <v>187</v>
      </c>
      <c r="E88" s="44">
        <f t="shared" si="1"/>
        <v>161</v>
      </c>
    </row>
    <row r="89" spans="1:5" s="46" customFormat="1">
      <c r="A89" s="46" t="s">
        <v>2913</v>
      </c>
      <c r="B89" s="46" t="s">
        <v>173</v>
      </c>
      <c r="C89" s="46" t="s">
        <v>2914</v>
      </c>
      <c r="D89" s="46" t="s">
        <v>2915</v>
      </c>
      <c r="E89" s="46">
        <f t="shared" si="1"/>
        <v>6</v>
      </c>
    </row>
    <row r="91" spans="1:5">
      <c r="A91" s="44" t="s">
        <v>188</v>
      </c>
      <c r="B91" s="44" t="s">
        <v>110</v>
      </c>
      <c r="C91" s="44" t="s">
        <v>189</v>
      </c>
      <c r="D91" s="44" t="s">
        <v>190</v>
      </c>
      <c r="E91" s="44">
        <f>HEX2DEC(SUBSTITUTE(D91,"0x",""))-HEX2DEC(SUBSTITUTE(C91,"0x",""))+1</f>
        <v>192</v>
      </c>
    </row>
    <row r="93" spans="1:5">
      <c r="A93" s="44" t="s">
        <v>191</v>
      </c>
      <c r="B93" s="44" t="s">
        <v>110</v>
      </c>
      <c r="C93" s="44" t="s">
        <v>192</v>
      </c>
      <c r="D93" s="44" t="s">
        <v>193</v>
      </c>
      <c r="E93" s="44">
        <f>HEX2DEC(SUBSTITUTE(D93,"0x",""))-HEX2DEC(SUBSTITUTE(C93,"0x",""))+1</f>
        <v>2</v>
      </c>
    </row>
    <row r="95" spans="1:5">
      <c r="A95" s="44" t="s">
        <v>194</v>
      </c>
      <c r="B95" s="44" t="s">
        <v>110</v>
      </c>
      <c r="C95" s="44" t="s">
        <v>195</v>
      </c>
      <c r="D95" s="44" t="s">
        <v>196</v>
      </c>
      <c r="E95" s="44">
        <f>HEX2DEC(SUBSTITUTE(D95,"0x",""))-HEX2DEC(SUBSTITUTE(C95,"0x",""))+1</f>
        <v>6</v>
      </c>
    </row>
    <row r="96" spans="1:5">
      <c r="A96" s="44" t="s">
        <v>197</v>
      </c>
      <c r="B96" s="44" t="s">
        <v>160</v>
      </c>
      <c r="C96" s="44" t="s">
        <v>198</v>
      </c>
      <c r="D96" s="44" t="s">
        <v>199</v>
      </c>
      <c r="E96" s="44">
        <f>HEX2DEC(SUBSTITUTE(D96,"0x",""))-HEX2DEC(SUBSTITUTE(C96,"0x",""))+1</f>
        <v>21</v>
      </c>
    </row>
    <row r="98" spans="1:6">
      <c r="A98" s="44" t="s">
        <v>200</v>
      </c>
      <c r="B98" s="44" t="s">
        <v>110</v>
      </c>
      <c r="C98" s="44" t="s">
        <v>201</v>
      </c>
      <c r="D98" s="44" t="s">
        <v>202</v>
      </c>
      <c r="E98" s="44">
        <f>HEX2DEC(SUBSTITUTE(D98,"0x",""))-HEX2DEC(SUBSTITUTE(C98,"0x",""))+1</f>
        <v>30</v>
      </c>
    </row>
    <row r="99" spans="1:6" s="45" customFormat="1">
      <c r="A99" s="45" t="s">
        <v>203</v>
      </c>
      <c r="B99" s="45" t="s">
        <v>110</v>
      </c>
      <c r="C99" s="45" t="s">
        <v>204</v>
      </c>
      <c r="D99" s="45" t="s">
        <v>205</v>
      </c>
      <c r="E99" s="45">
        <f>HEX2DEC(SUBSTITUTE(D99,"0x",""))-HEX2DEC(SUBSTITUTE(C99,"0x",""))+1</f>
        <v>336</v>
      </c>
      <c r="F99" s="45" t="s">
        <v>206</v>
      </c>
    </row>
    <row r="101" spans="1:6">
      <c r="A101" s="44" t="s">
        <v>207</v>
      </c>
      <c r="B101" s="44" t="s">
        <v>110</v>
      </c>
      <c r="C101" s="44" t="s">
        <v>208</v>
      </c>
      <c r="D101" s="44" t="s">
        <v>209</v>
      </c>
      <c r="E101" s="44">
        <f>HEX2DEC(SUBSTITUTE(D101,"0x",""))-HEX2DEC(SUBSTITUTE(C101,"0x",""))+1</f>
        <v>16</v>
      </c>
    </row>
    <row r="102" spans="1:6">
      <c r="A102" s="44" t="s">
        <v>210</v>
      </c>
      <c r="B102" s="44" t="s">
        <v>110</v>
      </c>
      <c r="C102" s="44" t="s">
        <v>211</v>
      </c>
      <c r="D102" s="44" t="s">
        <v>212</v>
      </c>
      <c r="E102" s="44">
        <f>HEX2DEC(SUBSTITUTE(D102,"0x",""))-HEX2DEC(SUBSTITUTE(C102,"0x",""))+1</f>
        <v>32</v>
      </c>
    </row>
    <row r="103" spans="1:6" ht="25.5">
      <c r="A103" s="44" t="s">
        <v>213</v>
      </c>
      <c r="B103" s="47" t="s">
        <v>214</v>
      </c>
      <c r="C103" s="44" t="s">
        <v>215</v>
      </c>
      <c r="D103" s="44" t="s">
        <v>216</v>
      </c>
      <c r="E103" s="44">
        <f>HEX2DEC(SUBSTITUTE(D103,"0x",""))-HEX2DEC(SUBSTITUTE(C103,"0x",""))+1</f>
        <v>12</v>
      </c>
    </row>
    <row r="104" spans="1:6">
      <c r="B104" s="47"/>
    </row>
    <row r="105" spans="1:6" s="46" customFormat="1">
      <c r="A105" s="46" t="s">
        <v>3225</v>
      </c>
      <c r="B105" s="96" t="s">
        <v>110</v>
      </c>
      <c r="C105" s="46" t="s">
        <v>3224</v>
      </c>
      <c r="D105" s="46" t="s">
        <v>3228</v>
      </c>
      <c r="E105" s="46">
        <f>HEX2DEC(SUBSTITUTE(D105,"0x",""))-HEX2DEC(SUBSTITUTE(C105,"0x",""))+1</f>
        <v>34</v>
      </c>
    </row>
    <row r="107" spans="1:6">
      <c r="A107" s="44" t="s">
        <v>217</v>
      </c>
      <c r="B107" s="44" t="s">
        <v>218</v>
      </c>
      <c r="C107" s="44" t="s">
        <v>219</v>
      </c>
      <c r="D107" s="44" t="s">
        <v>220</v>
      </c>
      <c r="E107" s="44">
        <f>HEX2DEC(SUBSTITUTE(D107,"0x",""))-HEX2DEC(SUBSTITUTE(C107,"0x",""))+1</f>
        <v>21</v>
      </c>
    </row>
    <row r="109" spans="1:6">
      <c r="A109" s="44" t="s">
        <v>221</v>
      </c>
      <c r="B109" s="44" t="s">
        <v>222</v>
      </c>
      <c r="C109" s="44" t="s">
        <v>223</v>
      </c>
      <c r="D109" s="44" t="s">
        <v>224</v>
      </c>
      <c r="E109" s="44">
        <v>424</v>
      </c>
    </row>
    <row r="111" spans="1:6">
      <c r="A111" s="44" t="s">
        <v>225</v>
      </c>
      <c r="B111" s="44" t="s">
        <v>127</v>
      </c>
      <c r="C111" s="44" t="s">
        <v>226</v>
      </c>
      <c r="D111" s="44" t="s">
        <v>227</v>
      </c>
      <c r="E111" s="44">
        <f>HEX2DEC(SUBSTITUTE(D111,"0x",""))-HEX2DEC(SUBSTITUTE(C111,"0x",""))+1</f>
        <v>190</v>
      </c>
    </row>
    <row r="113" spans="1:5">
      <c r="A113" s="44" t="s">
        <v>228</v>
      </c>
      <c r="B113" s="44" t="s">
        <v>222</v>
      </c>
      <c r="C113" s="44" t="s">
        <v>229</v>
      </c>
      <c r="D113" s="44" t="s">
        <v>230</v>
      </c>
      <c r="E113" s="44">
        <v>268</v>
      </c>
    </row>
    <row r="115" spans="1:5">
      <c r="A115" s="44" t="s">
        <v>231</v>
      </c>
      <c r="B115" s="44" t="s">
        <v>95</v>
      </c>
      <c r="C115" s="44" t="s">
        <v>232</v>
      </c>
      <c r="D115" s="44" t="s">
        <v>233</v>
      </c>
      <c r="E115" s="44">
        <f>HEX2DEC(SUBSTITUTE(D115,"0x",""))-HEX2DEC(SUBSTITUTE(C115,"0x",""))+1</f>
        <v>127</v>
      </c>
    </row>
    <row r="117" spans="1:5">
      <c r="A117" s="44" t="s">
        <v>234</v>
      </c>
      <c r="B117" s="44" t="s">
        <v>95</v>
      </c>
      <c r="C117" s="44" t="s">
        <v>235</v>
      </c>
      <c r="D117" s="44" t="s">
        <v>236</v>
      </c>
      <c r="E117" s="44">
        <f>HEX2DEC(SUBSTITUTE(D117,"0x",""))-HEX2DEC(SUBSTITUTE(C117,"0x",""))+1</f>
        <v>524</v>
      </c>
    </row>
    <row r="119" spans="1:5">
      <c r="A119" s="44" t="s">
        <v>237</v>
      </c>
      <c r="B119" s="44" t="s">
        <v>102</v>
      </c>
      <c r="C119" s="44" t="s">
        <v>238</v>
      </c>
      <c r="D119" s="44" t="s">
        <v>239</v>
      </c>
      <c r="E119" s="44">
        <f>HEX2DEC(SUBSTITUTE(D119,"0x",""))-HEX2DEC(SUBSTITUTE(C119,"0x",""))+1</f>
        <v>127</v>
      </c>
    </row>
    <row r="121" spans="1:5">
      <c r="A121" s="44" t="s">
        <v>240</v>
      </c>
      <c r="B121" s="44" t="s">
        <v>102</v>
      </c>
      <c r="C121" s="44" t="s">
        <v>241</v>
      </c>
      <c r="D121" s="44" t="s">
        <v>242</v>
      </c>
      <c r="E121" s="44">
        <f>HEX2DEC(SUBSTITUTE(D121,"0x",""))-HEX2DEC(SUBSTITUTE(C121,"0x",""))+1</f>
        <v>12</v>
      </c>
    </row>
    <row r="123" spans="1:5">
      <c r="A123" s="44" t="s">
        <v>243</v>
      </c>
      <c r="B123" s="44" t="s">
        <v>62</v>
      </c>
      <c r="C123" s="44" t="s">
        <v>244</v>
      </c>
      <c r="D123" s="44" t="s">
        <v>3090</v>
      </c>
      <c r="E123" s="46">
        <f>HEX2DEC(SUBSTITUTE(D123,"0x",""))-HEX2DEC(SUBSTITUTE(C123,"0x",""))+1</f>
        <v>120</v>
      </c>
    </row>
    <row r="124" spans="1:5">
      <c r="E124" s="46"/>
    </row>
    <row r="125" spans="1:5">
      <c r="A125" s="44" t="s">
        <v>246</v>
      </c>
      <c r="B125" s="44" t="s">
        <v>62</v>
      </c>
      <c r="C125" s="44" t="s">
        <v>247</v>
      </c>
      <c r="D125" s="44" t="s">
        <v>3091</v>
      </c>
      <c r="E125" s="46">
        <f>HEX2DEC(SUBSTITUTE(D125,"0x",""))-HEX2DEC(SUBSTITUTE(C125,"0x",""))+1</f>
        <v>121</v>
      </c>
    </row>
    <row r="127" spans="1:5">
      <c r="A127" s="44" t="s">
        <v>248</v>
      </c>
      <c r="B127" s="44" t="s">
        <v>106</v>
      </c>
      <c r="C127" s="44" t="s">
        <v>249</v>
      </c>
      <c r="D127" s="44" t="s">
        <v>250</v>
      </c>
      <c r="E127" s="44">
        <f>HEX2DEC(SUBSTITUTE(D127,"0x",""))-HEX2DEC(SUBSTITUTE(C127,"0x",""))+1</f>
        <v>88</v>
      </c>
    </row>
    <row r="129" spans="1:5">
      <c r="A129" s="44" t="s">
        <v>251</v>
      </c>
      <c r="B129" s="44" t="s">
        <v>110</v>
      </c>
      <c r="C129" s="44" t="s">
        <v>252</v>
      </c>
      <c r="D129" s="44" t="s">
        <v>253</v>
      </c>
      <c r="E129" s="44">
        <f>HEX2DEC(SUBSTITUTE(D129,"0x",""))-HEX2DEC(SUBSTITUTE(C129,"0x",""))+1</f>
        <v>744</v>
      </c>
    </row>
    <row r="131" spans="1:5">
      <c r="A131" s="44" t="s">
        <v>254</v>
      </c>
      <c r="B131" s="44" t="s">
        <v>255</v>
      </c>
      <c r="C131" s="44" t="s">
        <v>256</v>
      </c>
      <c r="D131" s="44" t="s">
        <v>257</v>
      </c>
      <c r="E131" s="44">
        <f>HEX2DEC(SUBSTITUTE(D131,"0x",""))-HEX2DEC(SUBSTITUTE(C131,"0x",""))+1</f>
        <v>50</v>
      </c>
    </row>
    <row r="132" spans="1:5">
      <c r="A132" s="44" t="s">
        <v>258</v>
      </c>
      <c r="B132" s="44" t="s">
        <v>255</v>
      </c>
      <c r="C132" s="44" t="s">
        <v>259</v>
      </c>
      <c r="D132" s="44" t="s">
        <v>260</v>
      </c>
      <c r="E132" s="44">
        <f>HEX2DEC(SUBSTITUTE(D132,"0x",""))-HEX2DEC(SUBSTITUTE(C132,"0x",""))+1</f>
        <v>50</v>
      </c>
    </row>
    <row r="134" spans="1:5">
      <c r="A134" s="44" t="s">
        <v>261</v>
      </c>
      <c r="B134" s="44" t="s">
        <v>255</v>
      </c>
      <c r="C134" s="44" t="s">
        <v>262</v>
      </c>
      <c r="D134" s="44" t="s">
        <v>263</v>
      </c>
      <c r="E134" s="44">
        <f>HEX2DEC(SUBSTITUTE(D134,"0x",""))-HEX2DEC(SUBSTITUTE(C134,"0x",""))+1</f>
        <v>50</v>
      </c>
    </row>
    <row r="135" spans="1:5">
      <c r="A135" s="44" t="s">
        <v>264</v>
      </c>
      <c r="B135" s="44" t="s">
        <v>255</v>
      </c>
      <c r="C135" s="44" t="s">
        <v>265</v>
      </c>
      <c r="D135" s="44" t="s">
        <v>266</v>
      </c>
      <c r="E135" s="44">
        <f>HEX2DEC(SUBSTITUTE(D135,"0x",""))-HEX2DEC(SUBSTITUTE(C135,"0x",""))+1</f>
        <v>50</v>
      </c>
    </row>
    <row r="137" spans="1:5">
      <c r="A137" s="44" t="s">
        <v>267</v>
      </c>
      <c r="B137" s="44" t="s">
        <v>255</v>
      </c>
      <c r="C137" s="44" t="s">
        <v>268</v>
      </c>
      <c r="D137" s="44" t="s">
        <v>269</v>
      </c>
      <c r="E137" s="44">
        <f>HEX2DEC(SUBSTITUTE(D137,"0x",""))-HEX2DEC(SUBSTITUTE(C137,"0x",""))+1</f>
        <v>160</v>
      </c>
    </row>
    <row r="139" spans="1:5">
      <c r="A139" s="44" t="s">
        <v>270</v>
      </c>
      <c r="B139" s="44" t="s">
        <v>255</v>
      </c>
      <c r="C139" s="44" t="s">
        <v>271</v>
      </c>
      <c r="D139" s="44" t="s">
        <v>272</v>
      </c>
      <c r="E139" s="44">
        <f>HEX2DEC(SUBSTITUTE(D139,"0x",""))-HEX2DEC(SUBSTITUTE(C139,"0x",""))+1</f>
        <v>160</v>
      </c>
    </row>
    <row r="141" spans="1:5">
      <c r="A141" s="44" t="s">
        <v>273</v>
      </c>
      <c r="B141" s="44" t="s">
        <v>274</v>
      </c>
      <c r="C141" s="44" t="s">
        <v>275</v>
      </c>
      <c r="D141" s="44" t="s">
        <v>276</v>
      </c>
      <c r="E141" s="44">
        <f>HEX2DEC(SUBSTITUTE(D141,"0x",""))-HEX2DEC(SUBSTITUTE(C141,"0x",""))+1</f>
        <v>24</v>
      </c>
    </row>
    <row r="143" spans="1:5">
      <c r="A143" s="44" t="s">
        <v>277</v>
      </c>
      <c r="B143" s="44" t="s">
        <v>274</v>
      </c>
      <c r="C143" s="44" t="s">
        <v>278</v>
      </c>
      <c r="D143" s="44" t="s">
        <v>279</v>
      </c>
      <c r="E143" s="44">
        <f>HEX2DEC(SUBSTITUTE(D143,"0x",""))-HEX2DEC(SUBSTITUTE(C143,"0x",""))+1</f>
        <v>15</v>
      </c>
    </row>
    <row r="145" spans="1:6">
      <c r="A145" s="16" t="s">
        <v>280</v>
      </c>
      <c r="B145" s="44" t="s">
        <v>274</v>
      </c>
      <c r="C145" s="44" t="s">
        <v>281</v>
      </c>
      <c r="D145" s="44" t="s">
        <v>282</v>
      </c>
      <c r="E145" s="44">
        <f>HEX2DEC(SUBSTITUTE(D145,"0x",""))-HEX2DEC(SUBSTITUTE(C145,"0x",""))+1</f>
        <v>36</v>
      </c>
    </row>
    <row r="146" spans="1:6">
      <c r="A146" s="16" t="s">
        <v>283</v>
      </c>
      <c r="B146" s="44" t="s">
        <v>274</v>
      </c>
      <c r="C146" s="44" t="s">
        <v>284</v>
      </c>
      <c r="D146" s="44" t="s">
        <v>285</v>
      </c>
      <c r="E146" s="44">
        <f>HEX2DEC(SUBSTITUTE(D146,"0x",""))-HEX2DEC(SUBSTITUTE(C146,"0x",""))+1</f>
        <v>588</v>
      </c>
    </row>
    <row r="147" spans="1:6">
      <c r="A147" s="16" t="s">
        <v>286</v>
      </c>
      <c r="B147" s="44" t="s">
        <v>274</v>
      </c>
      <c r="C147" s="44" t="s">
        <v>287</v>
      </c>
      <c r="D147" s="44" t="s">
        <v>288</v>
      </c>
      <c r="E147" s="44">
        <f>HEX2DEC(SUBSTITUTE(D147,"0x",""))-HEX2DEC(SUBSTITUTE(C147,"0x",""))+1</f>
        <v>93</v>
      </c>
    </row>
    <row r="149" spans="1:6">
      <c r="A149" s="16" t="s">
        <v>289</v>
      </c>
      <c r="B149" s="44" t="s">
        <v>274</v>
      </c>
      <c r="C149" s="44" t="s">
        <v>290</v>
      </c>
      <c r="D149" s="44" t="s">
        <v>2862</v>
      </c>
      <c r="E149" s="44">
        <f>HEX2DEC(SUBSTITUTE(D149,"0x",""))-HEX2DEC(SUBSTITUTE(C149,"0x",""))+1</f>
        <v>921</v>
      </c>
    </row>
    <row r="151" spans="1:6">
      <c r="A151" s="16" t="s">
        <v>291</v>
      </c>
      <c r="B151" s="44" t="s">
        <v>274</v>
      </c>
      <c r="C151" s="44" t="s">
        <v>292</v>
      </c>
      <c r="D151" s="44" t="s">
        <v>293</v>
      </c>
      <c r="E151" s="44">
        <f>HEX2DEC(SUBSTITUTE(D151,"0x",""))-HEX2DEC(SUBSTITUTE(C151,"0x",""))+1</f>
        <v>97</v>
      </c>
    </row>
    <row r="153" spans="1:6">
      <c r="A153" s="44" t="s">
        <v>294</v>
      </c>
      <c r="B153" s="44" t="s">
        <v>295</v>
      </c>
      <c r="C153" s="44" t="s">
        <v>296</v>
      </c>
      <c r="D153" s="44" t="s">
        <v>297</v>
      </c>
      <c r="E153" s="44">
        <f>HEX2DEC(SUBSTITUTE(D153,"0x",""))-HEX2DEC(SUBSTITUTE(C153,"0x",""))+1</f>
        <v>17</v>
      </c>
    </row>
    <row r="154" spans="1:6" s="45" customFormat="1">
      <c r="A154" s="45" t="s">
        <v>298</v>
      </c>
      <c r="B154" s="45" t="s">
        <v>295</v>
      </c>
      <c r="C154" s="45" t="s">
        <v>299</v>
      </c>
      <c r="D154" s="45" t="s">
        <v>300</v>
      </c>
      <c r="E154" s="45">
        <f>HEX2DEC(SUBSTITUTE(D154,"0x",""))-HEX2DEC(SUBSTITUTE(C154,"0x",""))+1</f>
        <v>15</v>
      </c>
      <c r="F154" s="45" t="s">
        <v>301</v>
      </c>
    </row>
    <row r="156" spans="1:6">
      <c r="A156" s="44" t="s">
        <v>302</v>
      </c>
      <c r="B156" s="44" t="s">
        <v>295</v>
      </c>
      <c r="C156" s="44" t="s">
        <v>303</v>
      </c>
      <c r="D156" s="44" t="s">
        <v>304</v>
      </c>
      <c r="E156" s="44">
        <f>HEX2DEC(SUBSTITUTE(D156,"0x",""))-HEX2DEC(SUBSTITUTE(C156,"0x",""))+1</f>
        <v>83</v>
      </c>
    </row>
    <row r="158" spans="1:6" s="45" customFormat="1">
      <c r="A158" s="45" t="s">
        <v>305</v>
      </c>
      <c r="B158" s="45" t="s">
        <v>295</v>
      </c>
      <c r="C158" s="45" t="s">
        <v>306</v>
      </c>
      <c r="D158" s="45" t="s">
        <v>307</v>
      </c>
      <c r="E158" s="45">
        <f>HEX2DEC(SUBSTITUTE(D158,"0x",""))-HEX2DEC(SUBSTITUTE(C158,"0x",""))+1</f>
        <v>68</v>
      </c>
      <c r="F158" s="45" t="s">
        <v>308</v>
      </c>
    </row>
    <row r="160" spans="1:6" s="45" customFormat="1">
      <c r="A160" s="45" t="s">
        <v>309</v>
      </c>
      <c r="B160" s="45" t="s">
        <v>295</v>
      </c>
      <c r="C160" s="45" t="s">
        <v>310</v>
      </c>
      <c r="D160" s="45" t="s">
        <v>311</v>
      </c>
      <c r="E160" s="45">
        <f>HEX2DEC(SUBSTITUTE(D160,"0x",""))-HEX2DEC(SUBSTITUTE(C160,"0x",""))+1</f>
        <v>68</v>
      </c>
    </row>
    <row r="162" spans="1:6">
      <c r="A162" s="45" t="s">
        <v>312</v>
      </c>
      <c r="B162" s="45" t="s">
        <v>313</v>
      </c>
      <c r="C162" s="45" t="s">
        <v>314</v>
      </c>
      <c r="D162" s="45" t="s">
        <v>315</v>
      </c>
      <c r="E162" s="45">
        <f t="shared" ref="E162:E167" si="2">HEX2DEC(SUBSTITUTE(D162,"0x",""))-HEX2DEC(SUBSTITUTE(C162,"0x",""))+1</f>
        <v>256</v>
      </c>
      <c r="F162" s="45" t="s">
        <v>316</v>
      </c>
    </row>
    <row r="163" spans="1:6">
      <c r="A163" s="45" t="s">
        <v>317</v>
      </c>
      <c r="B163" s="45" t="s">
        <v>318</v>
      </c>
      <c r="C163" s="45" t="s">
        <v>319</v>
      </c>
      <c r="D163" s="45" t="s">
        <v>320</v>
      </c>
      <c r="E163" s="45">
        <f t="shared" si="2"/>
        <v>7</v>
      </c>
      <c r="F163" s="45" t="s">
        <v>316</v>
      </c>
    </row>
    <row r="164" spans="1:6">
      <c r="A164" s="45"/>
      <c r="B164" s="45"/>
      <c r="C164" s="45"/>
      <c r="D164" s="45"/>
      <c r="E164" s="45">
        <f t="shared" si="2"/>
        <v>1</v>
      </c>
      <c r="F164" s="45"/>
    </row>
    <row r="165" spans="1:6">
      <c r="A165" s="45" t="s">
        <v>321</v>
      </c>
      <c r="B165" s="45" t="s">
        <v>318</v>
      </c>
      <c r="C165" s="45" t="s">
        <v>322</v>
      </c>
      <c r="D165" s="45" t="s">
        <v>323</v>
      </c>
      <c r="E165" s="45">
        <f t="shared" si="2"/>
        <v>274</v>
      </c>
      <c r="F165" s="45" t="s">
        <v>316</v>
      </c>
    </row>
    <row r="166" spans="1:6">
      <c r="A166" s="45"/>
      <c r="B166" s="45"/>
      <c r="C166" s="45"/>
      <c r="D166" s="45"/>
      <c r="E166" s="45">
        <f t="shared" si="2"/>
        <v>1</v>
      </c>
      <c r="F166" s="45"/>
    </row>
    <row r="167" spans="1:6">
      <c r="A167" s="45" t="s">
        <v>324</v>
      </c>
      <c r="B167" s="45" t="s">
        <v>318</v>
      </c>
      <c r="C167" s="45" t="s">
        <v>325</v>
      </c>
      <c r="D167" s="45" t="s">
        <v>326</v>
      </c>
      <c r="E167" s="45">
        <f t="shared" si="2"/>
        <v>7</v>
      </c>
      <c r="F167" s="45" t="s">
        <v>316</v>
      </c>
    </row>
    <row r="168" spans="1:6">
      <c r="A168" s="45"/>
      <c r="B168" s="45"/>
      <c r="C168" s="45"/>
      <c r="D168" s="45"/>
      <c r="E168" s="45"/>
      <c r="F168" s="45"/>
    </row>
    <row r="170" spans="1:6">
      <c r="A170" s="44" t="s">
        <v>130</v>
      </c>
      <c r="B170" s="44" t="s">
        <v>130</v>
      </c>
      <c r="C170" s="44" t="s">
        <v>327</v>
      </c>
      <c r="D170" s="46" t="s">
        <v>3242</v>
      </c>
      <c r="E170" s="46">
        <v>5</v>
      </c>
    </row>
    <row r="172" spans="1:6" s="46" customFormat="1">
      <c r="A172" s="46" t="s">
        <v>3210</v>
      </c>
      <c r="B172" s="46" t="s">
        <v>3210</v>
      </c>
      <c r="C172" s="46" t="s">
        <v>3211</v>
      </c>
      <c r="D172" s="46" t="s">
        <v>3237</v>
      </c>
      <c r="E172" s="46">
        <v>3635</v>
      </c>
    </row>
    <row r="173" spans="1:6" s="46" customFormat="1"/>
    <row r="174" spans="1:6" s="46" customFormat="1">
      <c r="A174" s="92" t="s">
        <v>3218</v>
      </c>
      <c r="B174" s="92" t="s">
        <v>3213</v>
      </c>
      <c r="C174" s="92" t="s">
        <v>3219</v>
      </c>
      <c r="D174" s="92"/>
      <c r="E174" s="92">
        <v>1</v>
      </c>
    </row>
    <row r="175" spans="1:6" s="92" customFormat="1">
      <c r="A175" s="92" t="s">
        <v>3212</v>
      </c>
      <c r="B175" s="92" t="s">
        <v>3213</v>
      </c>
      <c r="C175" s="92" t="s">
        <v>3214</v>
      </c>
      <c r="D175" s="92" t="s">
        <v>3215</v>
      </c>
      <c r="E175" s="92">
        <v>45</v>
      </c>
    </row>
    <row r="176" spans="1:6" s="46" customFormat="1">
      <c r="A176" s="46" t="s">
        <v>3216</v>
      </c>
      <c r="B176" s="46" t="s">
        <v>3213</v>
      </c>
      <c r="C176" s="46" t="s">
        <v>3217</v>
      </c>
      <c r="D176" s="46" t="s">
        <v>3223</v>
      </c>
      <c r="E176" s="46">
        <v>115</v>
      </c>
    </row>
    <row r="178" spans="1:6">
      <c r="A178" s="44" t="s">
        <v>329</v>
      </c>
      <c r="B178" s="44" t="s">
        <v>329</v>
      </c>
      <c r="C178" s="44" t="s">
        <v>330</v>
      </c>
      <c r="D178" s="44" t="s">
        <v>331</v>
      </c>
      <c r="E178" s="44">
        <f>HEX2DEC(SUBSTITUTE(D178,"0x",""))-HEX2DEC(SUBSTITUTE(C178,"0x",""))+1</f>
        <v>202</v>
      </c>
    </row>
    <row r="181" spans="1:6">
      <c r="A181" s="44" t="s">
        <v>332</v>
      </c>
      <c r="B181" s="44" t="s">
        <v>333</v>
      </c>
      <c r="C181" s="44" t="s">
        <v>334</v>
      </c>
      <c r="D181" s="44" t="s">
        <v>335</v>
      </c>
      <c r="E181" s="44">
        <f t="shared" ref="E181:E186" si="3">HEX2DEC(SUBSTITUTE(D181,"0x",""))-HEX2DEC(SUBSTITUTE(C181,"0x",""))+1</f>
        <v>9</v>
      </c>
    </row>
    <row r="182" spans="1:6">
      <c r="A182" s="44" t="s">
        <v>336</v>
      </c>
      <c r="B182" s="44" t="s">
        <v>333</v>
      </c>
      <c r="C182" s="44" t="s">
        <v>337</v>
      </c>
      <c r="D182" s="44" t="s">
        <v>338</v>
      </c>
      <c r="E182" s="44">
        <f t="shared" si="3"/>
        <v>24</v>
      </c>
    </row>
    <row r="183" spans="1:6">
      <c r="A183" s="44" t="s">
        <v>339</v>
      </c>
      <c r="B183" s="44" t="s">
        <v>333</v>
      </c>
      <c r="C183" s="44" t="s">
        <v>340</v>
      </c>
      <c r="D183" s="44" t="s">
        <v>341</v>
      </c>
      <c r="E183" s="44">
        <f t="shared" si="3"/>
        <v>4</v>
      </c>
    </row>
    <row r="184" spans="1:6">
      <c r="A184" s="44" t="s">
        <v>342</v>
      </c>
      <c r="B184" s="44" t="s">
        <v>333</v>
      </c>
      <c r="C184" s="44" t="s">
        <v>343</v>
      </c>
      <c r="D184" s="44" t="s">
        <v>344</v>
      </c>
      <c r="E184" s="44">
        <f t="shared" si="3"/>
        <v>4</v>
      </c>
    </row>
    <row r="185" spans="1:6">
      <c r="A185" s="45" t="s">
        <v>345</v>
      </c>
      <c r="B185" s="45" t="s">
        <v>346</v>
      </c>
      <c r="C185" s="45" t="s">
        <v>347</v>
      </c>
      <c r="D185" s="45" t="s">
        <v>348</v>
      </c>
      <c r="E185" s="45">
        <f t="shared" si="3"/>
        <v>7</v>
      </c>
      <c r="F185" s="45" t="s">
        <v>316</v>
      </c>
    </row>
    <row r="186" spans="1:6" s="45" customFormat="1">
      <c r="A186" s="45" t="s">
        <v>349</v>
      </c>
      <c r="B186" s="45" t="s">
        <v>333</v>
      </c>
      <c r="C186" s="45" t="s">
        <v>350</v>
      </c>
      <c r="D186" s="45" t="s">
        <v>351</v>
      </c>
      <c r="E186" s="45">
        <f t="shared" si="3"/>
        <v>7</v>
      </c>
      <c r="F186" s="45" t="s">
        <v>316</v>
      </c>
    </row>
    <row r="187" spans="1:6">
      <c r="A187" s="44" t="s">
        <v>352</v>
      </c>
      <c r="B187" s="44" t="s">
        <v>333</v>
      </c>
      <c r="C187" s="44" t="s">
        <v>353</v>
      </c>
      <c r="D187" s="46" t="s">
        <v>354</v>
      </c>
      <c r="E187" s="44">
        <f>HEX2DEC(SUBSTITUTE(D187,"0x",""))-HEX2DEC(SUBSTITUTE(C187,"0x",""))+1</f>
        <v>114</v>
      </c>
    </row>
    <row r="188" spans="1:6">
      <c r="D188" s="46"/>
    </row>
    <row r="189" spans="1:6" s="46" customFormat="1">
      <c r="A189" s="46" t="s">
        <v>2897</v>
      </c>
      <c r="B189" s="46" t="s">
        <v>62</v>
      </c>
      <c r="C189" s="46" t="s">
        <v>2898</v>
      </c>
      <c r="E189" s="46">
        <v>1</v>
      </c>
    </row>
    <row r="191" spans="1:6">
      <c r="A191" s="44" t="s">
        <v>355</v>
      </c>
      <c r="B191" s="44" t="s">
        <v>356</v>
      </c>
      <c r="C191" s="44" t="s">
        <v>357</v>
      </c>
      <c r="D191" s="44" t="s">
        <v>358</v>
      </c>
      <c r="E191" s="44">
        <f>HEX2DEC(SUBSTITUTE(D191,"0x",""))-HEX2DEC(SUBSTITUTE(C191,"0x",""))+1</f>
        <v>3</v>
      </c>
    </row>
    <row r="192" spans="1:6">
      <c r="A192" s="44" t="s">
        <v>359</v>
      </c>
      <c r="B192" s="44" t="s">
        <v>356</v>
      </c>
      <c r="C192" s="44" t="s">
        <v>360</v>
      </c>
      <c r="D192" s="44" t="s">
        <v>361</v>
      </c>
      <c r="E192" s="44">
        <f>HEX2DEC(SUBSTITUTE(D192,"0x",""))-HEX2DEC(SUBSTITUTE(C192,"0x",""))+1</f>
        <v>8</v>
      </c>
    </row>
    <row r="193" spans="1:6">
      <c r="A193" s="44" t="s">
        <v>362</v>
      </c>
      <c r="B193" s="44" t="s">
        <v>356</v>
      </c>
      <c r="C193" s="44" t="s">
        <v>363</v>
      </c>
      <c r="D193" s="44" t="s">
        <v>364</v>
      </c>
      <c r="E193" s="44">
        <f>HEX2DEC(SUBSTITUTE(D193,"0x",""))-HEX2DEC(SUBSTITUTE(C193,"0x",""))+1</f>
        <v>8</v>
      </c>
    </row>
    <row r="195" spans="1:6">
      <c r="A195" s="44" t="s">
        <v>365</v>
      </c>
      <c r="B195" s="44" t="s">
        <v>333</v>
      </c>
      <c r="C195" s="44" t="s">
        <v>366</v>
      </c>
      <c r="D195" s="44" t="s">
        <v>367</v>
      </c>
      <c r="E195" s="44">
        <f>HEX2DEC(SUBSTITUTE(D195,"0x",""))-HEX2DEC(SUBSTITUTE(C195,"0x",""))+1</f>
        <v>2</v>
      </c>
    </row>
    <row r="197" spans="1:6">
      <c r="A197" s="44" t="s">
        <v>368</v>
      </c>
      <c r="B197" s="44" t="s">
        <v>356</v>
      </c>
      <c r="C197" s="44" t="s">
        <v>369</v>
      </c>
      <c r="D197" s="44" t="s">
        <v>370</v>
      </c>
      <c r="E197" s="44">
        <f>HEX2DEC(SUBSTITUTE(D197,"0x",""))-HEX2DEC(SUBSTITUTE(C197,"0x",""))+1</f>
        <v>3</v>
      </c>
    </row>
    <row r="199" spans="1:6" s="64" customFormat="1">
      <c r="A199" s="44" t="s">
        <v>371</v>
      </c>
      <c r="B199" s="44" t="s">
        <v>372</v>
      </c>
      <c r="C199" s="44" t="s">
        <v>373</v>
      </c>
      <c r="D199" s="44" t="s">
        <v>374</v>
      </c>
      <c r="E199" s="44">
        <f>HEX2DEC(SUBSTITUTE(D199,"0x",""))-HEX2DEC(SUBSTITUTE(C199,"0x",""))+1</f>
        <v>6</v>
      </c>
      <c r="F199" s="44"/>
    </row>
    <row r="200" spans="1:6" s="64" customFormat="1">
      <c r="A200" s="44" t="s">
        <v>375</v>
      </c>
      <c r="B200" s="44" t="s">
        <v>372</v>
      </c>
      <c r="C200" s="44" t="s">
        <v>376</v>
      </c>
      <c r="D200" s="44" t="s">
        <v>377</v>
      </c>
      <c r="E200" s="44">
        <f>HEX2DEC(SUBSTITUTE(D200,"0x",""))-HEX2DEC(SUBSTITUTE(C200,"0x",""))+1</f>
        <v>80</v>
      </c>
      <c r="F200" s="44"/>
    </row>
    <row r="201" spans="1:6" s="64" customFormat="1">
      <c r="A201" s="44" t="s">
        <v>371</v>
      </c>
      <c r="B201" s="44" t="s">
        <v>372</v>
      </c>
      <c r="C201" s="44" t="s">
        <v>378</v>
      </c>
      <c r="D201" s="44" t="s">
        <v>379</v>
      </c>
      <c r="E201" s="44">
        <f>HEX2DEC(SUBSTITUTE(D201,"0x",""))-HEX2DEC(SUBSTITUTE(C201,"0x",""))+1</f>
        <v>80</v>
      </c>
      <c r="F201" s="44"/>
    </row>
    <row r="202" spans="1:6" s="64" customFormat="1">
      <c r="A202" s="44"/>
      <c r="B202" s="44"/>
      <c r="C202" s="44"/>
      <c r="D202" s="44"/>
      <c r="E202" s="44"/>
      <c r="F202" s="44"/>
    </row>
    <row r="203" spans="1:6" s="64" customFormat="1">
      <c r="A203" s="44" t="s">
        <v>380</v>
      </c>
      <c r="B203" s="44" t="s">
        <v>372</v>
      </c>
      <c r="C203" s="44" t="s">
        <v>381</v>
      </c>
      <c r="D203" s="44" t="s">
        <v>382</v>
      </c>
      <c r="E203" s="44">
        <v>72</v>
      </c>
      <c r="F203" s="44"/>
    </row>
    <row r="205" spans="1:6" s="45" customFormat="1">
      <c r="A205" s="45" t="s">
        <v>383</v>
      </c>
      <c r="B205" s="45" t="s">
        <v>372</v>
      </c>
      <c r="C205" s="45" t="s">
        <v>384</v>
      </c>
      <c r="D205" s="45" t="s">
        <v>385</v>
      </c>
      <c r="E205" s="45">
        <f>HEX2DEC(SUBSTITUTE(D205,"0x",""))-HEX2DEC(SUBSTITUTE(C205,"0x",""))+1</f>
        <v>14</v>
      </c>
      <c r="F205" s="45" t="s">
        <v>316</v>
      </c>
    </row>
    <row r="207" spans="1:6">
      <c r="A207" s="44" t="s">
        <v>386</v>
      </c>
      <c r="B207" s="44" t="s">
        <v>387</v>
      </c>
      <c r="C207" s="44" t="s">
        <v>388</v>
      </c>
      <c r="D207" s="44" t="s">
        <v>389</v>
      </c>
      <c r="E207" s="44">
        <f>HEX2DEC(SUBSTITUTE(D207,"0x",""))-HEX2DEC(SUBSTITUTE(C207,"0x",""))+1</f>
        <v>2</v>
      </c>
    </row>
    <row r="208" spans="1:6">
      <c r="A208" s="44" t="s">
        <v>390</v>
      </c>
      <c r="B208" s="44" t="s">
        <v>387</v>
      </c>
      <c r="C208" s="44" t="s">
        <v>391</v>
      </c>
      <c r="D208" s="44" t="s">
        <v>392</v>
      </c>
      <c r="E208" s="44">
        <f>HEX2DEC(SUBSTITUTE(D208,"0x",""))-HEX2DEC(SUBSTITUTE(C208,"0x",""))+1</f>
        <v>15</v>
      </c>
    </row>
    <row r="210" spans="1:5">
      <c r="A210" s="44" t="s">
        <v>393</v>
      </c>
      <c r="B210" s="44" t="s">
        <v>387</v>
      </c>
      <c r="C210" s="44" t="s">
        <v>394</v>
      </c>
      <c r="D210" s="44" t="s">
        <v>395</v>
      </c>
      <c r="E210" s="44">
        <f>HEX2DEC(SUBSTITUTE(D210,"0x",""))-HEX2DEC(SUBSTITUTE(C210,"0x",""))+1</f>
        <v>717</v>
      </c>
    </row>
    <row r="212" spans="1:5">
      <c r="A212" s="44" t="s">
        <v>396</v>
      </c>
      <c r="B212" s="44" t="s">
        <v>387</v>
      </c>
      <c r="C212" s="44" t="s">
        <v>397</v>
      </c>
      <c r="D212" s="44" t="s">
        <v>398</v>
      </c>
      <c r="E212" s="44">
        <f>HEX2DEC(SUBSTITUTE(D212,"0x",""))-HEX2DEC(SUBSTITUTE(C212,"0x",""))+1</f>
        <v>150</v>
      </c>
    </row>
    <row r="214" spans="1:5">
      <c r="A214" s="44" t="s">
        <v>399</v>
      </c>
      <c r="B214" s="44" t="s">
        <v>333</v>
      </c>
      <c r="C214" s="44" t="s">
        <v>400</v>
      </c>
      <c r="E214" s="44">
        <v>1</v>
      </c>
    </row>
    <row r="216" spans="1:5">
      <c r="A216" s="44" t="s">
        <v>401</v>
      </c>
      <c r="B216" s="44" t="s">
        <v>34</v>
      </c>
      <c r="C216" s="44" t="s">
        <v>402</v>
      </c>
      <c r="D216" s="44" t="s">
        <v>403</v>
      </c>
      <c r="E216" s="44">
        <f>HEX2DEC(SUBSTITUTE(D216,"0x",""))-HEX2DEC(SUBSTITUTE(C216,"0x",""))+1</f>
        <v>2</v>
      </c>
    </row>
    <row r="218" spans="1:5">
      <c r="A218" s="44" t="s">
        <v>404</v>
      </c>
      <c r="B218" s="44" t="s">
        <v>405</v>
      </c>
      <c r="C218" s="44" t="s">
        <v>406</v>
      </c>
      <c r="D218" s="44" t="s">
        <v>406</v>
      </c>
      <c r="E218" s="44">
        <f>HEX2DEC(SUBSTITUTE(D218,"0x",""))-HEX2DEC(SUBSTITUTE(C218,"0x",""))+1</f>
        <v>1</v>
      </c>
    </row>
    <row r="220" spans="1:5">
      <c r="A220" s="65" t="s">
        <v>407</v>
      </c>
    </row>
    <row r="221" spans="1:5" s="45" customFormat="1">
      <c r="A221" s="45" t="s">
        <v>408</v>
      </c>
      <c r="C221" s="45" t="s">
        <v>409</v>
      </c>
      <c r="D221" s="45" t="s">
        <v>410</v>
      </c>
      <c r="E221" s="45">
        <f>HEX2DEC(SUBSTITUTE(D221,"0x",""))-HEX2DEC(SUBSTITUTE(C221,"0x",""))+1</f>
        <v>68</v>
      </c>
    </row>
    <row r="223" spans="1:5" s="45" customFormat="1">
      <c r="A223" s="45" t="s">
        <v>411</v>
      </c>
      <c r="C223" s="45" t="s">
        <v>412</v>
      </c>
      <c r="D223" s="45" t="s">
        <v>412</v>
      </c>
      <c r="E223" s="45">
        <f>HEX2DEC(SUBSTITUTE(D223,"0x",""))-HEX2DEC(SUBSTITUTE(C223,"0x",""))+1</f>
        <v>1</v>
      </c>
    </row>
    <row r="225" spans="1:5" s="45" customFormat="1">
      <c r="A225" s="45" t="s">
        <v>413</v>
      </c>
      <c r="C225" s="45" t="s">
        <v>244</v>
      </c>
      <c r="D225" s="45" t="s">
        <v>245</v>
      </c>
      <c r="E225" s="45">
        <f>HEX2DEC(SUBSTITUTE(D225,"0x",""))-HEX2DEC(SUBSTITUTE(C225,"0x",""))+1</f>
        <v>32</v>
      </c>
    </row>
  </sheetData>
  <phoneticPr fontId="4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6"/>
  <sheetViews>
    <sheetView workbookViewId="0">
      <pane ySplit="1" topLeftCell="A69" activePane="bottomLeft" state="frozen"/>
      <selection pane="bottomLeft" activeCell="A93" sqref="A93:XFD93"/>
    </sheetView>
  </sheetViews>
  <sheetFormatPr defaultColWidth="13.5703125" defaultRowHeight="12.75"/>
  <cols>
    <col min="1" max="1" width="24.85546875" style="1" customWidth="1"/>
    <col min="2" max="5" width="13.5703125" style="1"/>
    <col min="6" max="6" width="32.7109375" style="1" customWidth="1"/>
    <col min="7" max="9" width="13.5703125" style="1"/>
    <col min="10" max="10" width="24" style="1" customWidth="1"/>
    <col min="11" max="11" width="21.5703125" style="1" customWidth="1"/>
    <col min="12" max="16384" width="13.5703125" style="1"/>
  </cols>
  <sheetData>
    <row r="1" spans="1:12" s="5" customFormat="1" ht="25.5">
      <c r="A1" s="5" t="s">
        <v>27</v>
      </c>
      <c r="B1" s="5" t="s">
        <v>414</v>
      </c>
      <c r="C1" s="5" t="s">
        <v>415</v>
      </c>
      <c r="D1" s="5" t="s">
        <v>416</v>
      </c>
      <c r="E1" s="5" t="s">
        <v>417</v>
      </c>
      <c r="F1" s="5" t="s">
        <v>418</v>
      </c>
      <c r="G1" s="5" t="s">
        <v>419</v>
      </c>
      <c r="H1" s="5" t="s">
        <v>420</v>
      </c>
      <c r="I1" s="5" t="s">
        <v>421</v>
      </c>
      <c r="J1" s="5" t="s">
        <v>422</v>
      </c>
      <c r="K1" s="5" t="s">
        <v>423</v>
      </c>
      <c r="L1" s="5" t="s">
        <v>424</v>
      </c>
    </row>
    <row r="2" spans="1:12">
      <c r="A2" s="6" t="s">
        <v>425</v>
      </c>
    </row>
    <row r="3" spans="1:12">
      <c r="B3" s="1" t="str">
        <f>"0x"&amp;DEC2HEX(D3,4)</f>
        <v>0xF000</v>
      </c>
      <c r="D3" s="1">
        <v>61440</v>
      </c>
      <c r="F3" s="116" t="s">
        <v>426</v>
      </c>
      <c r="H3" s="1">
        <v>1</v>
      </c>
      <c r="I3" s="1" t="s">
        <v>427</v>
      </c>
      <c r="J3" s="116" t="s">
        <v>428</v>
      </c>
    </row>
    <row r="4" spans="1:12">
      <c r="F4" s="116"/>
      <c r="J4" s="116"/>
    </row>
    <row r="5" spans="1:12">
      <c r="B5" s="1" t="str">
        <f>"0x"&amp;DEC2HEX(D5,4)</f>
        <v>0xF001</v>
      </c>
      <c r="D5" s="1">
        <f>D3+H3</f>
        <v>61441</v>
      </c>
      <c r="F5" s="116"/>
      <c r="H5" s="1">
        <v>1</v>
      </c>
      <c r="I5" s="1" t="s">
        <v>427</v>
      </c>
      <c r="J5" s="116"/>
    </row>
    <row r="6" spans="1:12">
      <c r="F6" s="116"/>
      <c r="J6" s="116"/>
    </row>
    <row r="7" spans="1:12">
      <c r="B7" s="1" t="str">
        <f>"0x"&amp;DEC2HEX(D7,4)</f>
        <v>0xF002</v>
      </c>
      <c r="D7" s="1">
        <f>D5+H5</f>
        <v>61442</v>
      </c>
      <c r="F7" s="116" t="s">
        <v>429</v>
      </c>
      <c r="H7" s="1">
        <v>1</v>
      </c>
      <c r="I7" s="1" t="s">
        <v>430</v>
      </c>
    </row>
    <row r="8" spans="1:12">
      <c r="F8" s="116"/>
    </row>
    <row r="9" spans="1:12">
      <c r="B9" s="1" t="str">
        <f>"0x"&amp;DEC2HEX(D9,4)</f>
        <v>0xF003</v>
      </c>
      <c r="D9" s="1">
        <f>D7+H7</f>
        <v>61443</v>
      </c>
      <c r="F9" s="116"/>
      <c r="H9" s="1">
        <v>1</v>
      </c>
      <c r="I9" s="1" t="s">
        <v>430</v>
      </c>
    </row>
    <row r="10" spans="1:12">
      <c r="F10" s="116"/>
    </row>
    <row r="11" spans="1:12">
      <c r="B11" s="1" t="str">
        <f>"0x"&amp;DEC2HEX(D11,4)</f>
        <v>0xF004</v>
      </c>
      <c r="D11" s="1">
        <f>D9+H9</f>
        <v>61444</v>
      </c>
      <c r="F11" s="116" t="s">
        <v>431</v>
      </c>
      <c r="H11" s="1">
        <v>1</v>
      </c>
      <c r="I11" s="1" t="s">
        <v>427</v>
      </c>
    </row>
    <row r="12" spans="1:12">
      <c r="F12" s="116"/>
    </row>
    <row r="13" spans="1:12">
      <c r="B13" s="1" t="str">
        <f>"0x"&amp;DEC2HEX(D13,4)</f>
        <v>0xF005</v>
      </c>
      <c r="D13" s="1">
        <f>D11+H11</f>
        <v>61445</v>
      </c>
      <c r="F13" s="116"/>
      <c r="H13" s="1">
        <v>1</v>
      </c>
      <c r="I13" s="1" t="s">
        <v>427</v>
      </c>
    </row>
    <row r="14" spans="1:12">
      <c r="F14" s="116"/>
    </row>
    <row r="15" spans="1:12">
      <c r="B15" s="1" t="str">
        <f>"0x"&amp;DEC2HEX(D15,4)</f>
        <v>0xF006</v>
      </c>
      <c r="D15" s="1">
        <f>D13+H13</f>
        <v>61446</v>
      </c>
      <c r="F15" s="116" t="s">
        <v>432</v>
      </c>
      <c r="H15" s="1">
        <v>1</v>
      </c>
      <c r="I15" s="1" t="s">
        <v>427</v>
      </c>
    </row>
    <row r="16" spans="1:12">
      <c r="F16" s="116"/>
    </row>
    <row r="17" spans="1:9">
      <c r="B17" s="1" t="str">
        <f>"0x"&amp;DEC2HEX(D17,4)</f>
        <v>0xF007</v>
      </c>
      <c r="D17" s="1">
        <f>D15+H15</f>
        <v>61447</v>
      </c>
      <c r="F17" s="116"/>
      <c r="H17" s="1">
        <v>1</v>
      </c>
      <c r="I17" s="1" t="s">
        <v>427</v>
      </c>
    </row>
    <row r="18" spans="1:9">
      <c r="F18" s="116"/>
    </row>
    <row r="19" spans="1:9">
      <c r="B19" s="1" t="str">
        <f>"0x"&amp;DEC2HEX(D19,4)</f>
        <v>0xF008</v>
      </c>
      <c r="D19" s="1">
        <f>D17+H17</f>
        <v>61448</v>
      </c>
      <c r="F19" s="116"/>
      <c r="H19" s="1">
        <v>1</v>
      </c>
      <c r="I19" s="1" t="s">
        <v>427</v>
      </c>
    </row>
    <row r="20" spans="1:9">
      <c r="F20" s="116"/>
    </row>
    <row r="22" spans="1:9">
      <c r="A22" s="6" t="s">
        <v>433</v>
      </c>
    </row>
    <row r="23" spans="1:9">
      <c r="A23" s="6" t="s">
        <v>434</v>
      </c>
    </row>
    <row r="24" spans="1:9">
      <c r="B24" s="1" t="str">
        <f>"0x"&amp;DEC2HEX(D24,4)</f>
        <v>0xF009</v>
      </c>
      <c r="D24" s="1">
        <v>61449</v>
      </c>
      <c r="F24" s="1" t="s">
        <v>435</v>
      </c>
      <c r="H24" s="1">
        <v>1</v>
      </c>
      <c r="I24" s="1" t="s">
        <v>427</v>
      </c>
    </row>
    <row r="25" spans="1:9">
      <c r="F25" s="1">
        <v>0</v>
      </c>
    </row>
    <row r="26" spans="1:9">
      <c r="B26" s="1" t="str">
        <f>"0x"&amp;DEC2HEX(D26,4)</f>
        <v>0xF00A</v>
      </c>
      <c r="D26" s="1">
        <f>D24+H24</f>
        <v>61450</v>
      </c>
      <c r="F26" s="1">
        <v>1</v>
      </c>
      <c r="H26" s="1">
        <v>1</v>
      </c>
      <c r="I26" s="1" t="s">
        <v>427</v>
      </c>
    </row>
    <row r="27" spans="1:9">
      <c r="F27" s="1">
        <v>0</v>
      </c>
    </row>
    <row r="28" spans="1:9">
      <c r="B28" s="1" t="str">
        <f>"0x"&amp;DEC2HEX(D28,4)</f>
        <v>0xF00B</v>
      </c>
      <c r="D28" s="1">
        <f>D26+H26</f>
        <v>61451</v>
      </c>
      <c r="F28" s="1">
        <v>1</v>
      </c>
      <c r="H28" s="1">
        <v>1</v>
      </c>
      <c r="I28" s="1" t="s">
        <v>427</v>
      </c>
    </row>
    <row r="29" spans="1:9">
      <c r="F29" s="1">
        <v>1</v>
      </c>
    </row>
    <row r="30" spans="1:9">
      <c r="B30" s="1" t="str">
        <f>"0x"&amp;DEC2HEX(D30,4)</f>
        <v>0xF00C</v>
      </c>
      <c r="D30" s="1">
        <f>D28+H28</f>
        <v>61452</v>
      </c>
      <c r="F30" s="1">
        <v>0</v>
      </c>
      <c r="H30" s="1">
        <v>1</v>
      </c>
      <c r="I30" s="1" t="s">
        <v>427</v>
      </c>
    </row>
    <row r="31" spans="1:9">
      <c r="F31" s="1">
        <v>1</v>
      </c>
    </row>
    <row r="33" spans="1:9" ht="26.45" customHeight="1">
      <c r="A33" s="6" t="s">
        <v>436</v>
      </c>
    </row>
    <row r="34" spans="1:9">
      <c r="B34" s="1" t="str">
        <f>"0x"&amp;DEC2HEX(D34,4)</f>
        <v>0xF00D</v>
      </c>
      <c r="D34" s="1">
        <f>D30+H30</f>
        <v>61453</v>
      </c>
      <c r="F34" s="1" t="s">
        <v>437</v>
      </c>
      <c r="H34" s="1">
        <v>1</v>
      </c>
      <c r="I34" s="1" t="s">
        <v>427</v>
      </c>
    </row>
    <row r="35" spans="1:9">
      <c r="F35" s="1">
        <v>0</v>
      </c>
    </row>
    <row r="36" spans="1:9">
      <c r="B36" s="1" t="str">
        <f>"0x"&amp;DEC2HEX(D36,4)</f>
        <v>0xF00E</v>
      </c>
      <c r="D36" s="1">
        <f>D34+H36</f>
        <v>61454</v>
      </c>
      <c r="F36" s="1">
        <v>1</v>
      </c>
      <c r="H36" s="1">
        <v>1</v>
      </c>
      <c r="I36" s="1" t="s">
        <v>427</v>
      </c>
    </row>
    <row r="37" spans="1:9">
      <c r="F37" s="1">
        <v>0</v>
      </c>
    </row>
    <row r="38" spans="1:9">
      <c r="B38" s="1" t="str">
        <f>"0x"&amp;DEC2HEX(D38,4)</f>
        <v>0xF00F</v>
      </c>
      <c r="D38" s="1">
        <f>D36+H38</f>
        <v>61455</v>
      </c>
      <c r="F38" s="1">
        <v>1</v>
      </c>
      <c r="H38" s="1">
        <v>1</v>
      </c>
      <c r="I38" s="1" t="s">
        <v>427</v>
      </c>
    </row>
    <row r="39" spans="1:9">
      <c r="F39" s="1">
        <v>1</v>
      </c>
    </row>
    <row r="40" spans="1:9">
      <c r="B40" s="1" t="str">
        <f>"0x"&amp;DEC2HEX(D40,4)</f>
        <v>0xF010</v>
      </c>
      <c r="D40" s="1">
        <f>D38+H40</f>
        <v>61456</v>
      </c>
      <c r="F40" s="1">
        <v>0</v>
      </c>
      <c r="H40" s="1">
        <v>1</v>
      </c>
      <c r="I40" s="1" t="s">
        <v>427</v>
      </c>
    </row>
    <row r="41" spans="1:9">
      <c r="F41" s="1">
        <v>1</v>
      </c>
    </row>
    <row r="43" spans="1:9">
      <c r="A43" s="6" t="s">
        <v>438</v>
      </c>
    </row>
    <row r="44" spans="1:9">
      <c r="B44" s="1" t="str">
        <f>"0x"&amp;DEC2HEX(D44,4)</f>
        <v>0xF011</v>
      </c>
      <c r="D44" s="1">
        <f>D40+H40</f>
        <v>61457</v>
      </c>
      <c r="F44" s="1" t="s">
        <v>439</v>
      </c>
      <c r="H44" s="1">
        <v>1</v>
      </c>
      <c r="I44" s="1" t="s">
        <v>427</v>
      </c>
    </row>
    <row r="45" spans="1:9">
      <c r="F45" s="1">
        <v>0</v>
      </c>
    </row>
    <row r="46" spans="1:9">
      <c r="B46" s="1" t="str">
        <f>"0x"&amp;DEC2HEX(D46,4)</f>
        <v>0xF012</v>
      </c>
      <c r="D46" s="1">
        <f>D44+H46</f>
        <v>61458</v>
      </c>
      <c r="F46" s="1">
        <v>1</v>
      </c>
      <c r="H46" s="1">
        <v>1</v>
      </c>
      <c r="I46" s="1" t="s">
        <v>427</v>
      </c>
    </row>
    <row r="47" spans="1:9">
      <c r="F47" s="1">
        <v>0</v>
      </c>
    </row>
    <row r="48" spans="1:9">
      <c r="B48" s="1" t="str">
        <f>"0x"&amp;DEC2HEX(D48,4)</f>
        <v>0xF013</v>
      </c>
      <c r="D48" s="1">
        <f>D46+H48</f>
        <v>61459</v>
      </c>
      <c r="F48" s="1">
        <v>1</v>
      </c>
      <c r="H48" s="1">
        <v>1</v>
      </c>
      <c r="I48" s="1" t="s">
        <v>427</v>
      </c>
    </row>
    <row r="49" spans="1:9">
      <c r="F49" s="1">
        <v>1</v>
      </c>
    </row>
    <row r="50" spans="1:9">
      <c r="B50" s="1" t="str">
        <f>"0x"&amp;DEC2HEX(D50,4)</f>
        <v>0xF014</v>
      </c>
      <c r="D50" s="1">
        <f>D48+H50</f>
        <v>61460</v>
      </c>
      <c r="F50" s="1">
        <v>0</v>
      </c>
      <c r="H50" s="1">
        <v>1</v>
      </c>
      <c r="I50" s="1" t="s">
        <v>427</v>
      </c>
    </row>
    <row r="53" spans="1:9">
      <c r="A53" s="6" t="s">
        <v>440</v>
      </c>
    </row>
    <row r="54" spans="1:9">
      <c r="B54" s="1" t="str">
        <f>"0x"&amp;DEC2HEX(D54,4)</f>
        <v>0xF015</v>
      </c>
      <c r="D54" s="1">
        <f>D50+H50</f>
        <v>61461</v>
      </c>
      <c r="F54" s="1" t="s">
        <v>441</v>
      </c>
      <c r="H54" s="1">
        <v>1</v>
      </c>
      <c r="I54" s="1" t="s">
        <v>427</v>
      </c>
    </row>
    <row r="55" spans="1:9">
      <c r="F55" s="1">
        <v>0</v>
      </c>
    </row>
    <row r="56" spans="1:9">
      <c r="B56" s="1" t="str">
        <f>"0x"&amp;DEC2HEX(D56,4)</f>
        <v>0xF016</v>
      </c>
      <c r="D56" s="1">
        <f>D54+H56</f>
        <v>61462</v>
      </c>
      <c r="F56" s="1">
        <v>1</v>
      </c>
      <c r="H56" s="1">
        <v>1</v>
      </c>
      <c r="I56" s="1" t="s">
        <v>427</v>
      </c>
    </row>
    <row r="57" spans="1:9">
      <c r="F57" s="1">
        <v>0</v>
      </c>
    </row>
    <row r="58" spans="1:9">
      <c r="B58" s="1" t="str">
        <f>"0x"&amp;DEC2HEX(D58,4)</f>
        <v>0xF017</v>
      </c>
      <c r="D58" s="1">
        <f>D56+H58</f>
        <v>61463</v>
      </c>
      <c r="F58" s="1">
        <v>1</v>
      </c>
      <c r="H58" s="1">
        <v>1</v>
      </c>
      <c r="I58" s="1" t="s">
        <v>427</v>
      </c>
    </row>
    <row r="59" spans="1:9">
      <c r="F59" s="1">
        <v>1</v>
      </c>
    </row>
    <row r="60" spans="1:9">
      <c r="B60" s="1" t="str">
        <f>"0x"&amp;DEC2HEX(D60,4)</f>
        <v>0xF018</v>
      </c>
      <c r="D60" s="1">
        <f>D58+H60</f>
        <v>61464</v>
      </c>
      <c r="F60" s="1">
        <v>0</v>
      </c>
      <c r="H60" s="1">
        <v>1</v>
      </c>
      <c r="I60" s="1" t="s">
        <v>427</v>
      </c>
    </row>
    <row r="63" spans="1:9">
      <c r="A63" s="6" t="s">
        <v>442</v>
      </c>
    </row>
    <row r="64" spans="1:9">
      <c r="B64" s="1" t="str">
        <f>"0x"&amp;DEC2HEX(D64,4)</f>
        <v>0xF019</v>
      </c>
      <c r="D64" s="1">
        <f>D60+H60</f>
        <v>61465</v>
      </c>
      <c r="F64" s="1" t="s">
        <v>443</v>
      </c>
      <c r="H64" s="1">
        <v>1</v>
      </c>
      <c r="I64" s="1" t="s">
        <v>427</v>
      </c>
    </row>
    <row r="65" spans="1:9">
      <c r="F65" s="1">
        <v>0</v>
      </c>
    </row>
    <row r="66" spans="1:9">
      <c r="B66" s="1" t="str">
        <f>"0x"&amp;DEC2HEX(D66,4)</f>
        <v>0xF01A</v>
      </c>
      <c r="D66" s="1">
        <f>D64+H66</f>
        <v>61466</v>
      </c>
      <c r="F66" s="1">
        <v>1</v>
      </c>
      <c r="H66" s="1">
        <v>1</v>
      </c>
      <c r="I66" s="1" t="s">
        <v>427</v>
      </c>
    </row>
    <row r="67" spans="1:9">
      <c r="F67" s="1">
        <v>0</v>
      </c>
    </row>
    <row r="68" spans="1:9">
      <c r="B68" s="1" t="str">
        <f>"0x"&amp;DEC2HEX(D68,4)</f>
        <v>0xF01B</v>
      </c>
      <c r="D68" s="1">
        <f>D66+H68</f>
        <v>61467</v>
      </c>
      <c r="F68" s="1">
        <v>1</v>
      </c>
      <c r="H68" s="1">
        <v>1</v>
      </c>
      <c r="I68" s="1" t="s">
        <v>427</v>
      </c>
    </row>
    <row r="69" spans="1:9">
      <c r="F69" s="1">
        <v>1</v>
      </c>
    </row>
    <row r="70" spans="1:9">
      <c r="B70" s="1" t="str">
        <f>"0x"&amp;DEC2HEX(D70,4)</f>
        <v>0xF01C</v>
      </c>
      <c r="D70" s="1">
        <f>D68+H70</f>
        <v>61468</v>
      </c>
      <c r="F70" s="1">
        <v>0</v>
      </c>
      <c r="H70" s="1">
        <v>1</v>
      </c>
      <c r="I70" s="1" t="s">
        <v>427</v>
      </c>
    </row>
    <row r="73" spans="1:9">
      <c r="A73" s="6" t="s">
        <v>444</v>
      </c>
    </row>
    <row r="74" spans="1:9">
      <c r="B74" s="1" t="str">
        <f>"0x"&amp;DEC2HEX(D74,4)</f>
        <v>0xF01D</v>
      </c>
      <c r="D74" s="1">
        <f>D70+H70</f>
        <v>61469</v>
      </c>
      <c r="F74" s="1" t="s">
        <v>445</v>
      </c>
      <c r="H74" s="1">
        <v>1</v>
      </c>
      <c r="I74" s="1" t="s">
        <v>427</v>
      </c>
    </row>
    <row r="75" spans="1:9">
      <c r="F75" s="1">
        <v>0</v>
      </c>
    </row>
    <row r="76" spans="1:9">
      <c r="B76" s="1" t="str">
        <f>"0x"&amp;DEC2HEX(D76,4)</f>
        <v>0xF01E</v>
      </c>
      <c r="D76" s="1">
        <f>D74+H76</f>
        <v>61470</v>
      </c>
      <c r="F76" s="1">
        <v>1</v>
      </c>
      <c r="H76" s="1">
        <v>1</v>
      </c>
      <c r="I76" s="1" t="s">
        <v>427</v>
      </c>
    </row>
    <row r="77" spans="1:9">
      <c r="F77" s="1">
        <v>0</v>
      </c>
    </row>
    <row r="78" spans="1:9">
      <c r="B78" s="1" t="str">
        <f>"0x"&amp;DEC2HEX(D78,4)</f>
        <v>0xF01F</v>
      </c>
      <c r="D78" s="1">
        <f>D76+H78</f>
        <v>61471</v>
      </c>
      <c r="F78" s="1">
        <v>1</v>
      </c>
      <c r="H78" s="1">
        <v>1</v>
      </c>
      <c r="I78" s="1" t="s">
        <v>427</v>
      </c>
    </row>
    <row r="79" spans="1:9">
      <c r="F79" s="1">
        <v>1</v>
      </c>
    </row>
    <row r="80" spans="1:9">
      <c r="B80" s="1" t="str">
        <f>"0x"&amp;DEC2HEX(D80,4)</f>
        <v>0xF020</v>
      </c>
      <c r="D80" s="1">
        <f>D78+H80</f>
        <v>61472</v>
      </c>
      <c r="F80" s="1">
        <v>0</v>
      </c>
      <c r="H80" s="1">
        <v>1</v>
      </c>
      <c r="I80" s="1" t="s">
        <v>427</v>
      </c>
    </row>
    <row r="84" spans="1:10" ht="25.5">
      <c r="A84" s="6" t="s">
        <v>446</v>
      </c>
    </row>
    <row r="85" spans="1:10" ht="25.5">
      <c r="B85" s="1" t="str">
        <f>"0x"&amp;DEC2HEX(D85,4)</f>
        <v>0xF025</v>
      </c>
      <c r="D85" s="1">
        <v>61477</v>
      </c>
      <c r="F85" s="1" t="s">
        <v>447</v>
      </c>
      <c r="H85" s="1">
        <v>1</v>
      </c>
      <c r="I85" s="1" t="s">
        <v>430</v>
      </c>
      <c r="J85" s="1" t="s">
        <v>448</v>
      </c>
    </row>
    <row r="86" spans="1:10">
      <c r="F86" s="1">
        <v>0</v>
      </c>
    </row>
    <row r="87" spans="1:10">
      <c r="B87" s="1" t="str">
        <f>"0x"&amp;DEC2HEX(D87,4)</f>
        <v>0xF026</v>
      </c>
      <c r="D87" s="1">
        <f>D85+H87</f>
        <v>61478</v>
      </c>
      <c r="F87" s="1">
        <v>1</v>
      </c>
      <c r="H87" s="1">
        <v>1</v>
      </c>
      <c r="I87" s="1" t="s">
        <v>430</v>
      </c>
    </row>
    <row r="88" spans="1:10">
      <c r="F88" s="1">
        <v>0</v>
      </c>
    </row>
    <row r="89" spans="1:10">
      <c r="B89" s="1" t="str">
        <f>"0x"&amp;DEC2HEX(D89,4)</f>
        <v>0xF027</v>
      </c>
      <c r="D89" s="1">
        <f>D87+H89</f>
        <v>61479</v>
      </c>
      <c r="F89" s="1">
        <v>1</v>
      </c>
      <c r="H89" s="1">
        <v>1</v>
      </c>
      <c r="I89" s="1" t="s">
        <v>430</v>
      </c>
    </row>
    <row r="90" spans="1:10">
      <c r="F90" s="1">
        <v>1</v>
      </c>
    </row>
    <row r="91" spans="1:10">
      <c r="B91" s="1" t="str">
        <f>"0x"&amp;DEC2HEX(D91,4)</f>
        <v>0xF028</v>
      </c>
      <c r="D91" s="1">
        <f>D89+H91</f>
        <v>61480</v>
      </c>
      <c r="F91" s="1">
        <v>0</v>
      </c>
      <c r="H91" s="1">
        <v>1</v>
      </c>
      <c r="I91" s="1" t="s">
        <v>430</v>
      </c>
    </row>
    <row r="93" spans="1:10" s="112" customFormat="1">
      <c r="A93" s="112" t="s">
        <v>3384</v>
      </c>
      <c r="B93" s="112" t="str">
        <f>"0x"&amp;DEC2HEX(D93,4)</f>
        <v>0xF02A</v>
      </c>
      <c r="D93" s="112">
        <f>D91+H93</f>
        <v>61482</v>
      </c>
      <c r="H93" s="112">
        <v>2</v>
      </c>
    </row>
    <row r="97" spans="1:12">
      <c r="A97" s="6" t="s">
        <v>449</v>
      </c>
    </row>
    <row r="98" spans="1:12" ht="51">
      <c r="B98" s="1" t="str">
        <f t="shared" ref="B98:B107" si="0">"0x"&amp;DEC2HEX(D98,4)</f>
        <v>0xF040</v>
      </c>
      <c r="C98" s="1" t="str">
        <f>"0x"&amp;DEC2HEX(E98,4)</f>
        <v>0xF04F</v>
      </c>
      <c r="D98" s="1">
        <v>61504</v>
      </c>
      <c r="E98" s="1">
        <f>D98+H98-1</f>
        <v>61519</v>
      </c>
      <c r="F98" s="1" t="s">
        <v>450</v>
      </c>
      <c r="H98" s="1">
        <v>16</v>
      </c>
      <c r="I98" s="1" t="s">
        <v>451</v>
      </c>
      <c r="J98" s="1" t="s">
        <v>452</v>
      </c>
      <c r="K98" s="116"/>
    </row>
    <row r="99" spans="1:12" ht="102">
      <c r="B99" s="1" t="str">
        <f t="shared" si="0"/>
        <v>0xF050</v>
      </c>
      <c r="C99" s="1" t="str">
        <f>"0x"&amp;DEC2HEX(E99,4)</f>
        <v>0xF05F</v>
      </c>
      <c r="D99" s="1">
        <f>E98+1</f>
        <v>61520</v>
      </c>
      <c r="E99" s="1">
        <f>D99+H99-1</f>
        <v>61535</v>
      </c>
      <c r="F99" s="1" t="s">
        <v>453</v>
      </c>
      <c r="H99" s="1">
        <v>16</v>
      </c>
      <c r="I99" s="1" t="s">
        <v>454</v>
      </c>
      <c r="J99" s="1" t="s">
        <v>455</v>
      </c>
      <c r="K99" s="116"/>
      <c r="L99" s="4" t="s">
        <v>3336</v>
      </c>
    </row>
    <row r="100" spans="1:12" ht="51">
      <c r="B100" s="1" t="str">
        <f t="shared" si="0"/>
        <v>0xF060</v>
      </c>
      <c r="C100" s="1" t="str">
        <f>"0x"&amp;DEC2HEX(E100,4)</f>
        <v>0xF06F</v>
      </c>
      <c r="D100" s="1">
        <f>E99+1</f>
        <v>61536</v>
      </c>
      <c r="E100" s="1">
        <f>D100+H100-1</f>
        <v>61551</v>
      </c>
      <c r="F100" s="1" t="s">
        <v>456</v>
      </c>
      <c r="H100" s="1">
        <v>16</v>
      </c>
      <c r="I100" s="1" t="s">
        <v>451</v>
      </c>
    </row>
    <row r="101" spans="1:12" ht="140.25">
      <c r="B101" s="1" t="str">
        <f t="shared" si="0"/>
        <v>0xF070</v>
      </c>
      <c r="D101" s="1">
        <f>E100+1</f>
        <v>61552</v>
      </c>
      <c r="F101" s="1" t="s">
        <v>457</v>
      </c>
      <c r="H101" s="1">
        <v>1</v>
      </c>
      <c r="I101" s="1" t="s">
        <v>451</v>
      </c>
      <c r="J101" s="1" t="s">
        <v>3231</v>
      </c>
      <c r="K101" s="1" t="s">
        <v>3232</v>
      </c>
    </row>
    <row r="102" spans="1:12" ht="51">
      <c r="B102" s="1" t="str">
        <f t="shared" si="0"/>
        <v>0xF071</v>
      </c>
      <c r="D102" s="1">
        <f>D101+1</f>
        <v>61553</v>
      </c>
      <c r="F102" s="1" t="s">
        <v>458</v>
      </c>
      <c r="H102" s="1">
        <v>1</v>
      </c>
      <c r="I102" s="1" t="s">
        <v>451</v>
      </c>
      <c r="J102" s="1" t="s">
        <v>459</v>
      </c>
    </row>
    <row r="103" spans="1:12" ht="51">
      <c r="B103" s="1" t="str">
        <f t="shared" si="0"/>
        <v>0xF072</v>
      </c>
      <c r="D103" s="1">
        <f>D102+1</f>
        <v>61554</v>
      </c>
      <c r="F103" s="1" t="s">
        <v>460</v>
      </c>
      <c r="H103" s="1">
        <v>1</v>
      </c>
      <c r="I103" s="1" t="s">
        <v>451</v>
      </c>
    </row>
    <row r="104" spans="1:12" ht="51">
      <c r="B104" s="1" t="str">
        <f t="shared" si="0"/>
        <v>0xF073</v>
      </c>
      <c r="D104" s="1">
        <f>D103+1</f>
        <v>61555</v>
      </c>
      <c r="F104" s="1" t="s">
        <v>461</v>
      </c>
      <c r="H104" s="1">
        <v>1</v>
      </c>
      <c r="I104" s="1" t="s">
        <v>451</v>
      </c>
      <c r="J104" s="1" t="s">
        <v>462</v>
      </c>
      <c r="K104" s="1" t="s">
        <v>463</v>
      </c>
      <c r="L104" s="1" t="s">
        <v>463</v>
      </c>
    </row>
    <row r="105" spans="1:12" ht="51">
      <c r="B105" s="1" t="str">
        <f t="shared" si="0"/>
        <v>0xF074</v>
      </c>
      <c r="D105" s="1">
        <f>D104+1</f>
        <v>61556</v>
      </c>
      <c r="F105" s="1" t="s">
        <v>464</v>
      </c>
      <c r="H105" s="1">
        <v>1</v>
      </c>
      <c r="I105" s="1" t="s">
        <v>451</v>
      </c>
      <c r="J105" s="1" t="s">
        <v>465</v>
      </c>
    </row>
    <row r="106" spans="1:12">
      <c r="B106" s="1" t="str">
        <f t="shared" si="0"/>
        <v>0xF075</v>
      </c>
      <c r="C106" s="1" t="str">
        <f>"0x"&amp;DEC2HEX(E106,4)</f>
        <v>0xF07F</v>
      </c>
      <c r="D106" s="1">
        <f>D105+1</f>
        <v>61557</v>
      </c>
      <c r="E106" s="1">
        <f>D106+H106-1</f>
        <v>61567</v>
      </c>
      <c r="F106" s="1" t="s">
        <v>466</v>
      </c>
      <c r="H106" s="1">
        <v>11</v>
      </c>
    </row>
    <row r="107" spans="1:12" ht="25.5">
      <c r="B107" s="1" t="str">
        <f t="shared" si="0"/>
        <v>0xF080</v>
      </c>
      <c r="C107" s="1" t="str">
        <f>"0x"&amp;DEC2HEX(E107,4)</f>
        <v>0xF080</v>
      </c>
      <c r="D107" s="1">
        <v>61568</v>
      </c>
      <c r="E107" s="1">
        <f>D107+H107-1</f>
        <v>61568</v>
      </c>
      <c r="F107" s="1" t="s">
        <v>467</v>
      </c>
      <c r="H107" s="1">
        <v>1</v>
      </c>
      <c r="I107" s="1" t="s">
        <v>421</v>
      </c>
      <c r="J107" s="1" t="s">
        <v>468</v>
      </c>
    </row>
    <row r="109" spans="1:12">
      <c r="B109" s="1" t="str">
        <f>"0x"&amp;DEC2HEX(D109,4)</f>
        <v>0xF090</v>
      </c>
      <c r="C109" s="1" t="str">
        <f>"0x"&amp;DEC2HEX(E109,4)</f>
        <v>0xF0B0</v>
      </c>
      <c r="D109" s="1">
        <v>61584</v>
      </c>
      <c r="E109" s="1">
        <f>D109+H109-1</f>
        <v>61616</v>
      </c>
      <c r="F109" s="1" t="s">
        <v>469</v>
      </c>
      <c r="H109" s="1">
        <v>33</v>
      </c>
      <c r="I109" s="1" t="s">
        <v>430</v>
      </c>
    </row>
    <row r="111" spans="1:12">
      <c r="B111" s="1" t="s">
        <v>354</v>
      </c>
      <c r="D111" s="1">
        <v>61617</v>
      </c>
      <c r="F111" s="1" t="s">
        <v>470</v>
      </c>
      <c r="H111" s="1">
        <v>1</v>
      </c>
      <c r="I111" s="1" t="s">
        <v>471</v>
      </c>
      <c r="J111" s="1" t="s">
        <v>472</v>
      </c>
    </row>
    <row r="113" spans="2:10" ht="63.75">
      <c r="B113" s="1" t="str">
        <f>"0x"&amp;DEC2HEX(D113,4)</f>
        <v>0xF1F0</v>
      </c>
      <c r="D113" s="1">
        <v>61936</v>
      </c>
      <c r="F113" s="1" t="s">
        <v>473</v>
      </c>
      <c r="G113" s="1" t="s">
        <v>474</v>
      </c>
      <c r="H113" s="1">
        <v>1</v>
      </c>
      <c r="I113" s="1" t="s">
        <v>451</v>
      </c>
      <c r="J113" s="1" t="s">
        <v>475</v>
      </c>
    </row>
    <row r="114" spans="2:10" ht="51">
      <c r="B114" s="1" t="str">
        <f>"0x"&amp;DEC2HEX(D114,4)</f>
        <v>0xF1F1</v>
      </c>
      <c r="D114" s="1">
        <v>61937</v>
      </c>
      <c r="F114" s="1" t="s">
        <v>476</v>
      </c>
      <c r="G114" s="1" t="s">
        <v>474</v>
      </c>
      <c r="H114" s="1">
        <v>1</v>
      </c>
      <c r="I114" s="1" t="s">
        <v>451</v>
      </c>
      <c r="J114" s="1" t="s">
        <v>477</v>
      </c>
    </row>
    <row r="116" spans="2:10" ht="51">
      <c r="B116" s="1" t="str">
        <f>"0x"&amp;DEC2HEX(D116,4)</f>
        <v>0xFB01</v>
      </c>
      <c r="D116" s="1">
        <v>64257</v>
      </c>
      <c r="F116" s="1" t="s">
        <v>478</v>
      </c>
      <c r="H116" s="1">
        <v>1</v>
      </c>
      <c r="I116" s="1" t="s">
        <v>451</v>
      </c>
      <c r="J116" s="1" t="s">
        <v>479</v>
      </c>
    </row>
  </sheetData>
  <mergeCells count="6">
    <mergeCell ref="K98:K99"/>
    <mergeCell ref="J3:J6"/>
    <mergeCell ref="F3:F6"/>
    <mergeCell ref="F7:F10"/>
    <mergeCell ref="F11:F14"/>
    <mergeCell ref="F15:F20"/>
  </mergeCells>
  <phoneticPr fontId="4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5"/>
  <sheetViews>
    <sheetView workbookViewId="0">
      <pane ySplit="1" topLeftCell="A8" activePane="bottomLeft" state="frozen"/>
      <selection pane="bottomLeft" activeCell="F1" sqref="F1"/>
    </sheetView>
  </sheetViews>
  <sheetFormatPr defaultColWidth="9" defaultRowHeight="12.75"/>
  <cols>
    <col min="1" max="1" width="26.42578125" style="9" customWidth="1"/>
    <col min="2" max="2" width="18.28515625" style="9" customWidth="1"/>
    <col min="3" max="3" width="14.28515625" style="9" customWidth="1"/>
    <col min="4" max="4" width="12.42578125" style="9" customWidth="1"/>
    <col min="5" max="5" width="16.85546875" style="9" customWidth="1"/>
    <col min="6" max="6" width="30.42578125" style="9" customWidth="1"/>
    <col min="7" max="7" width="9" style="9"/>
    <col min="8" max="8" width="6.5703125" style="9" customWidth="1"/>
    <col min="9" max="9" width="9" style="9"/>
    <col min="10" max="10" width="23.5703125" style="9" customWidth="1"/>
    <col min="11" max="16384" width="9" style="9"/>
  </cols>
  <sheetData>
    <row r="1" spans="1:12" s="14" customFormat="1">
      <c r="A1" s="5" t="s">
        <v>27</v>
      </c>
      <c r="B1" s="14" t="s">
        <v>414</v>
      </c>
      <c r="C1" s="14" t="s">
        <v>415</v>
      </c>
      <c r="D1" s="14" t="s">
        <v>416</v>
      </c>
      <c r="E1" s="14" t="s">
        <v>417</v>
      </c>
      <c r="F1" s="14" t="s">
        <v>418</v>
      </c>
      <c r="G1" s="14" t="s">
        <v>419</v>
      </c>
      <c r="H1" s="14" t="s">
        <v>421</v>
      </c>
      <c r="I1" s="14" t="s">
        <v>420</v>
      </c>
      <c r="J1" s="14" t="s">
        <v>422</v>
      </c>
      <c r="K1" s="14" t="s">
        <v>480</v>
      </c>
      <c r="L1" s="14" t="s">
        <v>481</v>
      </c>
    </row>
    <row r="2" spans="1:12">
      <c r="A2" s="8" t="s">
        <v>482</v>
      </c>
      <c r="B2" s="117"/>
      <c r="C2" s="117"/>
      <c r="D2" s="117"/>
      <c r="E2" s="117"/>
      <c r="F2" s="117"/>
      <c r="G2" s="117"/>
      <c r="H2" s="117"/>
      <c r="I2" s="117"/>
      <c r="J2" s="117"/>
    </row>
    <row r="3" spans="1:12" ht="51">
      <c r="B3" s="9" t="str">
        <f>"0x"&amp;DEC2HEX(D3,4)</f>
        <v>0xF112</v>
      </c>
      <c r="D3" s="9">
        <v>61714</v>
      </c>
      <c r="F3" s="9" t="s">
        <v>483</v>
      </c>
      <c r="G3" s="9" t="s">
        <v>484</v>
      </c>
      <c r="I3" s="9">
        <v>1</v>
      </c>
      <c r="J3" s="7" t="s">
        <v>485</v>
      </c>
    </row>
    <row r="4" spans="1:12" ht="25.5">
      <c r="B4" s="9" t="str">
        <f>"0x"&amp;DEC2HEX(D4,4)</f>
        <v>0xF113</v>
      </c>
      <c r="D4" s="9">
        <v>61715</v>
      </c>
      <c r="F4" s="9" t="s">
        <v>486</v>
      </c>
      <c r="G4" s="9" t="s">
        <v>484</v>
      </c>
      <c r="I4" s="9">
        <v>1</v>
      </c>
      <c r="J4" s="7" t="s">
        <v>487</v>
      </c>
    </row>
    <row r="5" spans="1:12" ht="113.25" customHeight="1">
      <c r="B5" s="9" t="str">
        <f>"0x"&amp;DEC2HEX(D5,4)</f>
        <v>0xF114</v>
      </c>
      <c r="D5" s="9">
        <v>61716</v>
      </c>
      <c r="F5" s="9" t="s">
        <v>488</v>
      </c>
      <c r="G5" s="9" t="s">
        <v>484</v>
      </c>
      <c r="I5" s="9">
        <v>1</v>
      </c>
      <c r="J5" s="7" t="s">
        <v>489</v>
      </c>
    </row>
    <row r="8" spans="1:12">
      <c r="A8" s="8" t="s">
        <v>490</v>
      </c>
    </row>
    <row r="9" spans="1:12">
      <c r="B9" s="9" t="str">
        <f t="shared" ref="B9:B16" si="0">"0x"&amp;DEC2HEX(D9,4)</f>
        <v>0xF132</v>
      </c>
      <c r="D9" s="9">
        <v>61746</v>
      </c>
      <c r="F9" s="9" t="s">
        <v>491</v>
      </c>
    </row>
    <row r="10" spans="1:12">
      <c r="B10" s="9" t="str">
        <f t="shared" si="0"/>
        <v>0xF133</v>
      </c>
      <c r="D10" s="9">
        <v>61747</v>
      </c>
      <c r="F10" s="9" t="s">
        <v>492</v>
      </c>
    </row>
    <row r="11" spans="1:12">
      <c r="B11" s="9" t="str">
        <f t="shared" si="0"/>
        <v>0xF134</v>
      </c>
      <c r="D11" s="9">
        <v>61748</v>
      </c>
      <c r="F11" s="9" t="s">
        <v>493</v>
      </c>
    </row>
    <row r="12" spans="1:12">
      <c r="B12" s="9" t="str">
        <f t="shared" si="0"/>
        <v>0xF135</v>
      </c>
      <c r="D12" s="9">
        <v>61749</v>
      </c>
      <c r="F12" s="9" t="s">
        <v>494</v>
      </c>
    </row>
    <row r="13" spans="1:12">
      <c r="B13" s="9" t="str">
        <f t="shared" si="0"/>
        <v>0xF136</v>
      </c>
      <c r="D13" s="9">
        <v>61750</v>
      </c>
      <c r="F13" s="9" t="s">
        <v>495</v>
      </c>
    </row>
    <row r="14" spans="1:12">
      <c r="B14" s="9" t="str">
        <f t="shared" si="0"/>
        <v>0xF137</v>
      </c>
      <c r="D14" s="9">
        <v>61751</v>
      </c>
      <c r="F14" s="9" t="s">
        <v>496</v>
      </c>
    </row>
    <row r="15" spans="1:12">
      <c r="B15" s="9" t="str">
        <f t="shared" si="0"/>
        <v>0xF138</v>
      </c>
      <c r="D15" s="9">
        <v>61752</v>
      </c>
      <c r="F15" s="9" t="s">
        <v>497</v>
      </c>
    </row>
    <row r="16" spans="1:12">
      <c r="B16" s="9" t="str">
        <f t="shared" si="0"/>
        <v>0xF139</v>
      </c>
      <c r="D16" s="9">
        <v>61753</v>
      </c>
      <c r="F16" s="9" t="s">
        <v>498</v>
      </c>
    </row>
    <row r="18" spans="1:9">
      <c r="A18" s="8" t="s">
        <v>499</v>
      </c>
    </row>
    <row r="19" spans="1:9">
      <c r="B19" s="9" t="str">
        <f t="shared" ref="B19:B26" si="1">"0x"&amp;DEC2HEX(D19,4)</f>
        <v>0xF13A</v>
      </c>
      <c r="D19" s="9">
        <v>61754</v>
      </c>
      <c r="F19" s="9" t="s">
        <v>500</v>
      </c>
    </row>
    <row r="20" spans="1:9">
      <c r="B20" s="9" t="str">
        <f t="shared" si="1"/>
        <v>0xF13B</v>
      </c>
      <c r="D20" s="9">
        <v>61755</v>
      </c>
      <c r="F20" s="9" t="s">
        <v>501</v>
      </c>
    </row>
    <row r="21" spans="1:9">
      <c r="B21" s="9" t="str">
        <f t="shared" si="1"/>
        <v>0xF13C</v>
      </c>
      <c r="D21" s="9">
        <v>61756</v>
      </c>
      <c r="F21" s="9" t="s">
        <v>502</v>
      </c>
    </row>
    <row r="22" spans="1:9">
      <c r="B22" s="9" t="str">
        <f t="shared" si="1"/>
        <v>0xF13D</v>
      </c>
      <c r="D22" s="9">
        <v>61757</v>
      </c>
      <c r="F22" s="9" t="s">
        <v>503</v>
      </c>
    </row>
    <row r="23" spans="1:9">
      <c r="B23" s="9" t="str">
        <f t="shared" si="1"/>
        <v>0xF13E</v>
      </c>
      <c r="D23" s="9">
        <v>61758</v>
      </c>
      <c r="F23" s="9" t="s">
        <v>504</v>
      </c>
    </row>
    <row r="24" spans="1:9">
      <c r="B24" s="9" t="str">
        <f t="shared" si="1"/>
        <v>0xF13F</v>
      </c>
      <c r="D24" s="9">
        <v>61759</v>
      </c>
      <c r="F24" s="9" t="s">
        <v>505</v>
      </c>
    </row>
    <row r="25" spans="1:9">
      <c r="B25" s="9" t="str">
        <f t="shared" si="1"/>
        <v>0xF140</v>
      </c>
      <c r="D25" s="9">
        <v>61760</v>
      </c>
      <c r="F25" s="9" t="s">
        <v>506</v>
      </c>
    </row>
    <row r="26" spans="1:9">
      <c r="B26" s="9" t="str">
        <f t="shared" si="1"/>
        <v>0xF141</v>
      </c>
      <c r="D26" s="9">
        <v>61761</v>
      </c>
      <c r="F26" s="9" t="s">
        <v>507</v>
      </c>
    </row>
    <row r="29" spans="1:9">
      <c r="A29" s="8" t="s">
        <v>368</v>
      </c>
    </row>
    <row r="30" spans="1:9" ht="25.5">
      <c r="B30" s="9" t="str">
        <f>"0x"&amp;DEC2HEX(D30,4)</f>
        <v>0xF200</v>
      </c>
      <c r="D30" s="9">
        <v>61952</v>
      </c>
      <c r="F30" s="7" t="s">
        <v>508</v>
      </c>
      <c r="G30" s="9" t="s">
        <v>509</v>
      </c>
      <c r="H30" s="9" t="s">
        <v>471</v>
      </c>
      <c r="I30" s="9">
        <v>1</v>
      </c>
    </row>
    <row r="31" spans="1:9">
      <c r="F31" s="9">
        <v>0</v>
      </c>
      <c r="G31" s="9" t="s">
        <v>509</v>
      </c>
      <c r="H31" s="9" t="s">
        <v>471</v>
      </c>
    </row>
    <row r="32" spans="1:9" ht="25.5">
      <c r="B32" s="9" t="str">
        <f>"0x"&amp;DEC2HEX(D32,4)</f>
        <v>0xF201</v>
      </c>
      <c r="D32" s="9">
        <f>D30+I30</f>
        <v>61953</v>
      </c>
      <c r="F32" s="7" t="s">
        <v>510</v>
      </c>
      <c r="G32" s="9" t="s">
        <v>509</v>
      </c>
      <c r="H32" s="9" t="s">
        <v>471</v>
      </c>
      <c r="I32" s="9">
        <v>1</v>
      </c>
    </row>
    <row r="33" spans="2:10" ht="25.5">
      <c r="F33" s="7" t="s">
        <v>511</v>
      </c>
      <c r="G33" s="9" t="s">
        <v>509</v>
      </c>
      <c r="H33" s="9" t="s">
        <v>471</v>
      </c>
      <c r="J33" s="7" t="s">
        <v>512</v>
      </c>
    </row>
    <row r="34" spans="2:10" ht="25.5">
      <c r="B34" s="9" t="str">
        <f>"0x"&amp;DEC2HEX(D34,4)</f>
        <v>0xF202</v>
      </c>
      <c r="D34" s="9">
        <f>D32+I32</f>
        <v>61954</v>
      </c>
      <c r="F34" s="7" t="s">
        <v>513</v>
      </c>
      <c r="G34" s="9" t="s">
        <v>509</v>
      </c>
      <c r="H34" s="9" t="s">
        <v>471</v>
      </c>
      <c r="I34" s="9">
        <v>1</v>
      </c>
    </row>
    <row r="35" spans="2:10" ht="25.5">
      <c r="F35" s="7" t="s">
        <v>514</v>
      </c>
      <c r="G35" s="9" t="s">
        <v>509</v>
      </c>
      <c r="H35" s="9" t="s">
        <v>471</v>
      </c>
      <c r="J35" s="7" t="s">
        <v>512</v>
      </c>
    </row>
  </sheetData>
  <mergeCells count="1">
    <mergeCell ref="B2:J2"/>
  </mergeCells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44"/>
  <sheetViews>
    <sheetView workbookViewId="0">
      <pane ySplit="1" topLeftCell="A129" activePane="bottomLeft" state="frozen"/>
      <selection pane="bottomLeft" activeCell="F1" sqref="F1"/>
    </sheetView>
  </sheetViews>
  <sheetFormatPr defaultColWidth="8.7109375" defaultRowHeight="12.75"/>
  <cols>
    <col min="1" max="1" width="26.140625" style="26" customWidth="1"/>
    <col min="2" max="2" width="12" style="16" customWidth="1"/>
    <col min="3" max="3" width="10.42578125" style="16" customWidth="1"/>
    <col min="4" max="4" width="12.7109375" style="16" customWidth="1"/>
    <col min="5" max="5" width="13.42578125" style="28" customWidth="1"/>
    <col min="6" max="6" width="56" style="16" customWidth="1"/>
    <col min="7" max="7" width="15.28515625" style="16" customWidth="1"/>
    <col min="8" max="8" width="8.7109375" style="16"/>
    <col min="9" max="9" width="35.7109375" style="16" customWidth="1"/>
    <col min="10" max="10" width="39.5703125" style="16" customWidth="1"/>
    <col min="11" max="11" width="7.140625" style="16" customWidth="1"/>
    <col min="12" max="12" width="6.5703125" style="16" customWidth="1"/>
    <col min="13" max="16384" width="8.7109375" style="16"/>
  </cols>
  <sheetData>
    <row r="1" spans="1:12" s="39" customFormat="1">
      <c r="A1" s="39" t="s">
        <v>27</v>
      </c>
      <c r="B1" s="39" t="s">
        <v>414</v>
      </c>
      <c r="C1" s="39" t="s">
        <v>415</v>
      </c>
      <c r="D1" s="39" t="s">
        <v>416</v>
      </c>
      <c r="E1" s="39" t="s">
        <v>417</v>
      </c>
      <c r="F1" s="39" t="s">
        <v>418</v>
      </c>
      <c r="G1" s="39" t="s">
        <v>419</v>
      </c>
      <c r="H1" s="39" t="s">
        <v>421</v>
      </c>
      <c r="I1" s="39" t="s">
        <v>420</v>
      </c>
      <c r="J1" s="39" t="s">
        <v>422</v>
      </c>
      <c r="K1" s="39" t="s">
        <v>480</v>
      </c>
      <c r="L1" s="39" t="s">
        <v>481</v>
      </c>
    </row>
    <row r="2" spans="1:12">
      <c r="A2" s="26" t="s">
        <v>515</v>
      </c>
      <c r="E2" s="16"/>
    </row>
    <row r="3" spans="1:12">
      <c r="B3" s="16" t="str">
        <f t="shared" ref="B3:B8" si="0">"0x"&amp;DEC2HEX(D3,4)</f>
        <v>0xF204</v>
      </c>
      <c r="D3" s="16">
        <v>61956</v>
      </c>
      <c r="E3" s="16"/>
      <c r="F3" s="1" t="s">
        <v>516</v>
      </c>
      <c r="G3" s="16" t="s">
        <v>517</v>
      </c>
      <c r="H3" s="16" t="s">
        <v>518</v>
      </c>
      <c r="I3" s="16">
        <v>1</v>
      </c>
    </row>
    <row r="4" spans="1:12">
      <c r="B4" s="16" t="str">
        <f t="shared" si="0"/>
        <v>0xF205</v>
      </c>
      <c r="D4" s="16">
        <f>D3+I3</f>
        <v>61957</v>
      </c>
      <c r="E4" s="16"/>
      <c r="F4" s="1" t="s">
        <v>519</v>
      </c>
      <c r="G4" s="16" t="s">
        <v>517</v>
      </c>
      <c r="H4" s="16" t="s">
        <v>518</v>
      </c>
      <c r="I4" s="16">
        <v>1</v>
      </c>
    </row>
    <row r="5" spans="1:12">
      <c r="B5" s="16" t="str">
        <f t="shared" si="0"/>
        <v>0xF206</v>
      </c>
      <c r="D5" s="16">
        <f>D4+I4</f>
        <v>61958</v>
      </c>
      <c r="E5" s="16"/>
      <c r="F5" s="1" t="s">
        <v>520</v>
      </c>
      <c r="G5" s="16" t="s">
        <v>517</v>
      </c>
      <c r="H5" s="16" t="s">
        <v>518</v>
      </c>
      <c r="I5" s="16">
        <v>1</v>
      </c>
    </row>
    <row r="6" spans="1:12">
      <c r="B6" s="16" t="str">
        <f t="shared" si="0"/>
        <v>0xF207</v>
      </c>
      <c r="D6" s="16">
        <f>D5+I5</f>
        <v>61959</v>
      </c>
      <c r="E6" s="16"/>
      <c r="F6" s="1" t="s">
        <v>521</v>
      </c>
      <c r="G6" s="16" t="s">
        <v>517</v>
      </c>
      <c r="H6" s="16" t="s">
        <v>518</v>
      </c>
      <c r="I6" s="16">
        <v>1</v>
      </c>
    </row>
    <row r="7" spans="1:12">
      <c r="B7" s="16" t="str">
        <f t="shared" si="0"/>
        <v>0xF208</v>
      </c>
      <c r="D7" s="16">
        <f>D6+I6</f>
        <v>61960</v>
      </c>
      <c r="E7" s="16"/>
      <c r="F7" s="1" t="s">
        <v>522</v>
      </c>
      <c r="G7" s="16" t="s">
        <v>517</v>
      </c>
      <c r="H7" s="16" t="s">
        <v>430</v>
      </c>
      <c r="I7" s="16">
        <v>1</v>
      </c>
    </row>
    <row r="8" spans="1:12">
      <c r="B8" s="16" t="str">
        <f t="shared" si="0"/>
        <v>0xF209</v>
      </c>
      <c r="D8" s="16">
        <f>D7+I7</f>
        <v>61961</v>
      </c>
      <c r="E8" s="16"/>
      <c r="F8" s="1" t="s">
        <v>523</v>
      </c>
      <c r="G8" s="16" t="s">
        <v>517</v>
      </c>
      <c r="H8" s="16" t="s">
        <v>518</v>
      </c>
      <c r="I8" s="16">
        <v>1</v>
      </c>
    </row>
    <row r="9" spans="1:12">
      <c r="E9" s="16"/>
    </row>
    <row r="10" spans="1:12">
      <c r="E10" s="16"/>
    </row>
    <row r="11" spans="1:12">
      <c r="E11" s="16"/>
    </row>
    <row r="12" spans="1:12">
      <c r="A12" s="26" t="s">
        <v>524</v>
      </c>
      <c r="C12" s="26"/>
      <c r="D12" s="26"/>
      <c r="E12" s="16"/>
    </row>
    <row r="13" spans="1:12">
      <c r="B13" s="16" t="str">
        <f t="shared" ref="B13:B52" si="1">"0x"&amp;DEC2HEX(D13,4)</f>
        <v>0xF210</v>
      </c>
      <c r="C13" s="16" t="str">
        <f t="shared" ref="C13:C52" si="2">"0x"&amp;DEC2HEX(E13,4)</f>
        <v>0xF211</v>
      </c>
      <c r="D13" s="16">
        <v>61968</v>
      </c>
      <c r="E13" s="16">
        <f t="shared" ref="E13:E52" si="3">D13+I13-1</f>
        <v>61969</v>
      </c>
      <c r="F13" s="16" t="s">
        <v>525</v>
      </c>
      <c r="G13" s="16" t="s">
        <v>526</v>
      </c>
      <c r="H13" s="16" t="s">
        <v>527</v>
      </c>
      <c r="I13" s="16">
        <v>2</v>
      </c>
    </row>
    <row r="14" spans="1:12">
      <c r="B14" s="16" t="str">
        <f t="shared" si="1"/>
        <v>0xF212</v>
      </c>
      <c r="C14" s="16" t="str">
        <f t="shared" si="2"/>
        <v>0xF213</v>
      </c>
      <c r="D14" s="16">
        <f>D13+I13</f>
        <v>61970</v>
      </c>
      <c r="E14" s="16">
        <f t="shared" si="3"/>
        <v>61971</v>
      </c>
      <c r="F14" s="16" t="s">
        <v>528</v>
      </c>
      <c r="G14" s="16" t="s">
        <v>526</v>
      </c>
      <c r="H14" s="16" t="s">
        <v>527</v>
      </c>
      <c r="I14" s="16">
        <v>2</v>
      </c>
    </row>
    <row r="15" spans="1:12">
      <c r="B15" s="16" t="str">
        <f t="shared" si="1"/>
        <v>0xF214</v>
      </c>
      <c r="C15" s="16" t="str">
        <f t="shared" si="2"/>
        <v>0xF215</v>
      </c>
      <c r="D15" s="16">
        <f t="shared" ref="D15:D52" si="4">D14+I14</f>
        <v>61972</v>
      </c>
      <c r="E15" s="16">
        <f t="shared" si="3"/>
        <v>61973</v>
      </c>
      <c r="F15" s="16" t="s">
        <v>529</v>
      </c>
      <c r="G15" s="16" t="s">
        <v>526</v>
      </c>
      <c r="H15" s="16" t="s">
        <v>527</v>
      </c>
      <c r="I15" s="16">
        <v>2</v>
      </c>
    </row>
    <row r="16" spans="1:12">
      <c r="B16" s="16" t="str">
        <f t="shared" si="1"/>
        <v>0xF216</v>
      </c>
      <c r="C16" s="16" t="str">
        <f t="shared" si="2"/>
        <v>0xF217</v>
      </c>
      <c r="D16" s="16">
        <f t="shared" si="4"/>
        <v>61974</v>
      </c>
      <c r="E16" s="16">
        <f t="shared" si="3"/>
        <v>61975</v>
      </c>
      <c r="F16" s="16" t="s">
        <v>530</v>
      </c>
      <c r="G16" s="16" t="s">
        <v>526</v>
      </c>
      <c r="H16" s="16" t="s">
        <v>527</v>
      </c>
      <c r="I16" s="16">
        <v>2</v>
      </c>
    </row>
    <row r="17" spans="2:9">
      <c r="B17" s="16" t="str">
        <f t="shared" si="1"/>
        <v>0xF218</v>
      </c>
      <c r="C17" s="16" t="str">
        <f t="shared" si="2"/>
        <v>0xF219</v>
      </c>
      <c r="D17" s="16">
        <f t="shared" si="4"/>
        <v>61976</v>
      </c>
      <c r="E17" s="16">
        <f t="shared" si="3"/>
        <v>61977</v>
      </c>
      <c r="F17" s="16" t="s">
        <v>531</v>
      </c>
      <c r="G17" s="16" t="s">
        <v>526</v>
      </c>
      <c r="H17" s="16" t="s">
        <v>527</v>
      </c>
      <c r="I17" s="16">
        <v>2</v>
      </c>
    </row>
    <row r="18" spans="2:9">
      <c r="B18" s="16" t="str">
        <f t="shared" si="1"/>
        <v>0xF21A</v>
      </c>
      <c r="C18" s="16" t="str">
        <f t="shared" si="2"/>
        <v>0xF21B</v>
      </c>
      <c r="D18" s="16">
        <f t="shared" si="4"/>
        <v>61978</v>
      </c>
      <c r="E18" s="16">
        <f t="shared" si="3"/>
        <v>61979</v>
      </c>
      <c r="F18" s="16" t="s">
        <v>532</v>
      </c>
      <c r="G18" s="16" t="s">
        <v>526</v>
      </c>
      <c r="H18" s="16" t="s">
        <v>527</v>
      </c>
      <c r="I18" s="16">
        <v>2</v>
      </c>
    </row>
    <row r="19" spans="2:9">
      <c r="B19" s="16" t="str">
        <f t="shared" si="1"/>
        <v>0xF21C</v>
      </c>
      <c r="C19" s="16" t="str">
        <f t="shared" si="2"/>
        <v>0xF21D</v>
      </c>
      <c r="D19" s="16">
        <f t="shared" si="4"/>
        <v>61980</v>
      </c>
      <c r="E19" s="16">
        <f t="shared" si="3"/>
        <v>61981</v>
      </c>
      <c r="F19" s="16" t="s">
        <v>533</v>
      </c>
      <c r="G19" s="16" t="s">
        <v>526</v>
      </c>
      <c r="H19" s="16" t="s">
        <v>527</v>
      </c>
      <c r="I19" s="16">
        <v>2</v>
      </c>
    </row>
    <row r="20" spans="2:9">
      <c r="B20" s="16" t="str">
        <f t="shared" si="1"/>
        <v>0xF21E</v>
      </c>
      <c r="C20" s="16" t="str">
        <f t="shared" si="2"/>
        <v>0xF21F</v>
      </c>
      <c r="D20" s="16">
        <f t="shared" si="4"/>
        <v>61982</v>
      </c>
      <c r="E20" s="16">
        <f t="shared" si="3"/>
        <v>61983</v>
      </c>
      <c r="F20" s="16" t="s">
        <v>534</v>
      </c>
      <c r="G20" s="16" t="s">
        <v>526</v>
      </c>
      <c r="H20" s="16" t="s">
        <v>527</v>
      </c>
      <c r="I20" s="16">
        <v>2</v>
      </c>
    </row>
    <row r="21" spans="2:9">
      <c r="B21" s="16" t="str">
        <f t="shared" si="1"/>
        <v>0xF220</v>
      </c>
      <c r="C21" s="16" t="str">
        <f t="shared" si="2"/>
        <v>0xF221</v>
      </c>
      <c r="D21" s="16">
        <f t="shared" si="4"/>
        <v>61984</v>
      </c>
      <c r="E21" s="16">
        <f t="shared" si="3"/>
        <v>61985</v>
      </c>
      <c r="F21" s="16" t="s">
        <v>535</v>
      </c>
      <c r="G21" s="16" t="s">
        <v>526</v>
      </c>
      <c r="H21" s="16" t="s">
        <v>527</v>
      </c>
      <c r="I21" s="16">
        <v>2</v>
      </c>
    </row>
    <row r="22" spans="2:9">
      <c r="B22" s="16" t="str">
        <f t="shared" si="1"/>
        <v>0xF222</v>
      </c>
      <c r="C22" s="16" t="str">
        <f t="shared" si="2"/>
        <v>0xF223</v>
      </c>
      <c r="D22" s="16">
        <f t="shared" si="4"/>
        <v>61986</v>
      </c>
      <c r="E22" s="16">
        <f t="shared" si="3"/>
        <v>61987</v>
      </c>
      <c r="F22" s="16" t="s">
        <v>536</v>
      </c>
      <c r="G22" s="16" t="s">
        <v>526</v>
      </c>
      <c r="H22" s="16" t="s">
        <v>527</v>
      </c>
      <c r="I22" s="16">
        <v>2</v>
      </c>
    </row>
    <row r="23" spans="2:9">
      <c r="B23" s="16" t="str">
        <f t="shared" si="1"/>
        <v>0xF224</v>
      </c>
      <c r="C23" s="16" t="str">
        <f t="shared" si="2"/>
        <v>0xF225</v>
      </c>
      <c r="D23" s="16">
        <f t="shared" si="4"/>
        <v>61988</v>
      </c>
      <c r="E23" s="16">
        <f t="shared" si="3"/>
        <v>61989</v>
      </c>
      <c r="F23" s="16" t="s">
        <v>537</v>
      </c>
      <c r="G23" s="16" t="s">
        <v>526</v>
      </c>
      <c r="H23" s="16" t="s">
        <v>527</v>
      </c>
      <c r="I23" s="16">
        <v>2</v>
      </c>
    </row>
    <row r="24" spans="2:9">
      <c r="B24" s="16" t="str">
        <f t="shared" si="1"/>
        <v>0xF226</v>
      </c>
      <c r="C24" s="16" t="str">
        <f t="shared" si="2"/>
        <v>0xF227</v>
      </c>
      <c r="D24" s="16">
        <f t="shared" si="4"/>
        <v>61990</v>
      </c>
      <c r="E24" s="16">
        <f t="shared" si="3"/>
        <v>61991</v>
      </c>
      <c r="F24" s="16" t="s">
        <v>538</v>
      </c>
      <c r="G24" s="16" t="s">
        <v>526</v>
      </c>
      <c r="H24" s="16" t="s">
        <v>527</v>
      </c>
      <c r="I24" s="16">
        <v>2</v>
      </c>
    </row>
    <row r="25" spans="2:9">
      <c r="B25" s="16" t="str">
        <f t="shared" si="1"/>
        <v>0xF228</v>
      </c>
      <c r="C25" s="16" t="str">
        <f t="shared" si="2"/>
        <v>0xF229</v>
      </c>
      <c r="D25" s="16">
        <f t="shared" si="4"/>
        <v>61992</v>
      </c>
      <c r="E25" s="16">
        <f t="shared" si="3"/>
        <v>61993</v>
      </c>
      <c r="F25" s="16" t="s">
        <v>539</v>
      </c>
      <c r="G25" s="16" t="s">
        <v>526</v>
      </c>
      <c r="H25" s="16" t="s">
        <v>527</v>
      </c>
      <c r="I25" s="16">
        <v>2</v>
      </c>
    </row>
    <row r="26" spans="2:9">
      <c r="B26" s="16" t="str">
        <f t="shared" si="1"/>
        <v>0xF22A</v>
      </c>
      <c r="C26" s="16" t="str">
        <f t="shared" si="2"/>
        <v>0xF22B</v>
      </c>
      <c r="D26" s="16">
        <f t="shared" si="4"/>
        <v>61994</v>
      </c>
      <c r="E26" s="16">
        <f t="shared" si="3"/>
        <v>61995</v>
      </c>
      <c r="F26" s="16" t="s">
        <v>540</v>
      </c>
      <c r="G26" s="16" t="s">
        <v>541</v>
      </c>
      <c r="H26" s="16" t="s">
        <v>527</v>
      </c>
      <c r="I26" s="16">
        <v>2</v>
      </c>
    </row>
    <row r="27" spans="2:9">
      <c r="B27" s="16" t="str">
        <f t="shared" si="1"/>
        <v>0xF22C</v>
      </c>
      <c r="C27" s="16" t="str">
        <f t="shared" si="2"/>
        <v>0xF22D</v>
      </c>
      <c r="D27" s="16">
        <f t="shared" si="4"/>
        <v>61996</v>
      </c>
      <c r="E27" s="16">
        <f t="shared" si="3"/>
        <v>61997</v>
      </c>
      <c r="F27" s="16" t="s">
        <v>542</v>
      </c>
      <c r="G27" s="16" t="s">
        <v>541</v>
      </c>
      <c r="H27" s="16" t="s">
        <v>527</v>
      </c>
      <c r="I27" s="16">
        <v>2</v>
      </c>
    </row>
    <row r="28" spans="2:9">
      <c r="B28" s="16" t="str">
        <f t="shared" si="1"/>
        <v>0xF22E</v>
      </c>
      <c r="C28" s="16" t="str">
        <f t="shared" si="2"/>
        <v>0xF22F</v>
      </c>
      <c r="D28" s="16">
        <f t="shared" si="4"/>
        <v>61998</v>
      </c>
      <c r="E28" s="16">
        <f t="shared" si="3"/>
        <v>61999</v>
      </c>
      <c r="F28" s="16" t="s">
        <v>543</v>
      </c>
      <c r="G28" s="16" t="s">
        <v>541</v>
      </c>
      <c r="H28" s="16" t="s">
        <v>527</v>
      </c>
      <c r="I28" s="16">
        <v>2</v>
      </c>
    </row>
    <row r="29" spans="2:9">
      <c r="B29" s="16" t="str">
        <f t="shared" si="1"/>
        <v>0xF230</v>
      </c>
      <c r="C29" s="16" t="str">
        <f t="shared" si="2"/>
        <v>0xF231</v>
      </c>
      <c r="D29" s="16">
        <f t="shared" si="4"/>
        <v>62000</v>
      </c>
      <c r="E29" s="16">
        <f t="shared" si="3"/>
        <v>62001</v>
      </c>
      <c r="F29" s="16" t="s">
        <v>544</v>
      </c>
      <c r="G29" s="16" t="s">
        <v>541</v>
      </c>
      <c r="H29" s="16" t="s">
        <v>527</v>
      </c>
      <c r="I29" s="16">
        <v>2</v>
      </c>
    </row>
    <row r="30" spans="2:9">
      <c r="B30" s="16" t="str">
        <f t="shared" si="1"/>
        <v>0xF232</v>
      </c>
      <c r="C30" s="16" t="str">
        <f t="shared" si="2"/>
        <v>0xF233</v>
      </c>
      <c r="D30" s="16">
        <f t="shared" si="4"/>
        <v>62002</v>
      </c>
      <c r="E30" s="16">
        <f t="shared" si="3"/>
        <v>62003</v>
      </c>
      <c r="F30" s="16" t="s">
        <v>545</v>
      </c>
      <c r="G30" s="16" t="s">
        <v>541</v>
      </c>
      <c r="H30" s="16" t="s">
        <v>527</v>
      </c>
      <c r="I30" s="16">
        <v>2</v>
      </c>
    </row>
    <row r="31" spans="2:9">
      <c r="B31" s="16" t="str">
        <f t="shared" si="1"/>
        <v>0xF234</v>
      </c>
      <c r="C31" s="16" t="str">
        <f t="shared" si="2"/>
        <v>0xF235</v>
      </c>
      <c r="D31" s="16">
        <f t="shared" si="4"/>
        <v>62004</v>
      </c>
      <c r="E31" s="16">
        <f t="shared" si="3"/>
        <v>62005</v>
      </c>
      <c r="F31" s="16" t="s">
        <v>546</v>
      </c>
      <c r="G31" s="16" t="s">
        <v>541</v>
      </c>
      <c r="H31" s="16" t="s">
        <v>527</v>
      </c>
      <c r="I31" s="16">
        <v>2</v>
      </c>
    </row>
    <row r="32" spans="2:9">
      <c r="B32" s="16" t="str">
        <f t="shared" si="1"/>
        <v>0xF236</v>
      </c>
      <c r="C32" s="16" t="str">
        <f t="shared" si="2"/>
        <v>0xF237</v>
      </c>
      <c r="D32" s="16">
        <f t="shared" si="4"/>
        <v>62006</v>
      </c>
      <c r="E32" s="16">
        <f t="shared" si="3"/>
        <v>62007</v>
      </c>
      <c r="F32" s="16" t="s">
        <v>547</v>
      </c>
      <c r="G32" s="16" t="s">
        <v>541</v>
      </c>
      <c r="H32" s="16" t="s">
        <v>527</v>
      </c>
      <c r="I32" s="16">
        <v>2</v>
      </c>
    </row>
    <row r="33" spans="2:9">
      <c r="B33" s="16" t="str">
        <f t="shared" si="1"/>
        <v>0xF238</v>
      </c>
      <c r="C33" s="16" t="str">
        <f t="shared" si="2"/>
        <v>0xF239</v>
      </c>
      <c r="D33" s="16">
        <f t="shared" si="4"/>
        <v>62008</v>
      </c>
      <c r="E33" s="16">
        <f t="shared" si="3"/>
        <v>62009</v>
      </c>
      <c r="F33" s="16" t="s">
        <v>548</v>
      </c>
      <c r="G33" s="16" t="s">
        <v>526</v>
      </c>
      <c r="H33" s="16" t="s">
        <v>527</v>
      </c>
      <c r="I33" s="16">
        <v>2</v>
      </c>
    </row>
    <row r="34" spans="2:9">
      <c r="B34" s="16" t="str">
        <f t="shared" si="1"/>
        <v>0xF23A</v>
      </c>
      <c r="C34" s="16" t="str">
        <f t="shared" si="2"/>
        <v>0xF23B</v>
      </c>
      <c r="D34" s="16">
        <f t="shared" si="4"/>
        <v>62010</v>
      </c>
      <c r="E34" s="16">
        <f t="shared" si="3"/>
        <v>62011</v>
      </c>
      <c r="F34" s="16" t="s">
        <v>549</v>
      </c>
      <c r="G34" s="16" t="s">
        <v>526</v>
      </c>
      <c r="H34" s="16" t="s">
        <v>527</v>
      </c>
      <c r="I34" s="16">
        <v>2</v>
      </c>
    </row>
    <row r="35" spans="2:9">
      <c r="B35" s="16" t="str">
        <f t="shared" si="1"/>
        <v>0xF23C</v>
      </c>
      <c r="C35" s="16" t="str">
        <f t="shared" si="2"/>
        <v>0xF23D</v>
      </c>
      <c r="D35" s="16">
        <f t="shared" si="4"/>
        <v>62012</v>
      </c>
      <c r="E35" s="16">
        <f t="shared" si="3"/>
        <v>62013</v>
      </c>
      <c r="F35" s="16" t="s">
        <v>550</v>
      </c>
      <c r="G35" s="16" t="s">
        <v>526</v>
      </c>
      <c r="H35" s="16" t="s">
        <v>527</v>
      </c>
      <c r="I35" s="16">
        <v>2</v>
      </c>
    </row>
    <row r="36" spans="2:9">
      <c r="B36" s="16" t="str">
        <f t="shared" si="1"/>
        <v>0xF23E</v>
      </c>
      <c r="C36" s="16" t="str">
        <f t="shared" si="2"/>
        <v>0xF23F</v>
      </c>
      <c r="D36" s="16">
        <f t="shared" si="4"/>
        <v>62014</v>
      </c>
      <c r="E36" s="16">
        <f t="shared" si="3"/>
        <v>62015</v>
      </c>
      <c r="F36" s="16" t="s">
        <v>551</v>
      </c>
      <c r="G36" s="16" t="s">
        <v>526</v>
      </c>
      <c r="H36" s="16" t="s">
        <v>527</v>
      </c>
      <c r="I36" s="16">
        <v>2</v>
      </c>
    </row>
    <row r="37" spans="2:9">
      <c r="B37" s="16" t="str">
        <f t="shared" si="1"/>
        <v>0xF240</v>
      </c>
      <c r="C37" s="16" t="str">
        <f t="shared" si="2"/>
        <v>0xF241</v>
      </c>
      <c r="D37" s="16">
        <f t="shared" si="4"/>
        <v>62016</v>
      </c>
      <c r="E37" s="16">
        <f t="shared" si="3"/>
        <v>62017</v>
      </c>
      <c r="F37" s="16" t="s">
        <v>552</v>
      </c>
      <c r="G37" s="16" t="s">
        <v>526</v>
      </c>
      <c r="H37" s="16" t="s">
        <v>527</v>
      </c>
      <c r="I37" s="16">
        <v>2</v>
      </c>
    </row>
    <row r="38" spans="2:9">
      <c r="B38" s="16" t="str">
        <f t="shared" si="1"/>
        <v>0xF242</v>
      </c>
      <c r="C38" s="16" t="str">
        <f t="shared" si="2"/>
        <v>0xF243</v>
      </c>
      <c r="D38" s="16">
        <f t="shared" si="4"/>
        <v>62018</v>
      </c>
      <c r="E38" s="16">
        <f t="shared" si="3"/>
        <v>62019</v>
      </c>
      <c r="F38" s="16" t="s">
        <v>553</v>
      </c>
      <c r="G38" s="16" t="s">
        <v>526</v>
      </c>
      <c r="H38" s="16" t="s">
        <v>527</v>
      </c>
      <c r="I38" s="16">
        <v>2</v>
      </c>
    </row>
    <row r="39" spans="2:9">
      <c r="B39" s="16" t="str">
        <f t="shared" si="1"/>
        <v>0xF244</v>
      </c>
      <c r="C39" s="16" t="str">
        <f t="shared" si="2"/>
        <v>0xF245</v>
      </c>
      <c r="D39" s="16">
        <f t="shared" si="4"/>
        <v>62020</v>
      </c>
      <c r="E39" s="16">
        <f t="shared" si="3"/>
        <v>62021</v>
      </c>
      <c r="F39" s="16" t="s">
        <v>554</v>
      </c>
      <c r="G39" s="16" t="s">
        <v>526</v>
      </c>
      <c r="H39" s="16" t="s">
        <v>527</v>
      </c>
      <c r="I39" s="16">
        <v>2</v>
      </c>
    </row>
    <row r="40" spans="2:9">
      <c r="B40" s="16" t="str">
        <f t="shared" si="1"/>
        <v>0xF246</v>
      </c>
      <c r="C40" s="16" t="str">
        <f t="shared" si="2"/>
        <v>0xF247</v>
      </c>
      <c r="D40" s="16">
        <f t="shared" si="4"/>
        <v>62022</v>
      </c>
      <c r="E40" s="16">
        <f t="shared" si="3"/>
        <v>62023</v>
      </c>
      <c r="F40" s="16" t="s">
        <v>555</v>
      </c>
      <c r="G40" s="16" t="s">
        <v>526</v>
      </c>
      <c r="H40" s="16" t="s">
        <v>527</v>
      </c>
      <c r="I40" s="16">
        <v>2</v>
      </c>
    </row>
    <row r="41" spans="2:9">
      <c r="B41" s="16" t="str">
        <f t="shared" si="1"/>
        <v>0xF248</v>
      </c>
      <c r="C41" s="16" t="str">
        <f t="shared" si="2"/>
        <v>0xF249</v>
      </c>
      <c r="D41" s="16">
        <f t="shared" si="4"/>
        <v>62024</v>
      </c>
      <c r="E41" s="16">
        <f t="shared" si="3"/>
        <v>62025</v>
      </c>
      <c r="F41" s="16" t="s">
        <v>556</v>
      </c>
      <c r="G41" s="16" t="s">
        <v>526</v>
      </c>
      <c r="H41" s="16" t="s">
        <v>527</v>
      </c>
      <c r="I41" s="16">
        <v>2</v>
      </c>
    </row>
    <row r="42" spans="2:9">
      <c r="B42" s="16" t="str">
        <f t="shared" si="1"/>
        <v>0xF24A</v>
      </c>
      <c r="C42" s="16" t="str">
        <f t="shared" si="2"/>
        <v>0xF24B</v>
      </c>
      <c r="D42" s="16">
        <f t="shared" si="4"/>
        <v>62026</v>
      </c>
      <c r="E42" s="16">
        <f t="shared" si="3"/>
        <v>62027</v>
      </c>
      <c r="F42" s="16" t="s">
        <v>557</v>
      </c>
      <c r="G42" s="16" t="s">
        <v>526</v>
      </c>
      <c r="H42" s="16" t="s">
        <v>527</v>
      </c>
      <c r="I42" s="16">
        <v>2</v>
      </c>
    </row>
    <row r="43" spans="2:9">
      <c r="B43" s="16" t="str">
        <f t="shared" si="1"/>
        <v>0xF24C</v>
      </c>
      <c r="C43" s="16" t="str">
        <f t="shared" si="2"/>
        <v>0xF24D</v>
      </c>
      <c r="D43" s="16">
        <f t="shared" si="4"/>
        <v>62028</v>
      </c>
      <c r="E43" s="16">
        <f t="shared" si="3"/>
        <v>62029</v>
      </c>
      <c r="F43" s="16" t="s">
        <v>558</v>
      </c>
      <c r="G43" s="16" t="s">
        <v>526</v>
      </c>
      <c r="H43" s="16" t="s">
        <v>527</v>
      </c>
      <c r="I43" s="16">
        <v>2</v>
      </c>
    </row>
    <row r="44" spans="2:9">
      <c r="B44" s="16" t="str">
        <f t="shared" si="1"/>
        <v>0xF24E</v>
      </c>
      <c r="C44" s="16" t="str">
        <f t="shared" si="2"/>
        <v>0xF24F</v>
      </c>
      <c r="D44" s="16">
        <f t="shared" si="4"/>
        <v>62030</v>
      </c>
      <c r="E44" s="16">
        <f t="shared" si="3"/>
        <v>62031</v>
      </c>
      <c r="F44" s="16" t="s">
        <v>559</v>
      </c>
      <c r="G44" s="16" t="s">
        <v>526</v>
      </c>
      <c r="H44" s="16" t="s">
        <v>527</v>
      </c>
      <c r="I44" s="16">
        <v>2</v>
      </c>
    </row>
    <row r="45" spans="2:9">
      <c r="B45" s="16" t="str">
        <f t="shared" si="1"/>
        <v>0xF250</v>
      </c>
      <c r="C45" s="16" t="str">
        <f t="shared" si="2"/>
        <v>0xF251</v>
      </c>
      <c r="D45" s="16">
        <f t="shared" si="4"/>
        <v>62032</v>
      </c>
      <c r="E45" s="16">
        <f t="shared" si="3"/>
        <v>62033</v>
      </c>
      <c r="F45" s="16" t="s">
        <v>560</v>
      </c>
      <c r="G45" s="16" t="s">
        <v>526</v>
      </c>
      <c r="H45" s="16" t="s">
        <v>527</v>
      </c>
      <c r="I45" s="16">
        <v>2</v>
      </c>
    </row>
    <row r="46" spans="2:9">
      <c r="B46" s="16" t="str">
        <f t="shared" si="1"/>
        <v>0xF252</v>
      </c>
      <c r="C46" s="16" t="str">
        <f t="shared" si="2"/>
        <v>0xF253</v>
      </c>
      <c r="D46" s="16">
        <f t="shared" si="4"/>
        <v>62034</v>
      </c>
      <c r="E46" s="16">
        <f t="shared" si="3"/>
        <v>62035</v>
      </c>
      <c r="F46" s="16" t="s">
        <v>561</v>
      </c>
      <c r="G46" s="16" t="s">
        <v>541</v>
      </c>
      <c r="H46" s="16" t="s">
        <v>527</v>
      </c>
      <c r="I46" s="16">
        <v>2</v>
      </c>
    </row>
    <row r="47" spans="2:9">
      <c r="B47" s="16" t="str">
        <f t="shared" si="1"/>
        <v>0xF254</v>
      </c>
      <c r="C47" s="16" t="str">
        <f t="shared" si="2"/>
        <v>0xF255</v>
      </c>
      <c r="D47" s="16">
        <f t="shared" si="4"/>
        <v>62036</v>
      </c>
      <c r="E47" s="16">
        <f t="shared" si="3"/>
        <v>62037</v>
      </c>
      <c r="F47" s="16" t="s">
        <v>562</v>
      </c>
      <c r="G47" s="16" t="s">
        <v>541</v>
      </c>
      <c r="H47" s="16" t="s">
        <v>527</v>
      </c>
      <c r="I47" s="16">
        <v>2</v>
      </c>
    </row>
    <row r="48" spans="2:9">
      <c r="B48" s="16" t="str">
        <f t="shared" si="1"/>
        <v>0xF256</v>
      </c>
      <c r="C48" s="16" t="str">
        <f t="shared" si="2"/>
        <v>0xF257</v>
      </c>
      <c r="D48" s="16">
        <f t="shared" si="4"/>
        <v>62038</v>
      </c>
      <c r="E48" s="16">
        <f t="shared" si="3"/>
        <v>62039</v>
      </c>
      <c r="F48" s="16" t="s">
        <v>563</v>
      </c>
      <c r="G48" s="16" t="s">
        <v>541</v>
      </c>
      <c r="H48" s="16" t="s">
        <v>527</v>
      </c>
      <c r="I48" s="16">
        <v>2</v>
      </c>
    </row>
    <row r="49" spans="1:9">
      <c r="B49" s="16" t="str">
        <f t="shared" si="1"/>
        <v>0xF258</v>
      </c>
      <c r="C49" s="16" t="str">
        <f t="shared" si="2"/>
        <v>0xF259</v>
      </c>
      <c r="D49" s="16">
        <f t="shared" si="4"/>
        <v>62040</v>
      </c>
      <c r="E49" s="16">
        <f t="shared" si="3"/>
        <v>62041</v>
      </c>
      <c r="F49" s="16" t="s">
        <v>564</v>
      </c>
      <c r="G49" s="16" t="s">
        <v>541</v>
      </c>
      <c r="H49" s="16" t="s">
        <v>527</v>
      </c>
      <c r="I49" s="16">
        <v>2</v>
      </c>
    </row>
    <row r="50" spans="1:9">
      <c r="B50" s="16" t="str">
        <f t="shared" si="1"/>
        <v>0xF25A</v>
      </c>
      <c r="C50" s="16" t="str">
        <f t="shared" si="2"/>
        <v>0xF25B</v>
      </c>
      <c r="D50" s="16">
        <f t="shared" si="4"/>
        <v>62042</v>
      </c>
      <c r="E50" s="16">
        <f t="shared" si="3"/>
        <v>62043</v>
      </c>
      <c r="F50" s="16" t="s">
        <v>565</v>
      </c>
      <c r="G50" s="16" t="s">
        <v>541</v>
      </c>
      <c r="H50" s="16" t="s">
        <v>527</v>
      </c>
      <c r="I50" s="16">
        <v>2</v>
      </c>
    </row>
    <row r="51" spans="1:9">
      <c r="B51" s="16" t="str">
        <f t="shared" si="1"/>
        <v>0xF25C</v>
      </c>
      <c r="C51" s="16" t="str">
        <f t="shared" si="2"/>
        <v>0xF25D</v>
      </c>
      <c r="D51" s="16">
        <f t="shared" si="4"/>
        <v>62044</v>
      </c>
      <c r="E51" s="16">
        <f t="shared" si="3"/>
        <v>62045</v>
      </c>
      <c r="F51" s="16" t="s">
        <v>566</v>
      </c>
      <c r="G51" s="16" t="s">
        <v>541</v>
      </c>
      <c r="H51" s="16" t="s">
        <v>527</v>
      </c>
      <c r="I51" s="16">
        <v>2</v>
      </c>
    </row>
    <row r="52" spans="1:9">
      <c r="B52" s="16" t="str">
        <f t="shared" si="1"/>
        <v>0xF25E</v>
      </c>
      <c r="C52" s="16" t="str">
        <f t="shared" si="2"/>
        <v>0xF25F</v>
      </c>
      <c r="D52" s="16">
        <f t="shared" si="4"/>
        <v>62046</v>
      </c>
      <c r="E52" s="16">
        <f t="shared" si="3"/>
        <v>62047</v>
      </c>
      <c r="F52" s="16" t="s">
        <v>567</v>
      </c>
      <c r="G52" s="16" t="s">
        <v>541</v>
      </c>
      <c r="H52" s="16" t="s">
        <v>527</v>
      </c>
      <c r="I52" s="16">
        <v>2</v>
      </c>
    </row>
    <row r="53" spans="1:9">
      <c r="E53" s="16"/>
    </row>
    <row r="54" spans="1:9">
      <c r="A54" s="26" t="s">
        <v>568</v>
      </c>
      <c r="E54" s="16"/>
    </row>
    <row r="55" spans="1:9">
      <c r="B55" s="16" t="str">
        <f t="shared" ref="B55:B94" si="5">"0x"&amp;DEC2HEX(D55,4)</f>
        <v>0xF260</v>
      </c>
      <c r="C55" s="16" t="str">
        <f t="shared" ref="C55:C94" si="6">"0x"&amp;DEC2HEX(E55,4)</f>
        <v>0xF261</v>
      </c>
      <c r="D55" s="16">
        <f>D52+I52</f>
        <v>62048</v>
      </c>
      <c r="E55" s="16">
        <f t="shared" ref="E55:E94" si="7">D55+I55-1</f>
        <v>62049</v>
      </c>
      <c r="F55" s="16" t="s">
        <v>569</v>
      </c>
      <c r="G55" s="16" t="s">
        <v>526</v>
      </c>
      <c r="H55" s="16" t="s">
        <v>527</v>
      </c>
      <c r="I55" s="16">
        <v>2</v>
      </c>
    </row>
    <row r="56" spans="1:9">
      <c r="B56" s="16" t="str">
        <f t="shared" si="5"/>
        <v>0xF262</v>
      </c>
      <c r="C56" s="16" t="str">
        <f t="shared" si="6"/>
        <v>0xF263</v>
      </c>
      <c r="D56" s="16">
        <f>D55+I55</f>
        <v>62050</v>
      </c>
      <c r="E56" s="16">
        <f t="shared" si="7"/>
        <v>62051</v>
      </c>
      <c r="F56" s="16" t="s">
        <v>570</v>
      </c>
      <c r="G56" s="16" t="s">
        <v>526</v>
      </c>
      <c r="H56" s="16" t="s">
        <v>527</v>
      </c>
      <c r="I56" s="16">
        <v>2</v>
      </c>
    </row>
    <row r="57" spans="1:9">
      <c r="B57" s="16" t="str">
        <f t="shared" si="5"/>
        <v>0xF264</v>
      </c>
      <c r="C57" s="16" t="str">
        <f t="shared" si="6"/>
        <v>0xF265</v>
      </c>
      <c r="D57" s="16">
        <f t="shared" ref="D57:D94" si="8">D56+I56</f>
        <v>62052</v>
      </c>
      <c r="E57" s="16">
        <f t="shared" si="7"/>
        <v>62053</v>
      </c>
      <c r="F57" s="16" t="s">
        <v>571</v>
      </c>
      <c r="G57" s="16" t="s">
        <v>526</v>
      </c>
      <c r="H57" s="16" t="s">
        <v>527</v>
      </c>
      <c r="I57" s="16">
        <v>2</v>
      </c>
    </row>
    <row r="58" spans="1:9">
      <c r="B58" s="16" t="str">
        <f t="shared" si="5"/>
        <v>0xF266</v>
      </c>
      <c r="C58" s="16" t="str">
        <f t="shared" si="6"/>
        <v>0xF267</v>
      </c>
      <c r="D58" s="16">
        <f t="shared" si="8"/>
        <v>62054</v>
      </c>
      <c r="E58" s="16">
        <f t="shared" si="7"/>
        <v>62055</v>
      </c>
      <c r="F58" s="16" t="s">
        <v>572</v>
      </c>
      <c r="G58" s="16" t="s">
        <v>526</v>
      </c>
      <c r="H58" s="16" t="s">
        <v>527</v>
      </c>
      <c r="I58" s="16">
        <v>2</v>
      </c>
    </row>
    <row r="59" spans="1:9">
      <c r="B59" s="16" t="str">
        <f t="shared" si="5"/>
        <v>0xF268</v>
      </c>
      <c r="C59" s="16" t="str">
        <f t="shared" si="6"/>
        <v>0xF269</v>
      </c>
      <c r="D59" s="16">
        <f t="shared" si="8"/>
        <v>62056</v>
      </c>
      <c r="E59" s="16">
        <f t="shared" si="7"/>
        <v>62057</v>
      </c>
      <c r="F59" s="16" t="s">
        <v>573</v>
      </c>
      <c r="G59" s="16" t="s">
        <v>526</v>
      </c>
      <c r="H59" s="16" t="s">
        <v>527</v>
      </c>
      <c r="I59" s="16">
        <v>2</v>
      </c>
    </row>
    <row r="60" spans="1:9">
      <c r="B60" s="16" t="str">
        <f t="shared" si="5"/>
        <v>0xF26A</v>
      </c>
      <c r="C60" s="16" t="str">
        <f t="shared" si="6"/>
        <v>0xF26B</v>
      </c>
      <c r="D60" s="16">
        <f t="shared" si="8"/>
        <v>62058</v>
      </c>
      <c r="E60" s="16">
        <f t="shared" si="7"/>
        <v>62059</v>
      </c>
      <c r="F60" s="16" t="s">
        <v>574</v>
      </c>
      <c r="G60" s="16" t="s">
        <v>526</v>
      </c>
      <c r="H60" s="16" t="s">
        <v>527</v>
      </c>
      <c r="I60" s="16">
        <v>2</v>
      </c>
    </row>
    <row r="61" spans="1:9">
      <c r="B61" s="16" t="str">
        <f t="shared" si="5"/>
        <v>0xF26C</v>
      </c>
      <c r="C61" s="16" t="str">
        <f t="shared" si="6"/>
        <v>0xF26D</v>
      </c>
      <c r="D61" s="16">
        <f t="shared" si="8"/>
        <v>62060</v>
      </c>
      <c r="E61" s="16">
        <f t="shared" si="7"/>
        <v>62061</v>
      </c>
      <c r="F61" s="16" t="s">
        <v>575</v>
      </c>
      <c r="G61" s="16" t="s">
        <v>526</v>
      </c>
      <c r="H61" s="16" t="s">
        <v>527</v>
      </c>
      <c r="I61" s="16">
        <v>2</v>
      </c>
    </row>
    <row r="62" spans="1:9">
      <c r="B62" s="16" t="str">
        <f t="shared" si="5"/>
        <v>0xF26E</v>
      </c>
      <c r="C62" s="16" t="str">
        <f t="shared" si="6"/>
        <v>0xF26F</v>
      </c>
      <c r="D62" s="16">
        <f t="shared" si="8"/>
        <v>62062</v>
      </c>
      <c r="E62" s="16">
        <f t="shared" si="7"/>
        <v>62063</v>
      </c>
      <c r="F62" s="16" t="s">
        <v>576</v>
      </c>
      <c r="G62" s="16" t="s">
        <v>526</v>
      </c>
      <c r="H62" s="16" t="s">
        <v>527</v>
      </c>
      <c r="I62" s="16">
        <v>2</v>
      </c>
    </row>
    <row r="63" spans="1:9">
      <c r="B63" s="16" t="str">
        <f t="shared" si="5"/>
        <v>0xF270</v>
      </c>
      <c r="C63" s="16" t="str">
        <f t="shared" si="6"/>
        <v>0xF271</v>
      </c>
      <c r="D63" s="16">
        <f t="shared" si="8"/>
        <v>62064</v>
      </c>
      <c r="E63" s="16">
        <f t="shared" si="7"/>
        <v>62065</v>
      </c>
      <c r="F63" s="16" t="s">
        <v>577</v>
      </c>
      <c r="G63" s="16" t="s">
        <v>526</v>
      </c>
      <c r="H63" s="16" t="s">
        <v>527</v>
      </c>
      <c r="I63" s="16">
        <v>2</v>
      </c>
    </row>
    <row r="64" spans="1:9">
      <c r="B64" s="16" t="str">
        <f t="shared" si="5"/>
        <v>0xF272</v>
      </c>
      <c r="C64" s="16" t="str">
        <f t="shared" si="6"/>
        <v>0xF273</v>
      </c>
      <c r="D64" s="16">
        <f t="shared" si="8"/>
        <v>62066</v>
      </c>
      <c r="E64" s="16">
        <f t="shared" si="7"/>
        <v>62067</v>
      </c>
      <c r="F64" s="16" t="s">
        <v>578</v>
      </c>
      <c r="G64" s="16" t="s">
        <v>526</v>
      </c>
      <c r="H64" s="16" t="s">
        <v>527</v>
      </c>
      <c r="I64" s="16">
        <v>2</v>
      </c>
    </row>
    <row r="65" spans="2:9">
      <c r="B65" s="16" t="str">
        <f t="shared" si="5"/>
        <v>0xF274</v>
      </c>
      <c r="C65" s="16" t="str">
        <f t="shared" si="6"/>
        <v>0xF275</v>
      </c>
      <c r="D65" s="16">
        <f t="shared" si="8"/>
        <v>62068</v>
      </c>
      <c r="E65" s="16">
        <f t="shared" si="7"/>
        <v>62069</v>
      </c>
      <c r="F65" s="16" t="s">
        <v>579</v>
      </c>
      <c r="G65" s="16" t="s">
        <v>526</v>
      </c>
      <c r="H65" s="16" t="s">
        <v>527</v>
      </c>
      <c r="I65" s="16">
        <v>2</v>
      </c>
    </row>
    <row r="66" spans="2:9">
      <c r="B66" s="16" t="str">
        <f t="shared" si="5"/>
        <v>0xF276</v>
      </c>
      <c r="C66" s="16" t="str">
        <f t="shared" si="6"/>
        <v>0xF277</v>
      </c>
      <c r="D66" s="16">
        <f t="shared" si="8"/>
        <v>62070</v>
      </c>
      <c r="E66" s="16">
        <f t="shared" si="7"/>
        <v>62071</v>
      </c>
      <c r="F66" s="16" t="s">
        <v>580</v>
      </c>
      <c r="G66" s="16" t="s">
        <v>526</v>
      </c>
      <c r="H66" s="16" t="s">
        <v>527</v>
      </c>
      <c r="I66" s="16">
        <v>2</v>
      </c>
    </row>
    <row r="67" spans="2:9">
      <c r="B67" s="16" t="str">
        <f t="shared" si="5"/>
        <v>0xF278</v>
      </c>
      <c r="C67" s="16" t="str">
        <f t="shared" si="6"/>
        <v>0xF279</v>
      </c>
      <c r="D67" s="16">
        <f t="shared" si="8"/>
        <v>62072</v>
      </c>
      <c r="E67" s="16">
        <f t="shared" si="7"/>
        <v>62073</v>
      </c>
      <c r="F67" s="16" t="s">
        <v>581</v>
      </c>
      <c r="G67" s="16" t="s">
        <v>526</v>
      </c>
      <c r="H67" s="16" t="s">
        <v>527</v>
      </c>
      <c r="I67" s="16">
        <v>2</v>
      </c>
    </row>
    <row r="68" spans="2:9">
      <c r="B68" s="16" t="str">
        <f t="shared" si="5"/>
        <v>0xF27A</v>
      </c>
      <c r="C68" s="16" t="str">
        <f t="shared" si="6"/>
        <v>0xF27B</v>
      </c>
      <c r="D68" s="16">
        <f t="shared" si="8"/>
        <v>62074</v>
      </c>
      <c r="E68" s="16">
        <f t="shared" si="7"/>
        <v>62075</v>
      </c>
      <c r="F68" s="16" t="s">
        <v>582</v>
      </c>
      <c r="G68" s="16" t="s">
        <v>541</v>
      </c>
      <c r="H68" s="16" t="s">
        <v>527</v>
      </c>
      <c r="I68" s="16">
        <v>2</v>
      </c>
    </row>
    <row r="69" spans="2:9">
      <c r="B69" s="16" t="str">
        <f t="shared" si="5"/>
        <v>0xF27C</v>
      </c>
      <c r="C69" s="16" t="str">
        <f t="shared" si="6"/>
        <v>0xF27D</v>
      </c>
      <c r="D69" s="16">
        <f t="shared" si="8"/>
        <v>62076</v>
      </c>
      <c r="E69" s="16">
        <f t="shared" si="7"/>
        <v>62077</v>
      </c>
      <c r="F69" s="16" t="s">
        <v>583</v>
      </c>
      <c r="G69" s="16" t="s">
        <v>541</v>
      </c>
      <c r="H69" s="16" t="s">
        <v>527</v>
      </c>
      <c r="I69" s="16">
        <v>2</v>
      </c>
    </row>
    <row r="70" spans="2:9">
      <c r="B70" s="16" t="str">
        <f t="shared" si="5"/>
        <v>0xF27E</v>
      </c>
      <c r="C70" s="16" t="str">
        <f t="shared" si="6"/>
        <v>0xF27F</v>
      </c>
      <c r="D70" s="16">
        <f t="shared" si="8"/>
        <v>62078</v>
      </c>
      <c r="E70" s="16">
        <f t="shared" si="7"/>
        <v>62079</v>
      </c>
      <c r="F70" s="16" t="s">
        <v>584</v>
      </c>
      <c r="G70" s="16" t="s">
        <v>541</v>
      </c>
      <c r="H70" s="16" t="s">
        <v>527</v>
      </c>
      <c r="I70" s="16">
        <v>2</v>
      </c>
    </row>
    <row r="71" spans="2:9">
      <c r="B71" s="16" t="str">
        <f t="shared" si="5"/>
        <v>0xF280</v>
      </c>
      <c r="C71" s="16" t="str">
        <f t="shared" si="6"/>
        <v>0xF281</v>
      </c>
      <c r="D71" s="16">
        <f t="shared" si="8"/>
        <v>62080</v>
      </c>
      <c r="E71" s="16">
        <f t="shared" si="7"/>
        <v>62081</v>
      </c>
      <c r="F71" s="16" t="s">
        <v>585</v>
      </c>
      <c r="G71" s="16" t="s">
        <v>541</v>
      </c>
      <c r="H71" s="16" t="s">
        <v>527</v>
      </c>
      <c r="I71" s="16">
        <v>2</v>
      </c>
    </row>
    <row r="72" spans="2:9">
      <c r="B72" s="16" t="str">
        <f t="shared" si="5"/>
        <v>0xF282</v>
      </c>
      <c r="C72" s="16" t="str">
        <f t="shared" si="6"/>
        <v>0xF283</v>
      </c>
      <c r="D72" s="16">
        <f t="shared" si="8"/>
        <v>62082</v>
      </c>
      <c r="E72" s="16">
        <f t="shared" si="7"/>
        <v>62083</v>
      </c>
      <c r="F72" s="16" t="s">
        <v>586</v>
      </c>
      <c r="G72" s="16" t="s">
        <v>541</v>
      </c>
      <c r="H72" s="16" t="s">
        <v>527</v>
      </c>
      <c r="I72" s="16">
        <v>2</v>
      </c>
    </row>
    <row r="73" spans="2:9">
      <c r="B73" s="16" t="str">
        <f t="shared" si="5"/>
        <v>0xF284</v>
      </c>
      <c r="C73" s="16" t="str">
        <f t="shared" si="6"/>
        <v>0xF285</v>
      </c>
      <c r="D73" s="16">
        <f t="shared" si="8"/>
        <v>62084</v>
      </c>
      <c r="E73" s="16">
        <f t="shared" si="7"/>
        <v>62085</v>
      </c>
      <c r="F73" s="16" t="s">
        <v>587</v>
      </c>
      <c r="G73" s="16" t="s">
        <v>541</v>
      </c>
      <c r="H73" s="16" t="s">
        <v>527</v>
      </c>
      <c r="I73" s="16">
        <v>2</v>
      </c>
    </row>
    <row r="74" spans="2:9">
      <c r="B74" s="16" t="str">
        <f t="shared" si="5"/>
        <v>0xF286</v>
      </c>
      <c r="C74" s="16" t="str">
        <f t="shared" si="6"/>
        <v>0xF287</v>
      </c>
      <c r="D74" s="16">
        <f t="shared" si="8"/>
        <v>62086</v>
      </c>
      <c r="E74" s="16">
        <f t="shared" si="7"/>
        <v>62087</v>
      </c>
      <c r="F74" s="16" t="s">
        <v>588</v>
      </c>
      <c r="G74" s="16" t="s">
        <v>541</v>
      </c>
      <c r="H74" s="16" t="s">
        <v>527</v>
      </c>
      <c r="I74" s="16">
        <v>2</v>
      </c>
    </row>
    <row r="75" spans="2:9">
      <c r="B75" s="16" t="str">
        <f t="shared" si="5"/>
        <v>0xF288</v>
      </c>
      <c r="C75" s="16" t="str">
        <f t="shared" si="6"/>
        <v>0xF289</v>
      </c>
      <c r="D75" s="16">
        <f t="shared" si="8"/>
        <v>62088</v>
      </c>
      <c r="E75" s="16">
        <f t="shared" si="7"/>
        <v>62089</v>
      </c>
      <c r="F75" s="16" t="s">
        <v>589</v>
      </c>
      <c r="G75" s="16" t="s">
        <v>526</v>
      </c>
      <c r="H75" s="16" t="s">
        <v>527</v>
      </c>
      <c r="I75" s="16">
        <v>2</v>
      </c>
    </row>
    <row r="76" spans="2:9">
      <c r="B76" s="16" t="str">
        <f t="shared" si="5"/>
        <v>0xF28A</v>
      </c>
      <c r="C76" s="16" t="str">
        <f t="shared" si="6"/>
        <v>0xF28B</v>
      </c>
      <c r="D76" s="16">
        <f t="shared" si="8"/>
        <v>62090</v>
      </c>
      <c r="E76" s="16">
        <f t="shared" si="7"/>
        <v>62091</v>
      </c>
      <c r="F76" s="16" t="s">
        <v>590</v>
      </c>
      <c r="G76" s="16" t="s">
        <v>526</v>
      </c>
      <c r="H76" s="16" t="s">
        <v>527</v>
      </c>
      <c r="I76" s="16">
        <v>2</v>
      </c>
    </row>
    <row r="77" spans="2:9">
      <c r="B77" s="16" t="str">
        <f t="shared" si="5"/>
        <v>0xF28C</v>
      </c>
      <c r="C77" s="16" t="str">
        <f t="shared" si="6"/>
        <v>0xF28D</v>
      </c>
      <c r="D77" s="16">
        <f t="shared" si="8"/>
        <v>62092</v>
      </c>
      <c r="E77" s="16">
        <f t="shared" si="7"/>
        <v>62093</v>
      </c>
      <c r="F77" s="16" t="s">
        <v>591</v>
      </c>
      <c r="G77" s="16" t="s">
        <v>526</v>
      </c>
      <c r="H77" s="16" t="s">
        <v>527</v>
      </c>
      <c r="I77" s="16">
        <v>2</v>
      </c>
    </row>
    <row r="78" spans="2:9">
      <c r="B78" s="16" t="str">
        <f t="shared" si="5"/>
        <v>0xF28E</v>
      </c>
      <c r="C78" s="16" t="str">
        <f t="shared" si="6"/>
        <v>0xF28F</v>
      </c>
      <c r="D78" s="16">
        <f t="shared" si="8"/>
        <v>62094</v>
      </c>
      <c r="E78" s="16">
        <f t="shared" si="7"/>
        <v>62095</v>
      </c>
      <c r="F78" s="16" t="s">
        <v>592</v>
      </c>
      <c r="G78" s="16" t="s">
        <v>526</v>
      </c>
      <c r="H78" s="16" t="s">
        <v>527</v>
      </c>
      <c r="I78" s="16">
        <v>2</v>
      </c>
    </row>
    <row r="79" spans="2:9">
      <c r="B79" s="16" t="str">
        <f t="shared" si="5"/>
        <v>0xF290</v>
      </c>
      <c r="C79" s="16" t="str">
        <f t="shared" si="6"/>
        <v>0xF291</v>
      </c>
      <c r="D79" s="16">
        <f t="shared" si="8"/>
        <v>62096</v>
      </c>
      <c r="E79" s="16">
        <f t="shared" si="7"/>
        <v>62097</v>
      </c>
      <c r="F79" s="16" t="s">
        <v>593</v>
      </c>
      <c r="G79" s="16" t="s">
        <v>526</v>
      </c>
      <c r="H79" s="16" t="s">
        <v>527</v>
      </c>
      <c r="I79" s="16">
        <v>2</v>
      </c>
    </row>
    <row r="80" spans="2:9">
      <c r="B80" s="16" t="str">
        <f t="shared" si="5"/>
        <v>0xF292</v>
      </c>
      <c r="C80" s="16" t="str">
        <f t="shared" si="6"/>
        <v>0xF293</v>
      </c>
      <c r="D80" s="16">
        <f t="shared" si="8"/>
        <v>62098</v>
      </c>
      <c r="E80" s="16">
        <f t="shared" si="7"/>
        <v>62099</v>
      </c>
      <c r="F80" s="16" t="s">
        <v>594</v>
      </c>
      <c r="G80" s="16" t="s">
        <v>526</v>
      </c>
      <c r="H80" s="16" t="s">
        <v>527</v>
      </c>
      <c r="I80" s="16">
        <v>2</v>
      </c>
    </row>
    <row r="81" spans="1:9">
      <c r="B81" s="16" t="str">
        <f t="shared" si="5"/>
        <v>0xF294</v>
      </c>
      <c r="C81" s="16" t="str">
        <f t="shared" si="6"/>
        <v>0xF295</v>
      </c>
      <c r="D81" s="16">
        <f t="shared" si="8"/>
        <v>62100</v>
      </c>
      <c r="E81" s="16">
        <f t="shared" si="7"/>
        <v>62101</v>
      </c>
      <c r="F81" s="16" t="s">
        <v>595</v>
      </c>
      <c r="G81" s="16" t="s">
        <v>526</v>
      </c>
      <c r="H81" s="16" t="s">
        <v>527</v>
      </c>
      <c r="I81" s="16">
        <v>2</v>
      </c>
    </row>
    <row r="82" spans="1:9">
      <c r="B82" s="16" t="str">
        <f t="shared" si="5"/>
        <v>0xF296</v>
      </c>
      <c r="C82" s="16" t="str">
        <f t="shared" si="6"/>
        <v>0xF297</v>
      </c>
      <c r="D82" s="16">
        <f t="shared" si="8"/>
        <v>62102</v>
      </c>
      <c r="E82" s="16">
        <f t="shared" si="7"/>
        <v>62103</v>
      </c>
      <c r="F82" s="16" t="s">
        <v>596</v>
      </c>
      <c r="G82" s="16" t="s">
        <v>526</v>
      </c>
      <c r="H82" s="16" t="s">
        <v>527</v>
      </c>
      <c r="I82" s="16">
        <v>2</v>
      </c>
    </row>
    <row r="83" spans="1:9">
      <c r="B83" s="16" t="str">
        <f t="shared" si="5"/>
        <v>0xF298</v>
      </c>
      <c r="C83" s="16" t="str">
        <f t="shared" si="6"/>
        <v>0xF299</v>
      </c>
      <c r="D83" s="16">
        <f t="shared" si="8"/>
        <v>62104</v>
      </c>
      <c r="E83" s="16">
        <f t="shared" si="7"/>
        <v>62105</v>
      </c>
      <c r="F83" s="16" t="s">
        <v>597</v>
      </c>
      <c r="G83" s="16" t="s">
        <v>526</v>
      </c>
      <c r="H83" s="16" t="s">
        <v>527</v>
      </c>
      <c r="I83" s="16">
        <v>2</v>
      </c>
    </row>
    <row r="84" spans="1:9">
      <c r="B84" s="16" t="str">
        <f t="shared" si="5"/>
        <v>0xF29A</v>
      </c>
      <c r="C84" s="16" t="str">
        <f t="shared" si="6"/>
        <v>0xF29B</v>
      </c>
      <c r="D84" s="16">
        <f t="shared" si="8"/>
        <v>62106</v>
      </c>
      <c r="E84" s="16">
        <f t="shared" si="7"/>
        <v>62107</v>
      </c>
      <c r="F84" s="16" t="s">
        <v>598</v>
      </c>
      <c r="G84" s="16" t="s">
        <v>526</v>
      </c>
      <c r="H84" s="16" t="s">
        <v>527</v>
      </c>
      <c r="I84" s="16">
        <v>2</v>
      </c>
    </row>
    <row r="85" spans="1:9">
      <c r="B85" s="16" t="str">
        <f t="shared" si="5"/>
        <v>0xF29C</v>
      </c>
      <c r="C85" s="16" t="str">
        <f t="shared" si="6"/>
        <v>0xF29D</v>
      </c>
      <c r="D85" s="16">
        <f t="shared" si="8"/>
        <v>62108</v>
      </c>
      <c r="E85" s="16">
        <f t="shared" si="7"/>
        <v>62109</v>
      </c>
      <c r="F85" s="16" t="s">
        <v>599</v>
      </c>
      <c r="G85" s="16" t="s">
        <v>526</v>
      </c>
      <c r="H85" s="16" t="s">
        <v>527</v>
      </c>
      <c r="I85" s="16">
        <v>2</v>
      </c>
    </row>
    <row r="86" spans="1:9">
      <c r="B86" s="16" t="str">
        <f t="shared" si="5"/>
        <v>0xF29E</v>
      </c>
      <c r="C86" s="16" t="str">
        <f t="shared" si="6"/>
        <v>0xF29F</v>
      </c>
      <c r="D86" s="16">
        <f t="shared" si="8"/>
        <v>62110</v>
      </c>
      <c r="E86" s="16">
        <f t="shared" si="7"/>
        <v>62111</v>
      </c>
      <c r="F86" s="16" t="s">
        <v>600</v>
      </c>
      <c r="G86" s="16" t="s">
        <v>526</v>
      </c>
      <c r="H86" s="16" t="s">
        <v>527</v>
      </c>
      <c r="I86" s="16">
        <v>2</v>
      </c>
    </row>
    <row r="87" spans="1:9">
      <c r="B87" s="16" t="str">
        <f t="shared" si="5"/>
        <v>0xF2A0</v>
      </c>
      <c r="C87" s="16" t="str">
        <f t="shared" si="6"/>
        <v>0xF2A1</v>
      </c>
      <c r="D87" s="16">
        <f t="shared" si="8"/>
        <v>62112</v>
      </c>
      <c r="E87" s="16">
        <f t="shared" si="7"/>
        <v>62113</v>
      </c>
      <c r="F87" s="16" t="s">
        <v>601</v>
      </c>
      <c r="G87" s="16" t="s">
        <v>526</v>
      </c>
      <c r="H87" s="16" t="s">
        <v>527</v>
      </c>
      <c r="I87" s="16">
        <v>2</v>
      </c>
    </row>
    <row r="88" spans="1:9">
      <c r="B88" s="16" t="str">
        <f t="shared" si="5"/>
        <v>0xF2A2</v>
      </c>
      <c r="C88" s="16" t="str">
        <f t="shared" si="6"/>
        <v>0xF2A3</v>
      </c>
      <c r="D88" s="16">
        <f t="shared" si="8"/>
        <v>62114</v>
      </c>
      <c r="E88" s="16">
        <f t="shared" si="7"/>
        <v>62115</v>
      </c>
      <c r="F88" s="16" t="s">
        <v>602</v>
      </c>
      <c r="G88" s="16" t="s">
        <v>541</v>
      </c>
      <c r="H88" s="16" t="s">
        <v>527</v>
      </c>
      <c r="I88" s="16">
        <v>2</v>
      </c>
    </row>
    <row r="89" spans="1:9">
      <c r="B89" s="16" t="str">
        <f t="shared" si="5"/>
        <v>0xF2A4</v>
      </c>
      <c r="C89" s="16" t="str">
        <f t="shared" si="6"/>
        <v>0xF2A5</v>
      </c>
      <c r="D89" s="16">
        <f t="shared" si="8"/>
        <v>62116</v>
      </c>
      <c r="E89" s="16">
        <f t="shared" si="7"/>
        <v>62117</v>
      </c>
      <c r="F89" s="16" t="s">
        <v>603</v>
      </c>
      <c r="G89" s="16" t="s">
        <v>541</v>
      </c>
      <c r="H89" s="16" t="s">
        <v>527</v>
      </c>
      <c r="I89" s="16">
        <v>2</v>
      </c>
    </row>
    <row r="90" spans="1:9">
      <c r="B90" s="16" t="str">
        <f t="shared" si="5"/>
        <v>0xF2A6</v>
      </c>
      <c r="C90" s="16" t="str">
        <f t="shared" si="6"/>
        <v>0xF2A7</v>
      </c>
      <c r="D90" s="16">
        <f t="shared" si="8"/>
        <v>62118</v>
      </c>
      <c r="E90" s="16">
        <f t="shared" si="7"/>
        <v>62119</v>
      </c>
      <c r="F90" s="16" t="s">
        <v>604</v>
      </c>
      <c r="G90" s="16" t="s">
        <v>541</v>
      </c>
      <c r="H90" s="16" t="s">
        <v>527</v>
      </c>
      <c r="I90" s="16">
        <v>2</v>
      </c>
    </row>
    <row r="91" spans="1:9">
      <c r="B91" s="16" t="str">
        <f t="shared" si="5"/>
        <v>0xF2A8</v>
      </c>
      <c r="C91" s="16" t="str">
        <f t="shared" si="6"/>
        <v>0xF2A9</v>
      </c>
      <c r="D91" s="16">
        <f t="shared" si="8"/>
        <v>62120</v>
      </c>
      <c r="E91" s="16">
        <f t="shared" si="7"/>
        <v>62121</v>
      </c>
      <c r="F91" s="16" t="s">
        <v>605</v>
      </c>
      <c r="G91" s="16" t="s">
        <v>541</v>
      </c>
      <c r="H91" s="16" t="s">
        <v>527</v>
      </c>
      <c r="I91" s="16">
        <v>2</v>
      </c>
    </row>
    <row r="92" spans="1:9">
      <c r="B92" s="16" t="str">
        <f t="shared" si="5"/>
        <v>0xF2AA</v>
      </c>
      <c r="C92" s="16" t="str">
        <f t="shared" si="6"/>
        <v>0xF2AB</v>
      </c>
      <c r="D92" s="16">
        <f t="shared" si="8"/>
        <v>62122</v>
      </c>
      <c r="E92" s="16">
        <f t="shared" si="7"/>
        <v>62123</v>
      </c>
      <c r="F92" s="16" t="s">
        <v>606</v>
      </c>
      <c r="G92" s="16" t="s">
        <v>541</v>
      </c>
      <c r="H92" s="16" t="s">
        <v>527</v>
      </c>
      <c r="I92" s="16">
        <v>2</v>
      </c>
    </row>
    <row r="93" spans="1:9">
      <c r="B93" s="16" t="str">
        <f t="shared" si="5"/>
        <v>0xF2AC</v>
      </c>
      <c r="C93" s="16" t="str">
        <f t="shared" si="6"/>
        <v>0xF2AD</v>
      </c>
      <c r="D93" s="16">
        <f t="shared" si="8"/>
        <v>62124</v>
      </c>
      <c r="E93" s="16">
        <f t="shared" si="7"/>
        <v>62125</v>
      </c>
      <c r="F93" s="16" t="s">
        <v>607</v>
      </c>
      <c r="G93" s="16" t="s">
        <v>541</v>
      </c>
      <c r="H93" s="16" t="s">
        <v>527</v>
      </c>
      <c r="I93" s="16">
        <v>2</v>
      </c>
    </row>
    <row r="94" spans="1:9">
      <c r="B94" s="16" t="str">
        <f t="shared" si="5"/>
        <v>0xF2AE</v>
      </c>
      <c r="C94" s="16" t="str">
        <f t="shared" si="6"/>
        <v>0xF2AF</v>
      </c>
      <c r="D94" s="16">
        <f t="shared" si="8"/>
        <v>62126</v>
      </c>
      <c r="E94" s="16">
        <f t="shared" si="7"/>
        <v>62127</v>
      </c>
      <c r="F94" s="16" t="s">
        <v>608</v>
      </c>
      <c r="G94" s="16" t="s">
        <v>541</v>
      </c>
      <c r="H94" s="16" t="s">
        <v>527</v>
      </c>
      <c r="I94" s="16">
        <v>2</v>
      </c>
    </row>
    <row r="95" spans="1:9">
      <c r="E95" s="16"/>
    </row>
    <row r="96" spans="1:9">
      <c r="A96" s="26" t="s">
        <v>609</v>
      </c>
      <c r="B96" s="120"/>
      <c r="C96" s="120"/>
      <c r="D96" s="120"/>
      <c r="E96" s="120"/>
      <c r="F96" s="120"/>
      <c r="G96" s="120"/>
      <c r="H96" s="120"/>
      <c r="I96" s="120"/>
    </row>
    <row r="97" spans="2:9">
      <c r="B97" s="16" t="str">
        <f t="shared" ref="B97:B124" si="9">"0x"&amp;DEC2HEX(D97,4)</f>
        <v>0xF2B0</v>
      </c>
      <c r="C97" s="16" t="str">
        <f t="shared" ref="C97:C124" si="10">"0x"&amp;DEC2HEX(E97,4)</f>
        <v>0xF2B1</v>
      </c>
      <c r="D97" s="16">
        <v>62128</v>
      </c>
      <c r="E97" s="16">
        <v>62129</v>
      </c>
      <c r="F97" s="16" t="s">
        <v>610</v>
      </c>
      <c r="G97" s="16" t="s">
        <v>541</v>
      </c>
      <c r="H97" s="16" t="s">
        <v>527</v>
      </c>
      <c r="I97" s="16">
        <v>2</v>
      </c>
    </row>
    <row r="98" spans="2:9">
      <c r="B98" s="16" t="str">
        <f t="shared" si="9"/>
        <v>0xF2B2</v>
      </c>
      <c r="C98" s="16" t="str">
        <f t="shared" si="10"/>
        <v>0xF2B3</v>
      </c>
      <c r="D98" s="16">
        <v>62130</v>
      </c>
      <c r="E98" s="16">
        <v>62131</v>
      </c>
      <c r="F98" s="16" t="s">
        <v>611</v>
      </c>
      <c r="G98" s="16" t="s">
        <v>541</v>
      </c>
      <c r="H98" s="16" t="s">
        <v>527</v>
      </c>
      <c r="I98" s="16">
        <v>2</v>
      </c>
    </row>
    <row r="99" spans="2:9">
      <c r="B99" s="16" t="str">
        <f t="shared" si="9"/>
        <v>0xF2B4</v>
      </c>
      <c r="C99" s="16" t="str">
        <f t="shared" si="10"/>
        <v>0xF2B5</v>
      </c>
      <c r="D99" s="16">
        <v>62132</v>
      </c>
      <c r="E99" s="16">
        <v>62133</v>
      </c>
      <c r="F99" s="16" t="s">
        <v>612</v>
      </c>
      <c r="G99" s="16" t="s">
        <v>541</v>
      </c>
      <c r="H99" s="16" t="s">
        <v>527</v>
      </c>
      <c r="I99" s="16">
        <v>2</v>
      </c>
    </row>
    <row r="100" spans="2:9">
      <c r="B100" s="16" t="str">
        <f t="shared" si="9"/>
        <v>0xF2B6</v>
      </c>
      <c r="C100" s="16" t="str">
        <f t="shared" si="10"/>
        <v>0xF2B7</v>
      </c>
      <c r="D100" s="16">
        <v>62134</v>
      </c>
      <c r="E100" s="16">
        <v>62135</v>
      </c>
      <c r="F100" s="16" t="s">
        <v>613</v>
      </c>
      <c r="G100" s="16" t="s">
        <v>541</v>
      </c>
      <c r="H100" s="16" t="s">
        <v>527</v>
      </c>
      <c r="I100" s="16">
        <v>2</v>
      </c>
    </row>
    <row r="101" spans="2:9">
      <c r="B101" s="16" t="str">
        <f t="shared" si="9"/>
        <v>0xF2B8</v>
      </c>
      <c r="C101" s="16" t="str">
        <f t="shared" si="10"/>
        <v>0xF2B9</v>
      </c>
      <c r="D101" s="16">
        <v>62136</v>
      </c>
      <c r="E101" s="16">
        <v>62137</v>
      </c>
      <c r="F101" s="16" t="s">
        <v>614</v>
      </c>
      <c r="G101" s="16" t="s">
        <v>541</v>
      </c>
      <c r="H101" s="16" t="s">
        <v>527</v>
      </c>
      <c r="I101" s="16">
        <v>2</v>
      </c>
    </row>
    <row r="102" spans="2:9">
      <c r="B102" s="16" t="str">
        <f t="shared" si="9"/>
        <v>0xF2BA</v>
      </c>
      <c r="C102" s="16" t="str">
        <f t="shared" si="10"/>
        <v>0xF2BB</v>
      </c>
      <c r="D102" s="16">
        <v>62138</v>
      </c>
      <c r="E102" s="16">
        <v>62139</v>
      </c>
      <c r="F102" s="16" t="s">
        <v>615</v>
      </c>
      <c r="G102" s="16" t="s">
        <v>541</v>
      </c>
      <c r="H102" s="16" t="s">
        <v>527</v>
      </c>
      <c r="I102" s="16">
        <v>2</v>
      </c>
    </row>
    <row r="103" spans="2:9">
      <c r="B103" s="16" t="str">
        <f t="shared" si="9"/>
        <v>0xF2BC</v>
      </c>
      <c r="C103" s="16" t="str">
        <f t="shared" si="10"/>
        <v>0xF2BD</v>
      </c>
      <c r="D103" s="16">
        <v>62140</v>
      </c>
      <c r="E103" s="16">
        <v>62141</v>
      </c>
      <c r="F103" s="16" t="s">
        <v>616</v>
      </c>
      <c r="G103" s="16" t="s">
        <v>541</v>
      </c>
      <c r="H103" s="16" t="s">
        <v>527</v>
      </c>
      <c r="I103" s="16">
        <v>2</v>
      </c>
    </row>
    <row r="104" spans="2:9">
      <c r="B104" s="16" t="str">
        <f t="shared" si="9"/>
        <v>0xF2BE</v>
      </c>
      <c r="C104" s="16" t="str">
        <f t="shared" si="10"/>
        <v>0xF2BF</v>
      </c>
      <c r="D104" s="16">
        <v>62142</v>
      </c>
      <c r="E104" s="16">
        <v>62143</v>
      </c>
      <c r="F104" s="16" t="s">
        <v>617</v>
      </c>
      <c r="G104" s="16" t="s">
        <v>541</v>
      </c>
      <c r="H104" s="16" t="s">
        <v>527</v>
      </c>
      <c r="I104" s="16">
        <v>2</v>
      </c>
    </row>
    <row r="105" spans="2:9">
      <c r="B105" s="16" t="str">
        <f t="shared" si="9"/>
        <v>0xF2C0</v>
      </c>
      <c r="C105" s="16" t="str">
        <f t="shared" si="10"/>
        <v>0xF2C1</v>
      </c>
      <c r="D105" s="16">
        <v>62144</v>
      </c>
      <c r="E105" s="16">
        <v>62145</v>
      </c>
      <c r="F105" s="16" t="s">
        <v>618</v>
      </c>
      <c r="G105" s="16" t="s">
        <v>541</v>
      </c>
      <c r="H105" s="16" t="s">
        <v>527</v>
      </c>
      <c r="I105" s="16">
        <v>2</v>
      </c>
    </row>
    <row r="106" spans="2:9">
      <c r="B106" s="16" t="str">
        <f t="shared" si="9"/>
        <v>0xF2C2</v>
      </c>
      <c r="C106" s="16" t="str">
        <f t="shared" si="10"/>
        <v>0xF2C3</v>
      </c>
      <c r="D106" s="16">
        <v>62146</v>
      </c>
      <c r="E106" s="16">
        <v>62147</v>
      </c>
      <c r="F106" s="16" t="s">
        <v>619</v>
      </c>
      <c r="G106" s="16" t="s">
        <v>541</v>
      </c>
      <c r="H106" s="16" t="s">
        <v>527</v>
      </c>
      <c r="I106" s="16">
        <v>2</v>
      </c>
    </row>
    <row r="107" spans="2:9">
      <c r="B107" s="16" t="str">
        <f t="shared" si="9"/>
        <v>0xF2C4</v>
      </c>
      <c r="C107" s="16" t="str">
        <f t="shared" si="10"/>
        <v>0xF2C5</v>
      </c>
      <c r="D107" s="16">
        <v>62148</v>
      </c>
      <c r="E107" s="16">
        <v>62149</v>
      </c>
      <c r="F107" s="16" t="s">
        <v>620</v>
      </c>
      <c r="G107" s="16" t="s">
        <v>541</v>
      </c>
      <c r="H107" s="16" t="s">
        <v>527</v>
      </c>
      <c r="I107" s="16">
        <v>2</v>
      </c>
    </row>
    <row r="108" spans="2:9">
      <c r="B108" s="16" t="str">
        <f t="shared" si="9"/>
        <v>0xF2C6</v>
      </c>
      <c r="C108" s="16" t="str">
        <f t="shared" si="10"/>
        <v>0xF2C7</v>
      </c>
      <c r="D108" s="16">
        <v>62150</v>
      </c>
      <c r="E108" s="16">
        <v>62151</v>
      </c>
      <c r="F108" s="16" t="s">
        <v>621</v>
      </c>
      <c r="G108" s="16" t="s">
        <v>541</v>
      </c>
      <c r="H108" s="16" t="s">
        <v>527</v>
      </c>
      <c r="I108" s="16">
        <v>2</v>
      </c>
    </row>
    <row r="109" spans="2:9">
      <c r="B109" s="16" t="str">
        <f t="shared" si="9"/>
        <v>0xF2C8</v>
      </c>
      <c r="C109" s="16" t="str">
        <f t="shared" si="10"/>
        <v>0xF2C9</v>
      </c>
      <c r="D109" s="16">
        <v>62152</v>
      </c>
      <c r="E109" s="16">
        <v>62153</v>
      </c>
      <c r="F109" s="16" t="s">
        <v>622</v>
      </c>
      <c r="G109" s="16" t="s">
        <v>541</v>
      </c>
      <c r="H109" s="16" t="s">
        <v>527</v>
      </c>
      <c r="I109" s="16">
        <v>2</v>
      </c>
    </row>
    <row r="110" spans="2:9">
      <c r="B110" s="16" t="str">
        <f t="shared" si="9"/>
        <v>0xF2CA</v>
      </c>
      <c r="C110" s="16" t="str">
        <f t="shared" si="10"/>
        <v>0xF2CB</v>
      </c>
      <c r="D110" s="16">
        <v>62154</v>
      </c>
      <c r="E110" s="16">
        <v>62155</v>
      </c>
      <c r="F110" s="16" t="s">
        <v>623</v>
      </c>
      <c r="G110" s="16" t="s">
        <v>541</v>
      </c>
      <c r="H110" s="16" t="s">
        <v>527</v>
      </c>
      <c r="I110" s="16">
        <v>2</v>
      </c>
    </row>
    <row r="111" spans="2:9">
      <c r="B111" s="16" t="str">
        <f t="shared" si="9"/>
        <v>0xF2CC</v>
      </c>
      <c r="C111" s="16" t="str">
        <f t="shared" si="10"/>
        <v>0xF2CD</v>
      </c>
      <c r="D111" s="16">
        <v>62156</v>
      </c>
      <c r="E111" s="16">
        <v>62157</v>
      </c>
      <c r="F111" s="16" t="s">
        <v>624</v>
      </c>
      <c r="G111" s="16" t="s">
        <v>541</v>
      </c>
      <c r="H111" s="16" t="s">
        <v>527</v>
      </c>
      <c r="I111" s="16">
        <v>2</v>
      </c>
    </row>
    <row r="112" spans="2:9">
      <c r="B112" s="16" t="str">
        <f t="shared" si="9"/>
        <v>0xF2CE</v>
      </c>
      <c r="C112" s="16" t="str">
        <f t="shared" si="10"/>
        <v>0xF2CF</v>
      </c>
      <c r="D112" s="16">
        <v>62158</v>
      </c>
      <c r="E112" s="16">
        <v>62159</v>
      </c>
      <c r="F112" s="16" t="s">
        <v>625</v>
      </c>
      <c r="G112" s="16" t="s">
        <v>541</v>
      </c>
      <c r="H112" s="16" t="s">
        <v>527</v>
      </c>
      <c r="I112" s="16">
        <v>2</v>
      </c>
    </row>
    <row r="113" spans="1:12">
      <c r="B113" s="16" t="str">
        <f t="shared" si="9"/>
        <v>0xF2D0</v>
      </c>
      <c r="C113" s="16" t="str">
        <f t="shared" si="10"/>
        <v>0xF2D1</v>
      </c>
      <c r="D113" s="16">
        <v>62160</v>
      </c>
      <c r="E113" s="16">
        <v>62161</v>
      </c>
      <c r="F113" s="16" t="s">
        <v>626</v>
      </c>
      <c r="G113" s="16" t="s">
        <v>541</v>
      </c>
      <c r="H113" s="16" t="s">
        <v>527</v>
      </c>
      <c r="I113" s="16">
        <v>2</v>
      </c>
    </row>
    <row r="114" spans="1:12">
      <c r="B114" s="16" t="str">
        <f t="shared" si="9"/>
        <v>0xF2D2</v>
      </c>
      <c r="C114" s="16" t="str">
        <f t="shared" si="10"/>
        <v>0xF2D3</v>
      </c>
      <c r="D114" s="16">
        <v>62162</v>
      </c>
      <c r="E114" s="16">
        <v>62163</v>
      </c>
      <c r="F114" s="16" t="s">
        <v>627</v>
      </c>
      <c r="G114" s="16" t="s">
        <v>541</v>
      </c>
      <c r="H114" s="16" t="s">
        <v>527</v>
      </c>
      <c r="I114" s="16">
        <v>2</v>
      </c>
    </row>
    <row r="115" spans="1:12">
      <c r="B115" s="16" t="str">
        <f t="shared" si="9"/>
        <v>0xF2D4</v>
      </c>
      <c r="C115" s="16" t="str">
        <f t="shared" si="10"/>
        <v>0xF2D5</v>
      </c>
      <c r="D115" s="16">
        <v>62164</v>
      </c>
      <c r="E115" s="16">
        <v>62165</v>
      </c>
      <c r="F115" s="16" t="s">
        <v>628</v>
      </c>
      <c r="G115" s="16" t="s">
        <v>541</v>
      </c>
      <c r="H115" s="16" t="s">
        <v>527</v>
      </c>
      <c r="I115" s="16">
        <v>2</v>
      </c>
    </row>
    <row r="116" spans="1:12">
      <c r="B116" s="16" t="str">
        <f t="shared" si="9"/>
        <v>0xF2D6</v>
      </c>
      <c r="C116" s="16" t="str">
        <f t="shared" si="10"/>
        <v>0xF2D7</v>
      </c>
      <c r="D116" s="16">
        <v>62166</v>
      </c>
      <c r="E116" s="16">
        <v>62167</v>
      </c>
      <c r="F116" s="16" t="s">
        <v>629</v>
      </c>
      <c r="G116" s="16" t="s">
        <v>541</v>
      </c>
      <c r="H116" s="16" t="s">
        <v>527</v>
      </c>
      <c r="I116" s="16">
        <v>2</v>
      </c>
    </row>
    <row r="117" spans="1:12">
      <c r="B117" s="16" t="str">
        <f t="shared" si="9"/>
        <v>0xF2D8</v>
      </c>
      <c r="C117" s="16" t="str">
        <f t="shared" si="10"/>
        <v>0xF2D9</v>
      </c>
      <c r="D117" s="16">
        <v>62168</v>
      </c>
      <c r="E117" s="16">
        <v>62169</v>
      </c>
      <c r="F117" s="16" t="s">
        <v>630</v>
      </c>
      <c r="G117" s="16" t="s">
        <v>541</v>
      </c>
      <c r="H117" s="16" t="s">
        <v>527</v>
      </c>
      <c r="I117" s="16">
        <v>2</v>
      </c>
    </row>
    <row r="118" spans="1:12">
      <c r="B118" s="16" t="str">
        <f t="shared" si="9"/>
        <v>0xF2DA</v>
      </c>
      <c r="C118" s="16" t="str">
        <f t="shared" si="10"/>
        <v>0xF2DB</v>
      </c>
      <c r="D118" s="16">
        <v>62170</v>
      </c>
      <c r="E118" s="16">
        <v>62171</v>
      </c>
      <c r="F118" s="16" t="s">
        <v>631</v>
      </c>
      <c r="G118" s="16" t="s">
        <v>541</v>
      </c>
      <c r="H118" s="16" t="s">
        <v>527</v>
      </c>
      <c r="I118" s="16">
        <v>2</v>
      </c>
    </row>
    <row r="119" spans="1:12">
      <c r="B119" s="16" t="str">
        <f t="shared" si="9"/>
        <v>0xF2DC</v>
      </c>
      <c r="C119" s="16" t="str">
        <f t="shared" si="10"/>
        <v>0xF2DD</v>
      </c>
      <c r="D119" s="16">
        <v>62172</v>
      </c>
      <c r="E119" s="16">
        <v>62173</v>
      </c>
      <c r="F119" s="16" t="s">
        <v>632</v>
      </c>
      <c r="G119" s="16" t="s">
        <v>541</v>
      </c>
      <c r="H119" s="16" t="s">
        <v>527</v>
      </c>
      <c r="I119" s="16">
        <v>2</v>
      </c>
    </row>
    <row r="120" spans="1:12">
      <c r="B120" s="16" t="str">
        <f t="shared" si="9"/>
        <v>0xF2DE</v>
      </c>
      <c r="C120" s="16" t="str">
        <f t="shared" si="10"/>
        <v>0xF2DF</v>
      </c>
      <c r="D120" s="16">
        <v>62174</v>
      </c>
      <c r="E120" s="16">
        <v>62175</v>
      </c>
      <c r="F120" s="16" t="s">
        <v>633</v>
      </c>
      <c r="G120" s="16" t="s">
        <v>541</v>
      </c>
      <c r="H120" s="16" t="s">
        <v>527</v>
      </c>
      <c r="I120" s="16">
        <v>2</v>
      </c>
    </row>
    <row r="121" spans="1:12">
      <c r="B121" s="16" t="str">
        <f t="shared" si="9"/>
        <v>0xF2E0</v>
      </c>
      <c r="C121" s="16" t="str">
        <f t="shared" si="10"/>
        <v>0xF2E1</v>
      </c>
      <c r="D121" s="16">
        <v>62176</v>
      </c>
      <c r="E121" s="16">
        <v>62177</v>
      </c>
      <c r="F121" s="16" t="s">
        <v>634</v>
      </c>
      <c r="G121" s="16" t="s">
        <v>541</v>
      </c>
      <c r="H121" s="16" t="s">
        <v>527</v>
      </c>
      <c r="I121" s="16">
        <v>2</v>
      </c>
    </row>
    <row r="122" spans="1:12">
      <c r="B122" s="16" t="str">
        <f t="shared" si="9"/>
        <v>0xF2E2</v>
      </c>
      <c r="C122" s="16" t="str">
        <f t="shared" si="10"/>
        <v>0xF2E3</v>
      </c>
      <c r="D122" s="16">
        <v>62178</v>
      </c>
      <c r="E122" s="16">
        <v>62179</v>
      </c>
      <c r="F122" s="16" t="s">
        <v>635</v>
      </c>
      <c r="G122" s="16" t="s">
        <v>541</v>
      </c>
      <c r="H122" s="16" t="s">
        <v>527</v>
      </c>
      <c r="I122" s="16">
        <v>2</v>
      </c>
    </row>
    <row r="123" spans="1:12">
      <c r="B123" s="16" t="str">
        <f t="shared" si="9"/>
        <v>0xF2E4</v>
      </c>
      <c r="C123" s="16" t="str">
        <f t="shared" si="10"/>
        <v>0xF2E5</v>
      </c>
      <c r="D123" s="16">
        <v>62180</v>
      </c>
      <c r="E123" s="16">
        <v>62181</v>
      </c>
      <c r="F123" s="16" t="s">
        <v>636</v>
      </c>
      <c r="G123" s="16" t="s">
        <v>541</v>
      </c>
      <c r="H123" s="16" t="s">
        <v>527</v>
      </c>
      <c r="I123" s="16">
        <v>2</v>
      </c>
    </row>
    <row r="124" spans="1:12">
      <c r="B124" s="16" t="str">
        <f t="shared" si="9"/>
        <v>0xF2E6</v>
      </c>
      <c r="C124" s="16" t="str">
        <f t="shared" si="10"/>
        <v>0xF2E7</v>
      </c>
      <c r="D124" s="16">
        <v>62182</v>
      </c>
      <c r="E124" s="16">
        <v>62183</v>
      </c>
      <c r="F124" s="16" t="s">
        <v>637</v>
      </c>
      <c r="G124" s="16" t="s">
        <v>541</v>
      </c>
      <c r="H124" s="16" t="s">
        <v>527</v>
      </c>
      <c r="I124" s="16">
        <v>2</v>
      </c>
    </row>
    <row r="128" spans="1:12" s="21" customFormat="1">
      <c r="A128" s="49" t="s">
        <v>383</v>
      </c>
      <c r="B128" s="118"/>
      <c r="C128" s="118"/>
      <c r="D128" s="118"/>
      <c r="E128" s="118"/>
      <c r="F128" s="118"/>
      <c r="G128" s="118"/>
      <c r="H128" s="118"/>
      <c r="I128" s="118"/>
      <c r="J128" s="118"/>
      <c r="K128" s="118"/>
      <c r="L128" s="118"/>
    </row>
    <row r="129" spans="1:10" s="21" customFormat="1" ht="114.75">
      <c r="A129" s="49"/>
      <c r="B129" s="21" t="str">
        <f t="shared" ref="B129:B142" si="11">"0x"&amp;DEC2HEX(D129,4)</f>
        <v>0xF3D0</v>
      </c>
      <c r="C129" s="21" t="str">
        <f t="shared" ref="C129:C142" si="12">"0x"&amp;DEC2HEX(E129,4)</f>
        <v>0xF3D0</v>
      </c>
      <c r="D129" s="21">
        <v>62416</v>
      </c>
      <c r="E129" s="21">
        <f t="shared" ref="E129:E142" si="13">D129+I129-1</f>
        <v>62416</v>
      </c>
      <c r="F129" s="21" t="s">
        <v>638</v>
      </c>
      <c r="G129" s="21" t="s">
        <v>639</v>
      </c>
      <c r="H129" s="21" t="s">
        <v>430</v>
      </c>
      <c r="I129" s="21">
        <v>1</v>
      </c>
      <c r="J129" s="22" t="s">
        <v>640</v>
      </c>
    </row>
    <row r="130" spans="1:10" s="21" customFormat="1" ht="63.75">
      <c r="A130" s="49"/>
      <c r="B130" s="21" t="str">
        <f t="shared" si="11"/>
        <v>0xF3D1</v>
      </c>
      <c r="C130" s="21" t="str">
        <f t="shared" si="12"/>
        <v>0xF3D1</v>
      </c>
      <c r="D130" s="21">
        <f>D129+I129</f>
        <v>62417</v>
      </c>
      <c r="E130" s="21">
        <f t="shared" si="13"/>
        <v>62417</v>
      </c>
      <c r="F130" s="21" t="s">
        <v>641</v>
      </c>
      <c r="G130" s="21" t="s">
        <v>639</v>
      </c>
      <c r="H130" s="21" t="s">
        <v>430</v>
      </c>
      <c r="I130" s="21">
        <v>1</v>
      </c>
      <c r="J130" s="22" t="s">
        <v>642</v>
      </c>
    </row>
    <row r="131" spans="1:10" s="21" customFormat="1" ht="63.75">
      <c r="A131" s="49"/>
      <c r="B131" s="21" t="str">
        <f t="shared" si="11"/>
        <v>0xF3D2</v>
      </c>
      <c r="C131" s="21" t="str">
        <f t="shared" si="12"/>
        <v>0xF3D2</v>
      </c>
      <c r="D131" s="21">
        <f>D130+I130</f>
        <v>62418</v>
      </c>
      <c r="E131" s="21">
        <f t="shared" si="13"/>
        <v>62418</v>
      </c>
      <c r="F131" s="21" t="s">
        <v>643</v>
      </c>
      <c r="G131" s="21" t="s">
        <v>639</v>
      </c>
      <c r="H131" s="21" t="s">
        <v>430</v>
      </c>
      <c r="I131" s="21">
        <v>1</v>
      </c>
      <c r="J131" s="22" t="s">
        <v>644</v>
      </c>
    </row>
    <row r="132" spans="1:10" s="21" customFormat="1" ht="51">
      <c r="A132" s="49"/>
      <c r="B132" s="21" t="str">
        <f t="shared" si="11"/>
        <v>0xF3D3</v>
      </c>
      <c r="C132" s="21" t="str">
        <f t="shared" si="12"/>
        <v>0xF3D3</v>
      </c>
      <c r="D132" s="21">
        <f>D131+I131</f>
        <v>62419</v>
      </c>
      <c r="E132" s="21">
        <f t="shared" si="13"/>
        <v>62419</v>
      </c>
      <c r="F132" s="21" t="s">
        <v>645</v>
      </c>
      <c r="G132" s="21" t="s">
        <v>639</v>
      </c>
      <c r="H132" s="21" t="s">
        <v>430</v>
      </c>
      <c r="I132" s="21">
        <v>1</v>
      </c>
      <c r="J132" s="22" t="s">
        <v>646</v>
      </c>
    </row>
    <row r="133" spans="1:10" s="21" customFormat="1">
      <c r="A133" s="49"/>
      <c r="B133" s="21" t="str">
        <f t="shared" si="11"/>
        <v>0xF3D4</v>
      </c>
      <c r="C133" s="21" t="str">
        <f t="shared" si="12"/>
        <v>0xF3D4</v>
      </c>
      <c r="D133" s="21">
        <f>D132+I132</f>
        <v>62420</v>
      </c>
      <c r="E133" s="21">
        <f t="shared" si="13"/>
        <v>62420</v>
      </c>
      <c r="F133" s="21" t="s">
        <v>647</v>
      </c>
      <c r="G133" s="21" t="s">
        <v>639</v>
      </c>
      <c r="H133" s="21" t="s">
        <v>527</v>
      </c>
      <c r="I133" s="21">
        <v>1</v>
      </c>
      <c r="J133" s="119" t="s">
        <v>648</v>
      </c>
    </row>
    <row r="134" spans="1:10" s="21" customFormat="1">
      <c r="A134" s="49"/>
      <c r="B134" s="21" t="str">
        <f t="shared" si="11"/>
        <v>0xF3D5</v>
      </c>
      <c r="C134" s="21" t="str">
        <f t="shared" si="12"/>
        <v>0xF3D5</v>
      </c>
      <c r="D134" s="21">
        <f t="shared" ref="D134:D142" si="14">D133+I133</f>
        <v>62421</v>
      </c>
      <c r="E134" s="21">
        <f t="shared" si="13"/>
        <v>62421</v>
      </c>
      <c r="F134" s="21" t="s">
        <v>649</v>
      </c>
      <c r="G134" s="21" t="s">
        <v>639</v>
      </c>
      <c r="H134" s="21" t="s">
        <v>527</v>
      </c>
      <c r="I134" s="21">
        <v>1</v>
      </c>
      <c r="J134" s="119"/>
    </row>
    <row r="135" spans="1:10" s="21" customFormat="1">
      <c r="A135" s="49"/>
      <c r="B135" s="21" t="str">
        <f t="shared" si="11"/>
        <v>0xF3D6</v>
      </c>
      <c r="C135" s="21" t="str">
        <f t="shared" si="12"/>
        <v>0xF3D6</v>
      </c>
      <c r="D135" s="21">
        <f t="shared" si="14"/>
        <v>62422</v>
      </c>
      <c r="E135" s="21">
        <f t="shared" si="13"/>
        <v>62422</v>
      </c>
      <c r="F135" s="21" t="s">
        <v>650</v>
      </c>
      <c r="G135" s="21" t="s">
        <v>639</v>
      </c>
      <c r="H135" s="21" t="s">
        <v>527</v>
      </c>
      <c r="I135" s="21">
        <v>1</v>
      </c>
      <c r="J135" s="119"/>
    </row>
    <row r="136" spans="1:10" s="21" customFormat="1">
      <c r="A136" s="49"/>
      <c r="B136" s="21" t="str">
        <f t="shared" si="11"/>
        <v>0xF3D7</v>
      </c>
      <c r="C136" s="21" t="str">
        <f t="shared" si="12"/>
        <v>0xF3D7</v>
      </c>
      <c r="D136" s="21">
        <f t="shared" si="14"/>
        <v>62423</v>
      </c>
      <c r="E136" s="21">
        <f t="shared" si="13"/>
        <v>62423</v>
      </c>
      <c r="F136" s="21" t="s">
        <v>651</v>
      </c>
      <c r="G136" s="21" t="s">
        <v>639</v>
      </c>
      <c r="H136" s="21" t="s">
        <v>527</v>
      </c>
      <c r="I136" s="21">
        <v>1</v>
      </c>
      <c r="J136" s="119"/>
    </row>
    <row r="137" spans="1:10" s="21" customFormat="1">
      <c r="A137" s="49"/>
      <c r="B137" s="21" t="str">
        <f t="shared" si="11"/>
        <v>0xF3D8</v>
      </c>
      <c r="C137" s="21" t="str">
        <f t="shared" si="12"/>
        <v>0xF3D8</v>
      </c>
      <c r="D137" s="21">
        <f t="shared" si="14"/>
        <v>62424</v>
      </c>
      <c r="E137" s="21">
        <f t="shared" si="13"/>
        <v>62424</v>
      </c>
      <c r="F137" s="21" t="s">
        <v>652</v>
      </c>
      <c r="G137" s="21" t="s">
        <v>639</v>
      </c>
      <c r="H137" s="21" t="s">
        <v>527</v>
      </c>
      <c r="I137" s="21">
        <v>1</v>
      </c>
      <c r="J137" s="119"/>
    </row>
    <row r="138" spans="1:10" s="21" customFormat="1">
      <c r="A138" s="49"/>
      <c r="B138" s="21" t="str">
        <f t="shared" si="11"/>
        <v>0xF3D9</v>
      </c>
      <c r="C138" s="21" t="str">
        <f t="shared" si="12"/>
        <v>0xF3D9</v>
      </c>
      <c r="D138" s="21">
        <f t="shared" si="14"/>
        <v>62425</v>
      </c>
      <c r="E138" s="21">
        <f t="shared" si="13"/>
        <v>62425</v>
      </c>
      <c r="F138" s="21" t="s">
        <v>653</v>
      </c>
      <c r="G138" s="21" t="s">
        <v>639</v>
      </c>
      <c r="H138" s="21" t="s">
        <v>527</v>
      </c>
      <c r="I138" s="21">
        <v>1</v>
      </c>
      <c r="J138" s="119"/>
    </row>
    <row r="139" spans="1:10" s="21" customFormat="1">
      <c r="A139" s="49"/>
      <c r="B139" s="21" t="str">
        <f t="shared" si="11"/>
        <v>0xF3DA</v>
      </c>
      <c r="C139" s="21" t="str">
        <f t="shared" si="12"/>
        <v>0xF3DA</v>
      </c>
      <c r="D139" s="21">
        <f t="shared" si="14"/>
        <v>62426</v>
      </c>
      <c r="E139" s="21">
        <f t="shared" si="13"/>
        <v>62426</v>
      </c>
      <c r="F139" s="21" t="s">
        <v>654</v>
      </c>
      <c r="G139" s="21" t="s">
        <v>639</v>
      </c>
      <c r="H139" s="21" t="s">
        <v>527</v>
      </c>
      <c r="I139" s="21">
        <v>1</v>
      </c>
      <c r="J139" s="119"/>
    </row>
    <row r="140" spans="1:10" s="21" customFormat="1">
      <c r="A140" s="49"/>
      <c r="B140" s="21" t="str">
        <f t="shared" si="11"/>
        <v>0xF3DB</v>
      </c>
      <c r="C140" s="21" t="str">
        <f t="shared" si="12"/>
        <v>0xF3DB</v>
      </c>
      <c r="D140" s="21">
        <f t="shared" si="14"/>
        <v>62427</v>
      </c>
      <c r="E140" s="21">
        <f t="shared" si="13"/>
        <v>62427</v>
      </c>
      <c r="F140" s="21" t="s">
        <v>655</v>
      </c>
      <c r="G140" s="21" t="s">
        <v>639</v>
      </c>
      <c r="H140" s="21" t="s">
        <v>527</v>
      </c>
      <c r="I140" s="21">
        <v>1</v>
      </c>
      <c r="J140" s="119"/>
    </row>
    <row r="141" spans="1:10" s="21" customFormat="1">
      <c r="A141" s="49"/>
      <c r="B141" s="21" t="str">
        <f t="shared" si="11"/>
        <v>0xF3DC</v>
      </c>
      <c r="C141" s="21" t="str">
        <f t="shared" si="12"/>
        <v>0xF3DC</v>
      </c>
      <c r="D141" s="21">
        <f t="shared" si="14"/>
        <v>62428</v>
      </c>
      <c r="E141" s="21">
        <f t="shared" si="13"/>
        <v>62428</v>
      </c>
      <c r="F141" s="21" t="s">
        <v>656</v>
      </c>
      <c r="G141" s="21" t="s">
        <v>639</v>
      </c>
      <c r="H141" s="21" t="s">
        <v>527</v>
      </c>
      <c r="I141" s="21">
        <v>1</v>
      </c>
      <c r="J141" s="119"/>
    </row>
    <row r="142" spans="1:10" s="21" customFormat="1">
      <c r="A142" s="49"/>
      <c r="B142" s="21" t="str">
        <f t="shared" si="11"/>
        <v>0xF3DD</v>
      </c>
      <c r="C142" s="21" t="str">
        <f t="shared" si="12"/>
        <v>0xF3DD</v>
      </c>
      <c r="D142" s="21">
        <f t="shared" si="14"/>
        <v>62429</v>
      </c>
      <c r="E142" s="21">
        <f t="shared" si="13"/>
        <v>62429</v>
      </c>
      <c r="F142" s="21" t="s">
        <v>657</v>
      </c>
      <c r="G142" s="21" t="s">
        <v>639</v>
      </c>
      <c r="H142" s="21" t="s">
        <v>527</v>
      </c>
      <c r="I142" s="21">
        <v>1</v>
      </c>
      <c r="J142" s="119"/>
    </row>
    <row r="144" spans="1:10">
      <c r="A144" s="26" t="s">
        <v>658</v>
      </c>
    </row>
  </sheetData>
  <mergeCells count="3">
    <mergeCell ref="B128:L128"/>
    <mergeCell ref="J133:J142"/>
    <mergeCell ref="B96:I96"/>
  </mergeCells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483"/>
  <sheetViews>
    <sheetView zoomScale="96" zoomScaleNormal="96" workbookViewId="0">
      <pane ySplit="1" topLeftCell="A195" activePane="bottomLeft" state="frozen"/>
      <selection pane="bottomLeft" activeCell="J486" sqref="J486"/>
    </sheetView>
  </sheetViews>
  <sheetFormatPr defaultColWidth="9" defaultRowHeight="12.75"/>
  <cols>
    <col min="1" max="1" width="31.85546875" style="8" customWidth="1"/>
    <col min="2" max="2" width="10.7109375" style="9" customWidth="1"/>
    <col min="3" max="3" width="8.85546875" style="9" customWidth="1"/>
    <col min="4" max="4" width="9" style="9"/>
    <col min="5" max="5" width="10.5703125" style="9" customWidth="1"/>
    <col min="6" max="6" width="57" style="9" customWidth="1"/>
    <col min="7" max="7" width="10.42578125" style="9" customWidth="1"/>
    <col min="8" max="8" width="9" style="9"/>
    <col min="9" max="9" width="6.42578125" style="9" customWidth="1"/>
    <col min="10" max="10" width="41" style="9" customWidth="1"/>
    <col min="11" max="11" width="29.140625" style="9" customWidth="1"/>
    <col min="12" max="12" width="28.140625" style="9" customWidth="1"/>
    <col min="13" max="13" width="24.42578125" style="9" customWidth="1"/>
    <col min="14" max="16384" width="9" style="9"/>
  </cols>
  <sheetData>
    <row r="1" spans="1:13" s="14" customFormat="1">
      <c r="A1" s="14" t="s">
        <v>27</v>
      </c>
      <c r="B1" s="14" t="s">
        <v>414</v>
      </c>
      <c r="C1" s="14" t="s">
        <v>415</v>
      </c>
      <c r="D1" s="14" t="s">
        <v>416</v>
      </c>
      <c r="E1" s="14" t="s">
        <v>417</v>
      </c>
      <c r="F1" s="14" t="s">
        <v>418</v>
      </c>
      <c r="G1" s="14" t="s">
        <v>419</v>
      </c>
      <c r="H1" s="14" t="s">
        <v>421</v>
      </c>
      <c r="I1" s="14" t="s">
        <v>420</v>
      </c>
      <c r="J1" s="14" t="s">
        <v>422</v>
      </c>
      <c r="K1" s="14" t="s">
        <v>480</v>
      </c>
      <c r="L1" s="14" t="s">
        <v>659</v>
      </c>
    </row>
    <row r="2" spans="1:13" s="16" customFormat="1">
      <c r="A2" s="26" t="s">
        <v>660</v>
      </c>
    </row>
    <row r="3" spans="1:13" s="16" customFormat="1" ht="25.5">
      <c r="A3" s="26"/>
      <c r="B3" s="16" t="str">
        <f t="shared" ref="B3:B39" si="0">"0x"&amp;DEC2HEX(D3,4)</f>
        <v>0x0FFD</v>
      </c>
      <c r="D3" s="16">
        <v>4093</v>
      </c>
      <c r="F3" s="1" t="s">
        <v>661</v>
      </c>
      <c r="G3" s="1" t="s">
        <v>474</v>
      </c>
      <c r="H3" s="1" t="s">
        <v>471</v>
      </c>
      <c r="I3" s="1">
        <v>1</v>
      </c>
      <c r="J3" s="1" t="s">
        <v>662</v>
      </c>
      <c r="K3" s="1">
        <v>0</v>
      </c>
      <c r="L3" s="1"/>
      <c r="M3" s="1"/>
    </row>
    <row r="4" spans="1:13" s="16" customFormat="1" ht="36" customHeight="1">
      <c r="A4" s="26"/>
      <c r="B4" s="16" t="str">
        <f t="shared" si="0"/>
        <v>0x0FFE</v>
      </c>
      <c r="D4" s="16">
        <f t="shared" ref="D4:D39" si="1">D3+I3</f>
        <v>4094</v>
      </c>
      <c r="F4" s="1" t="s">
        <v>663</v>
      </c>
      <c r="G4" s="1" t="s">
        <v>474</v>
      </c>
      <c r="H4" s="1" t="s">
        <v>471</v>
      </c>
      <c r="I4" s="1">
        <v>1</v>
      </c>
      <c r="J4" s="1" t="s">
        <v>664</v>
      </c>
      <c r="K4" s="1">
        <v>0</v>
      </c>
      <c r="L4" s="1"/>
      <c r="M4" s="1"/>
    </row>
    <row r="5" spans="1:13" s="16" customFormat="1" ht="51.6" customHeight="1">
      <c r="A5" s="26"/>
      <c r="B5" s="16" t="str">
        <f t="shared" si="0"/>
        <v>0x0FFF</v>
      </c>
      <c r="D5" s="16">
        <f t="shared" si="1"/>
        <v>4095</v>
      </c>
      <c r="F5" s="1" t="s">
        <v>665</v>
      </c>
      <c r="G5" s="1" t="s">
        <v>474</v>
      </c>
      <c r="H5" s="1" t="s">
        <v>471</v>
      </c>
      <c r="I5" s="1">
        <v>1</v>
      </c>
      <c r="J5" s="1" t="s">
        <v>666</v>
      </c>
      <c r="K5" s="1">
        <v>3</v>
      </c>
      <c r="L5" s="1"/>
      <c r="M5" s="1"/>
    </row>
    <row r="6" spans="1:13" s="16" customFormat="1">
      <c r="A6" s="26"/>
      <c r="B6" s="16" t="str">
        <f t="shared" si="0"/>
        <v>0x1000</v>
      </c>
      <c r="D6" s="16">
        <f t="shared" si="1"/>
        <v>4096</v>
      </c>
      <c r="F6" s="1" t="s">
        <v>667</v>
      </c>
      <c r="G6" s="1" t="s">
        <v>474</v>
      </c>
      <c r="H6" s="1" t="s">
        <v>471</v>
      </c>
      <c r="I6" s="1">
        <v>1</v>
      </c>
      <c r="J6" s="1" t="s">
        <v>668</v>
      </c>
      <c r="K6" s="1">
        <v>0</v>
      </c>
      <c r="L6" s="1"/>
      <c r="M6" s="1"/>
    </row>
    <row r="7" spans="1:13" s="16" customFormat="1" ht="35.25" customHeight="1">
      <c r="A7" s="26"/>
      <c r="B7" s="16" t="str">
        <f t="shared" si="0"/>
        <v>0x1001</v>
      </c>
      <c r="D7" s="16">
        <f t="shared" si="1"/>
        <v>4097</v>
      </c>
      <c r="F7" s="1" t="s">
        <v>669</v>
      </c>
      <c r="G7" s="1" t="s">
        <v>474</v>
      </c>
      <c r="H7" s="1" t="s">
        <v>471</v>
      </c>
      <c r="I7" s="1">
        <v>1</v>
      </c>
      <c r="J7" s="1" t="s">
        <v>670</v>
      </c>
      <c r="K7" s="1">
        <v>1</v>
      </c>
      <c r="L7" s="1"/>
      <c r="M7" s="1"/>
    </row>
    <row r="8" spans="1:13" s="16" customFormat="1">
      <c r="A8" s="26"/>
      <c r="B8" s="16" t="str">
        <f t="shared" si="0"/>
        <v>0x1002</v>
      </c>
      <c r="D8" s="16">
        <f t="shared" si="1"/>
        <v>4098</v>
      </c>
      <c r="F8" s="1" t="s">
        <v>671</v>
      </c>
      <c r="G8" s="1" t="s">
        <v>517</v>
      </c>
      <c r="H8" s="1" t="s">
        <v>527</v>
      </c>
      <c r="I8" s="1">
        <v>1</v>
      </c>
      <c r="J8" s="1" t="s">
        <v>672</v>
      </c>
      <c r="K8" s="1">
        <v>19200</v>
      </c>
      <c r="L8" s="1"/>
      <c r="M8" s="1"/>
    </row>
    <row r="9" spans="1:13" s="16" customFormat="1" ht="76.5">
      <c r="A9" s="26"/>
      <c r="B9" s="16" t="str">
        <f t="shared" si="0"/>
        <v>0x1003</v>
      </c>
      <c r="D9" s="16">
        <f t="shared" si="1"/>
        <v>4099</v>
      </c>
      <c r="F9" s="1" t="s">
        <v>673</v>
      </c>
      <c r="G9" s="1" t="s">
        <v>474</v>
      </c>
      <c r="H9" s="1" t="s">
        <v>471</v>
      </c>
      <c r="I9" s="1">
        <v>1</v>
      </c>
      <c r="J9" s="1" t="s">
        <v>2839</v>
      </c>
      <c r="K9" s="1">
        <v>0</v>
      </c>
      <c r="L9" s="1"/>
      <c r="M9" s="1"/>
    </row>
    <row r="10" spans="1:13" s="16" customFormat="1" ht="38.25">
      <c r="A10" s="26"/>
      <c r="B10" s="16" t="str">
        <f t="shared" si="0"/>
        <v>0x1004</v>
      </c>
      <c r="D10" s="16">
        <f t="shared" si="1"/>
        <v>4100</v>
      </c>
      <c r="F10" s="1" t="s">
        <v>674</v>
      </c>
      <c r="G10" s="1" t="s">
        <v>474</v>
      </c>
      <c r="H10" s="1" t="s">
        <v>471</v>
      </c>
      <c r="I10" s="1">
        <v>1</v>
      </c>
      <c r="J10" s="1" t="s">
        <v>675</v>
      </c>
      <c r="K10" s="1">
        <v>0</v>
      </c>
      <c r="L10" s="1"/>
      <c r="M10" s="1"/>
    </row>
    <row r="11" spans="1:13" s="16" customFormat="1">
      <c r="A11" s="26"/>
      <c r="B11" s="16" t="str">
        <f t="shared" si="0"/>
        <v>0x1005</v>
      </c>
      <c r="D11" s="16">
        <f t="shared" si="1"/>
        <v>4101</v>
      </c>
      <c r="F11" s="1" t="s">
        <v>676</v>
      </c>
      <c r="G11" s="1" t="s">
        <v>474</v>
      </c>
      <c r="H11" s="1" t="s">
        <v>471</v>
      </c>
      <c r="I11" s="1">
        <v>1</v>
      </c>
      <c r="J11" s="116" t="s">
        <v>677</v>
      </c>
      <c r="K11" s="1">
        <v>0</v>
      </c>
      <c r="L11" s="1"/>
      <c r="M11" s="1"/>
    </row>
    <row r="12" spans="1:13" s="16" customFormat="1">
      <c r="A12" s="26"/>
      <c r="B12" s="16" t="str">
        <f t="shared" si="0"/>
        <v>0x1006</v>
      </c>
      <c r="D12" s="16">
        <f t="shared" si="1"/>
        <v>4102</v>
      </c>
      <c r="F12" s="1" t="s">
        <v>678</v>
      </c>
      <c r="G12" s="1" t="s">
        <v>474</v>
      </c>
      <c r="H12" s="1" t="s">
        <v>471</v>
      </c>
      <c r="I12" s="1">
        <v>1</v>
      </c>
      <c r="J12" s="116"/>
      <c r="K12" s="1">
        <v>400</v>
      </c>
      <c r="L12" s="1"/>
      <c r="M12" s="1"/>
    </row>
    <row r="13" spans="1:13" s="16" customFormat="1">
      <c r="A13" s="26"/>
      <c r="B13" s="16" t="str">
        <f t="shared" si="0"/>
        <v>0x1007</v>
      </c>
      <c r="D13" s="16">
        <f t="shared" si="1"/>
        <v>4103</v>
      </c>
      <c r="F13" s="1" t="s">
        <v>679</v>
      </c>
      <c r="G13" s="1" t="s">
        <v>474</v>
      </c>
      <c r="H13" s="1" t="s">
        <v>471</v>
      </c>
      <c r="I13" s="1">
        <v>1</v>
      </c>
      <c r="J13" s="1" t="s">
        <v>680</v>
      </c>
      <c r="K13" s="1">
        <v>400</v>
      </c>
      <c r="L13" s="1"/>
      <c r="M13" s="1"/>
    </row>
    <row r="14" spans="1:13" s="16" customFormat="1">
      <c r="A14" s="26"/>
      <c r="B14" s="16" t="str">
        <f t="shared" si="0"/>
        <v>0x1008</v>
      </c>
      <c r="D14" s="16">
        <f t="shared" si="1"/>
        <v>4104</v>
      </c>
      <c r="F14" s="1" t="s">
        <v>681</v>
      </c>
      <c r="G14" s="1" t="s">
        <v>474</v>
      </c>
      <c r="H14" s="1" t="s">
        <v>471</v>
      </c>
      <c r="I14" s="1">
        <v>1</v>
      </c>
      <c r="J14" s="1" t="s">
        <v>682</v>
      </c>
      <c r="K14" s="1">
        <v>5</v>
      </c>
      <c r="L14" s="1"/>
      <c r="M14" s="1"/>
    </row>
    <row r="15" spans="1:13" s="16" customFormat="1" ht="63.75">
      <c r="A15" s="26"/>
      <c r="B15" s="16" t="str">
        <f t="shared" si="0"/>
        <v>0x1009</v>
      </c>
      <c r="D15" s="16">
        <f t="shared" si="1"/>
        <v>4105</v>
      </c>
      <c r="F15" s="1" t="s">
        <v>683</v>
      </c>
      <c r="G15" s="1" t="s">
        <v>474</v>
      </c>
      <c r="H15" s="1" t="s">
        <v>471</v>
      </c>
      <c r="I15" s="1">
        <v>1</v>
      </c>
      <c r="J15" s="1" t="s">
        <v>684</v>
      </c>
      <c r="K15" s="1">
        <v>5</v>
      </c>
      <c r="L15" s="1"/>
      <c r="M15" s="1"/>
    </row>
    <row r="16" spans="1:13" s="16" customFormat="1">
      <c r="A16" s="26"/>
      <c r="B16" s="16" t="str">
        <f t="shared" si="0"/>
        <v>0x100A</v>
      </c>
      <c r="D16" s="16">
        <f t="shared" si="1"/>
        <v>4106</v>
      </c>
      <c r="F16" s="1" t="s">
        <v>685</v>
      </c>
      <c r="G16" s="1" t="s">
        <v>474</v>
      </c>
      <c r="H16" s="1" t="s">
        <v>471</v>
      </c>
      <c r="I16" s="1">
        <v>1</v>
      </c>
      <c r="J16" s="1" t="s">
        <v>686</v>
      </c>
      <c r="K16" s="1">
        <v>5000</v>
      </c>
      <c r="L16" s="1"/>
      <c r="M16" s="1"/>
    </row>
    <row r="17" spans="1:13" s="16" customFormat="1">
      <c r="A17" s="26"/>
      <c r="B17" s="16" t="str">
        <f t="shared" si="0"/>
        <v>0x100B</v>
      </c>
      <c r="D17" s="16">
        <f t="shared" si="1"/>
        <v>4107</v>
      </c>
      <c r="F17" s="1" t="s">
        <v>687</v>
      </c>
      <c r="G17" s="1" t="s">
        <v>474</v>
      </c>
      <c r="H17" s="1" t="s">
        <v>471</v>
      </c>
      <c r="I17" s="1">
        <v>1</v>
      </c>
      <c r="J17" s="1" t="s">
        <v>686</v>
      </c>
      <c r="K17" s="1">
        <v>5000</v>
      </c>
      <c r="L17" s="1"/>
      <c r="M17" s="1"/>
    </row>
    <row r="18" spans="1:13" s="16" customFormat="1">
      <c r="A18" s="26"/>
      <c r="B18" s="16" t="str">
        <f t="shared" si="0"/>
        <v>0x100C</v>
      </c>
      <c r="D18" s="16">
        <f t="shared" si="1"/>
        <v>4108</v>
      </c>
      <c r="F18" s="1" t="s">
        <v>688</v>
      </c>
      <c r="G18" s="1" t="s">
        <v>474</v>
      </c>
      <c r="H18" s="1" t="s">
        <v>471</v>
      </c>
      <c r="I18" s="1">
        <v>1</v>
      </c>
      <c r="J18" s="1" t="s">
        <v>689</v>
      </c>
      <c r="K18" s="1">
        <v>1</v>
      </c>
      <c r="L18" s="1"/>
      <c r="M18" s="1"/>
    </row>
    <row r="19" spans="1:13" s="16" customFormat="1">
      <c r="A19" s="26"/>
      <c r="B19" s="16" t="str">
        <f t="shared" si="0"/>
        <v>0x100D</v>
      </c>
      <c r="D19" s="16">
        <f t="shared" si="1"/>
        <v>4109</v>
      </c>
      <c r="F19" s="1" t="s">
        <v>690</v>
      </c>
      <c r="G19" s="1" t="s">
        <v>474</v>
      </c>
      <c r="H19" s="1" t="s">
        <v>471</v>
      </c>
      <c r="I19" s="1">
        <v>1</v>
      </c>
      <c r="J19" s="1" t="s">
        <v>691</v>
      </c>
      <c r="K19" s="1">
        <v>15</v>
      </c>
      <c r="L19" s="1"/>
      <c r="M19" s="1"/>
    </row>
    <row r="20" spans="1:13" s="16" customFormat="1" ht="63.75">
      <c r="A20" s="26"/>
      <c r="B20" s="16" t="str">
        <f t="shared" si="0"/>
        <v>0x100E</v>
      </c>
      <c r="D20" s="16">
        <f t="shared" si="1"/>
        <v>4110</v>
      </c>
      <c r="F20" s="1" t="s">
        <v>692</v>
      </c>
      <c r="G20" s="1" t="s">
        <v>474</v>
      </c>
      <c r="H20" s="1" t="s">
        <v>471</v>
      </c>
      <c r="I20" s="1">
        <v>1</v>
      </c>
      <c r="J20" s="1" t="s">
        <v>693</v>
      </c>
      <c r="K20" s="1">
        <v>1</v>
      </c>
      <c r="L20" s="1"/>
      <c r="M20" s="1"/>
    </row>
    <row r="21" spans="1:13" s="16" customFormat="1">
      <c r="A21" s="26"/>
      <c r="B21" s="16" t="str">
        <f t="shared" si="0"/>
        <v>0x100F</v>
      </c>
      <c r="D21" s="16">
        <f t="shared" si="1"/>
        <v>4111</v>
      </c>
      <c r="F21" s="1" t="s">
        <v>694</v>
      </c>
      <c r="G21" s="1" t="s">
        <v>474</v>
      </c>
      <c r="H21" s="1" t="s">
        <v>471</v>
      </c>
      <c r="I21" s="1">
        <v>1</v>
      </c>
      <c r="J21" s="1" t="s">
        <v>695</v>
      </c>
      <c r="K21" s="1">
        <v>0</v>
      </c>
      <c r="L21" s="1"/>
      <c r="M21" s="1"/>
    </row>
    <row r="22" spans="1:13" s="16" customFormat="1">
      <c r="A22" s="26"/>
      <c r="B22" s="16" t="str">
        <f t="shared" si="0"/>
        <v>0x1010</v>
      </c>
      <c r="D22" s="16">
        <f t="shared" si="1"/>
        <v>4112</v>
      </c>
      <c r="F22" s="1" t="s">
        <v>696</v>
      </c>
      <c r="G22" s="1" t="s">
        <v>474</v>
      </c>
      <c r="H22" s="1" t="s">
        <v>471</v>
      </c>
      <c r="I22" s="1">
        <v>1</v>
      </c>
      <c r="J22" s="1" t="s">
        <v>2863</v>
      </c>
      <c r="K22" s="1" t="s">
        <v>697</v>
      </c>
      <c r="L22" s="1"/>
      <c r="M22" s="1"/>
    </row>
    <row r="23" spans="1:13" s="16" customFormat="1">
      <c r="A23" s="26"/>
      <c r="B23" s="16" t="str">
        <f t="shared" si="0"/>
        <v>0x1011</v>
      </c>
      <c r="D23" s="16">
        <f t="shared" si="1"/>
        <v>4113</v>
      </c>
      <c r="F23" s="1" t="s">
        <v>698</v>
      </c>
      <c r="G23" s="1" t="s">
        <v>474</v>
      </c>
      <c r="H23" s="1" t="s">
        <v>471</v>
      </c>
      <c r="I23" s="1">
        <v>1</v>
      </c>
      <c r="J23" s="1" t="s">
        <v>695</v>
      </c>
      <c r="K23" s="1">
        <v>0</v>
      </c>
      <c r="L23" s="1"/>
      <c r="M23" s="1"/>
    </row>
    <row r="24" spans="1:13" s="16" customFormat="1">
      <c r="A24" s="26"/>
      <c r="B24" s="16" t="str">
        <f t="shared" si="0"/>
        <v>0x1012</v>
      </c>
      <c r="D24" s="16">
        <f t="shared" si="1"/>
        <v>4114</v>
      </c>
      <c r="F24" s="1" t="s">
        <v>699</v>
      </c>
      <c r="G24" s="1" t="s">
        <v>474</v>
      </c>
      <c r="H24" s="1" t="s">
        <v>471</v>
      </c>
      <c r="I24" s="1">
        <v>1</v>
      </c>
      <c r="J24" s="1" t="s">
        <v>700</v>
      </c>
      <c r="K24" s="1">
        <v>0</v>
      </c>
      <c r="L24" s="1"/>
      <c r="M24" s="1"/>
    </row>
    <row r="25" spans="1:13" s="16" customFormat="1">
      <c r="A25" s="26"/>
      <c r="B25" s="16" t="str">
        <f t="shared" si="0"/>
        <v>0x1013</v>
      </c>
      <c r="D25" s="16">
        <f t="shared" si="1"/>
        <v>4115</v>
      </c>
      <c r="F25" s="1" t="s">
        <v>701</v>
      </c>
      <c r="G25" s="1" t="s">
        <v>474</v>
      </c>
      <c r="H25" s="1" t="s">
        <v>471</v>
      </c>
      <c r="I25" s="1">
        <v>1</v>
      </c>
      <c r="J25" s="1" t="s">
        <v>700</v>
      </c>
      <c r="K25" s="1">
        <v>0</v>
      </c>
      <c r="L25" s="1"/>
      <c r="M25" s="1"/>
    </row>
    <row r="26" spans="1:13" s="16" customFormat="1">
      <c r="A26" s="26"/>
      <c r="B26" s="16" t="str">
        <f t="shared" si="0"/>
        <v>0x1014</v>
      </c>
      <c r="D26" s="16">
        <f t="shared" si="1"/>
        <v>4116</v>
      </c>
      <c r="F26" s="1" t="s">
        <v>702</v>
      </c>
      <c r="G26" s="1" t="s">
        <v>474</v>
      </c>
      <c r="H26" s="1" t="s">
        <v>471</v>
      </c>
      <c r="I26" s="1">
        <v>1</v>
      </c>
      <c r="J26" s="1" t="s">
        <v>700</v>
      </c>
      <c r="K26" s="1">
        <v>0</v>
      </c>
      <c r="L26" s="1"/>
      <c r="M26" s="1"/>
    </row>
    <row r="27" spans="1:13" s="16" customFormat="1">
      <c r="A27" s="26"/>
      <c r="B27" s="16" t="str">
        <f t="shared" si="0"/>
        <v>0x1015</v>
      </c>
      <c r="D27" s="16">
        <f t="shared" si="1"/>
        <v>4117</v>
      </c>
      <c r="F27" s="1" t="s">
        <v>703</v>
      </c>
      <c r="G27" s="1" t="s">
        <v>474</v>
      </c>
      <c r="H27" s="1" t="s">
        <v>471</v>
      </c>
      <c r="I27" s="1">
        <v>1</v>
      </c>
      <c r="J27" s="1" t="s">
        <v>704</v>
      </c>
      <c r="K27" s="1">
        <v>0</v>
      </c>
      <c r="L27" s="1"/>
      <c r="M27" s="1"/>
    </row>
    <row r="28" spans="1:13" s="16" customFormat="1">
      <c r="A28" s="26"/>
      <c r="B28" s="16" t="str">
        <f t="shared" si="0"/>
        <v>0x1016</v>
      </c>
      <c r="D28" s="16">
        <f t="shared" si="1"/>
        <v>4118</v>
      </c>
      <c r="F28" s="1" t="s">
        <v>705</v>
      </c>
      <c r="G28" s="1" t="s">
        <v>474</v>
      </c>
      <c r="H28" s="1" t="s">
        <v>471</v>
      </c>
      <c r="I28" s="1">
        <v>1</v>
      </c>
      <c r="J28" s="1" t="s">
        <v>695</v>
      </c>
      <c r="K28" s="1">
        <v>0</v>
      </c>
      <c r="L28" s="1"/>
      <c r="M28" s="1"/>
    </row>
    <row r="29" spans="1:13" s="16" customFormat="1" ht="25.5">
      <c r="A29" s="26"/>
      <c r="B29" s="16" t="str">
        <f t="shared" si="0"/>
        <v>0x1017</v>
      </c>
      <c r="D29" s="16">
        <f t="shared" si="1"/>
        <v>4119</v>
      </c>
      <c r="F29" s="1" t="s">
        <v>706</v>
      </c>
      <c r="G29" s="1" t="s">
        <v>474</v>
      </c>
      <c r="H29" s="1" t="s">
        <v>471</v>
      </c>
      <c r="I29" s="1">
        <v>1</v>
      </c>
      <c r="J29" s="1" t="s">
        <v>707</v>
      </c>
      <c r="K29" s="1">
        <v>1</v>
      </c>
      <c r="L29" s="1"/>
      <c r="M29" s="1"/>
    </row>
    <row r="30" spans="1:13" s="16" customFormat="1" ht="25.5">
      <c r="A30" s="26"/>
      <c r="B30" s="16" t="str">
        <f t="shared" si="0"/>
        <v>0x1018</v>
      </c>
      <c r="D30" s="16">
        <f t="shared" si="1"/>
        <v>4120</v>
      </c>
      <c r="F30" s="1" t="s">
        <v>708</v>
      </c>
      <c r="G30" s="1" t="s">
        <v>474</v>
      </c>
      <c r="H30" s="1" t="s">
        <v>471</v>
      </c>
      <c r="I30" s="1">
        <v>1</v>
      </c>
      <c r="J30" s="1" t="s">
        <v>709</v>
      </c>
      <c r="K30" s="1">
        <v>0</v>
      </c>
      <c r="L30" s="1"/>
      <c r="M30" s="1"/>
    </row>
    <row r="31" spans="1:13" s="16" customFormat="1" ht="25.5">
      <c r="A31" s="26"/>
      <c r="B31" s="16" t="str">
        <f t="shared" si="0"/>
        <v>0x1019</v>
      </c>
      <c r="D31" s="16">
        <f t="shared" si="1"/>
        <v>4121</v>
      </c>
      <c r="F31" s="1" t="s">
        <v>710</v>
      </c>
      <c r="G31" s="1" t="s">
        <v>474</v>
      </c>
      <c r="H31" s="1" t="s">
        <v>471</v>
      </c>
      <c r="I31" s="1">
        <v>1</v>
      </c>
      <c r="J31" s="1" t="s">
        <v>711</v>
      </c>
      <c r="K31" s="1">
        <v>0</v>
      </c>
      <c r="L31" s="1" t="s">
        <v>712</v>
      </c>
      <c r="M31" s="1"/>
    </row>
    <row r="32" spans="1:13" s="16" customFormat="1" ht="38.25">
      <c r="A32" s="26"/>
      <c r="B32" s="16" t="str">
        <f t="shared" si="0"/>
        <v>0x101A</v>
      </c>
      <c r="D32" s="16">
        <f t="shared" si="1"/>
        <v>4122</v>
      </c>
      <c r="F32" s="1" t="s">
        <v>713</v>
      </c>
      <c r="G32" s="1" t="s">
        <v>474</v>
      </c>
      <c r="H32" s="1" t="s">
        <v>471</v>
      </c>
      <c r="I32" s="1">
        <v>1</v>
      </c>
      <c r="J32" s="1" t="s">
        <v>714</v>
      </c>
      <c r="K32" s="1">
        <v>0</v>
      </c>
      <c r="L32" s="1"/>
      <c r="M32" s="1"/>
    </row>
    <row r="33" spans="1:13" s="16" customFormat="1" ht="89.25">
      <c r="A33" s="26"/>
      <c r="B33" s="16" t="str">
        <f t="shared" si="0"/>
        <v>0x101B</v>
      </c>
      <c r="D33" s="16">
        <f t="shared" si="1"/>
        <v>4123</v>
      </c>
      <c r="F33" s="1" t="s">
        <v>715</v>
      </c>
      <c r="G33" s="1" t="s">
        <v>474</v>
      </c>
      <c r="H33" s="1" t="s">
        <v>471</v>
      </c>
      <c r="I33" s="1">
        <v>1</v>
      </c>
      <c r="J33" s="1" t="s">
        <v>716</v>
      </c>
      <c r="K33" s="1">
        <v>0</v>
      </c>
      <c r="L33" s="1"/>
      <c r="M33" s="1"/>
    </row>
    <row r="34" spans="1:13" s="16" customFormat="1" ht="89.25">
      <c r="A34" s="26"/>
      <c r="B34" s="16" t="str">
        <f t="shared" si="0"/>
        <v>0x101C</v>
      </c>
      <c r="D34" s="16">
        <f t="shared" si="1"/>
        <v>4124</v>
      </c>
      <c r="F34" s="1" t="s">
        <v>717</v>
      </c>
      <c r="G34" s="1" t="s">
        <v>474</v>
      </c>
      <c r="H34" s="1" t="s">
        <v>471</v>
      </c>
      <c r="I34" s="1">
        <v>1</v>
      </c>
      <c r="J34" s="1" t="s">
        <v>716</v>
      </c>
      <c r="K34" s="1">
        <v>0</v>
      </c>
      <c r="L34" s="1"/>
      <c r="M34" s="1"/>
    </row>
    <row r="35" spans="1:13" s="16" customFormat="1" ht="25.5">
      <c r="A35" s="26"/>
      <c r="B35" s="16" t="str">
        <f t="shared" si="0"/>
        <v>0x101D</v>
      </c>
      <c r="D35" s="16">
        <f t="shared" si="1"/>
        <v>4125</v>
      </c>
      <c r="F35" s="1" t="s">
        <v>718</v>
      </c>
      <c r="G35" s="1" t="s">
        <v>474</v>
      </c>
      <c r="H35" s="1" t="s">
        <v>471</v>
      </c>
      <c r="I35" s="1">
        <v>1</v>
      </c>
      <c r="J35" s="1" t="s">
        <v>719</v>
      </c>
      <c r="K35" s="1">
        <v>0</v>
      </c>
      <c r="L35" s="1" t="s">
        <v>720</v>
      </c>
      <c r="M35" s="1"/>
    </row>
    <row r="36" spans="1:13" s="16" customFormat="1" ht="25.5">
      <c r="A36" s="26"/>
      <c r="B36" s="16" t="str">
        <f t="shared" si="0"/>
        <v>0x101E</v>
      </c>
      <c r="D36" s="16">
        <f t="shared" si="1"/>
        <v>4126</v>
      </c>
      <c r="F36" s="1" t="s">
        <v>721</v>
      </c>
      <c r="G36" s="1" t="s">
        <v>474</v>
      </c>
      <c r="H36" s="1" t="s">
        <v>722</v>
      </c>
      <c r="I36" s="1">
        <v>1</v>
      </c>
      <c r="J36" s="1" t="s">
        <v>723</v>
      </c>
      <c r="K36" s="1">
        <v>0</v>
      </c>
      <c r="L36" s="1"/>
      <c r="M36" s="1"/>
    </row>
    <row r="37" spans="1:13" s="16" customFormat="1" ht="25.5">
      <c r="A37" s="26"/>
      <c r="B37" s="16" t="str">
        <f t="shared" si="0"/>
        <v>0x101F</v>
      </c>
      <c r="D37" s="16">
        <f t="shared" si="1"/>
        <v>4127</v>
      </c>
      <c r="F37" s="1" t="s">
        <v>724</v>
      </c>
      <c r="G37" s="1" t="s">
        <v>474</v>
      </c>
      <c r="H37" s="1" t="s">
        <v>427</v>
      </c>
      <c r="I37" s="1">
        <v>1</v>
      </c>
      <c r="J37" s="1" t="s">
        <v>725</v>
      </c>
      <c r="K37" s="1"/>
      <c r="L37" s="1"/>
      <c r="M37" s="1"/>
    </row>
    <row r="38" spans="1:13" s="16" customFormat="1">
      <c r="A38" s="26"/>
      <c r="B38" s="16" t="str">
        <f t="shared" si="0"/>
        <v>0x1020</v>
      </c>
      <c r="D38" s="16">
        <f t="shared" si="1"/>
        <v>4128</v>
      </c>
      <c r="F38" s="1" t="s">
        <v>726</v>
      </c>
      <c r="G38" s="1" t="s">
        <v>474</v>
      </c>
      <c r="H38" s="1" t="s">
        <v>471</v>
      </c>
      <c r="I38" s="1">
        <v>1</v>
      </c>
      <c r="J38" s="1" t="s">
        <v>691</v>
      </c>
      <c r="K38" s="1">
        <v>1</v>
      </c>
      <c r="L38" s="1"/>
      <c r="M38" s="1"/>
    </row>
    <row r="39" spans="1:13" s="16" customFormat="1">
      <c r="A39" s="26"/>
      <c r="B39" s="16" t="str">
        <f t="shared" si="0"/>
        <v>0x1021</v>
      </c>
      <c r="D39" s="16">
        <f t="shared" si="1"/>
        <v>4129</v>
      </c>
      <c r="F39" s="1" t="s">
        <v>727</v>
      </c>
      <c r="G39" s="1" t="s">
        <v>517</v>
      </c>
      <c r="H39" s="1" t="s">
        <v>471</v>
      </c>
      <c r="I39" s="1">
        <v>1</v>
      </c>
      <c r="J39" s="1" t="s">
        <v>728</v>
      </c>
      <c r="K39" s="1">
        <v>0</v>
      </c>
      <c r="L39" s="1"/>
      <c r="M39" s="1" t="s">
        <v>729</v>
      </c>
    </row>
    <row r="40" spans="1:13" s="16" customFormat="1" ht="12.6" customHeight="1">
      <c r="A40" s="26"/>
      <c r="B40" s="16" t="s">
        <v>730</v>
      </c>
      <c r="F40" s="1" t="s">
        <v>731</v>
      </c>
      <c r="G40" s="1" t="s">
        <v>517</v>
      </c>
      <c r="H40" s="1" t="s">
        <v>471</v>
      </c>
      <c r="I40" s="1">
        <v>1</v>
      </c>
      <c r="J40" s="1" t="s">
        <v>682</v>
      </c>
      <c r="K40" s="1">
        <v>5</v>
      </c>
      <c r="L40" s="1" t="s">
        <v>732</v>
      </c>
      <c r="M40" s="1"/>
    </row>
    <row r="41" spans="1:13" s="16" customFormat="1" ht="64.5" customHeight="1">
      <c r="A41" s="26"/>
      <c r="B41" s="16" t="s">
        <v>733</v>
      </c>
      <c r="F41" s="1" t="s">
        <v>734</v>
      </c>
      <c r="G41" s="1" t="s">
        <v>517</v>
      </c>
      <c r="H41" s="1" t="s">
        <v>471</v>
      </c>
      <c r="I41" s="1">
        <v>1</v>
      </c>
      <c r="J41" s="1" t="s">
        <v>684</v>
      </c>
      <c r="K41" s="1">
        <v>5</v>
      </c>
      <c r="L41" s="1" t="s">
        <v>735</v>
      </c>
      <c r="M41" s="1"/>
    </row>
    <row r="42" spans="1:13" s="21" customFormat="1">
      <c r="A42" s="49"/>
      <c r="B42" s="21" t="s">
        <v>736</v>
      </c>
      <c r="F42" s="22" t="s">
        <v>737</v>
      </c>
      <c r="G42" s="22"/>
      <c r="H42" s="22"/>
      <c r="I42" s="22"/>
      <c r="J42" s="22"/>
      <c r="K42" s="22"/>
      <c r="L42" s="22"/>
      <c r="M42" s="22"/>
    </row>
    <row r="43" spans="1:13" s="21" customFormat="1">
      <c r="A43" s="49"/>
      <c r="B43" s="21" t="s">
        <v>738</v>
      </c>
      <c r="F43" s="22" t="s">
        <v>739</v>
      </c>
      <c r="G43" s="22"/>
      <c r="H43" s="22"/>
      <c r="I43" s="22"/>
      <c r="J43" s="22"/>
      <c r="K43" s="22"/>
      <c r="L43" s="22"/>
      <c r="M43" s="22"/>
    </row>
    <row r="44" spans="1:13" s="16" customFormat="1">
      <c r="A44" s="26"/>
      <c r="B44" s="16" t="s">
        <v>740</v>
      </c>
      <c r="F44" s="1" t="s">
        <v>741</v>
      </c>
      <c r="G44" s="1" t="s">
        <v>474</v>
      </c>
      <c r="H44" s="1" t="s">
        <v>471</v>
      </c>
      <c r="I44" s="1"/>
      <c r="J44" s="1" t="s">
        <v>742</v>
      </c>
      <c r="K44" s="1">
        <v>0</v>
      </c>
      <c r="L44" s="1"/>
      <c r="M44" s="1"/>
    </row>
    <row r="45" spans="1:13" s="16" customFormat="1" ht="25.5">
      <c r="A45" s="26"/>
      <c r="B45" s="16" t="s">
        <v>743</v>
      </c>
      <c r="F45" s="1" t="s">
        <v>744</v>
      </c>
      <c r="G45" s="1" t="s">
        <v>639</v>
      </c>
      <c r="H45" s="1" t="s">
        <v>471</v>
      </c>
      <c r="I45" s="1">
        <v>1</v>
      </c>
      <c r="J45" s="1" t="s">
        <v>745</v>
      </c>
      <c r="K45" s="1">
        <v>1</v>
      </c>
      <c r="L45" s="1">
        <v>0</v>
      </c>
      <c r="M45" s="1"/>
    </row>
    <row r="46" spans="1:13" s="16" customFormat="1">
      <c r="A46" s="26"/>
      <c r="B46" s="16" t="s">
        <v>746</v>
      </c>
      <c r="F46" s="1" t="s">
        <v>747</v>
      </c>
      <c r="G46" s="1" t="s">
        <v>639</v>
      </c>
      <c r="H46" s="1" t="s">
        <v>471</v>
      </c>
      <c r="I46" s="1">
        <v>1</v>
      </c>
      <c r="J46" s="1" t="s">
        <v>748</v>
      </c>
      <c r="K46" s="1">
        <v>0</v>
      </c>
      <c r="L46" s="1">
        <v>0</v>
      </c>
      <c r="M46" s="1"/>
    </row>
    <row r="47" spans="1:13" s="3" customFormat="1">
      <c r="A47" s="72"/>
      <c r="B47" s="16" t="s">
        <v>749</v>
      </c>
      <c r="F47" s="1" t="s">
        <v>750</v>
      </c>
      <c r="G47" s="4"/>
      <c r="H47" s="4"/>
      <c r="I47" s="4"/>
      <c r="J47" s="4"/>
      <c r="K47" s="4"/>
      <c r="L47" s="4"/>
      <c r="M47" s="4"/>
    </row>
    <row r="48" spans="1:13" s="16" customFormat="1">
      <c r="A48" s="26"/>
      <c r="B48" s="16" t="s">
        <v>751</v>
      </c>
      <c r="F48" s="1" t="s">
        <v>750</v>
      </c>
      <c r="G48" s="1"/>
      <c r="H48" s="1"/>
      <c r="I48" s="1"/>
      <c r="J48" s="1"/>
      <c r="K48" s="1"/>
      <c r="L48" s="1"/>
      <c r="M48" s="1"/>
    </row>
    <row r="49" spans="1:13" s="16" customFormat="1">
      <c r="A49" s="26"/>
      <c r="B49" s="16" t="s">
        <v>752</v>
      </c>
      <c r="F49" s="1" t="s">
        <v>750</v>
      </c>
      <c r="G49" s="1"/>
      <c r="H49" s="1"/>
      <c r="I49" s="1"/>
      <c r="J49" s="1"/>
      <c r="K49" s="1"/>
      <c r="L49" s="1"/>
      <c r="M49" s="1"/>
    </row>
    <row r="50" spans="1:13" s="16" customFormat="1">
      <c r="A50" s="26"/>
      <c r="B50" s="16" t="s">
        <v>753</v>
      </c>
      <c r="F50" s="1" t="s">
        <v>3222</v>
      </c>
      <c r="G50" s="1"/>
      <c r="H50" s="1"/>
      <c r="I50" s="1">
        <v>1</v>
      </c>
      <c r="J50" s="1" t="s">
        <v>754</v>
      </c>
      <c r="K50" s="1">
        <v>1</v>
      </c>
      <c r="L50" s="1"/>
      <c r="M50" s="1"/>
    </row>
    <row r="51" spans="1:13" s="16" customFormat="1">
      <c r="A51" s="26"/>
      <c r="B51" s="16" t="s">
        <v>755</v>
      </c>
      <c r="F51" s="1" t="s">
        <v>756</v>
      </c>
      <c r="G51" s="1"/>
      <c r="H51" s="1"/>
      <c r="I51" s="1">
        <v>1</v>
      </c>
      <c r="J51" s="1" t="s">
        <v>757</v>
      </c>
      <c r="K51" s="1">
        <v>0</v>
      </c>
      <c r="L51" s="1"/>
      <c r="M51" s="1"/>
    </row>
    <row r="52" spans="1:13" s="16" customFormat="1" ht="25.5">
      <c r="A52" s="26"/>
      <c r="B52" s="16" t="str">
        <f t="shared" ref="B52:B68" si="2">"0x"&amp;DEC2HEX(D52,4)</f>
        <v>0x102E</v>
      </c>
      <c r="D52" s="16">
        <v>4142</v>
      </c>
      <c r="F52" s="1" t="s">
        <v>758</v>
      </c>
      <c r="G52" s="1" t="s">
        <v>474</v>
      </c>
      <c r="H52" s="1" t="s">
        <v>427</v>
      </c>
      <c r="I52" s="1">
        <v>1</v>
      </c>
      <c r="J52" s="1" t="s">
        <v>759</v>
      </c>
      <c r="K52" s="1"/>
      <c r="L52" s="1"/>
      <c r="M52" s="1"/>
    </row>
    <row r="53" spans="1:13" s="16" customFormat="1" ht="25.5">
      <c r="A53" s="26"/>
      <c r="B53" s="16" t="str">
        <f t="shared" si="2"/>
        <v>0x102F</v>
      </c>
      <c r="D53" s="16">
        <f t="shared" ref="D53:D68" si="3">D52+I52</f>
        <v>4143</v>
      </c>
      <c r="F53" s="1" t="s">
        <v>760</v>
      </c>
      <c r="G53" s="1" t="s">
        <v>474</v>
      </c>
      <c r="H53" s="1" t="s">
        <v>471</v>
      </c>
      <c r="I53" s="1">
        <v>1</v>
      </c>
      <c r="J53" s="1" t="s">
        <v>672</v>
      </c>
      <c r="K53" s="1">
        <v>38400</v>
      </c>
      <c r="L53" s="1" t="s">
        <v>761</v>
      </c>
      <c r="M53" s="1"/>
    </row>
    <row r="54" spans="1:13" s="16" customFormat="1" ht="51">
      <c r="A54" s="26"/>
      <c r="B54" s="16" t="str">
        <f t="shared" si="2"/>
        <v>0x1030</v>
      </c>
      <c r="D54" s="16">
        <f t="shared" si="3"/>
        <v>4144</v>
      </c>
      <c r="F54" s="1" t="s">
        <v>762</v>
      </c>
      <c r="G54" s="1" t="s">
        <v>474</v>
      </c>
      <c r="H54" s="1" t="s">
        <v>471</v>
      </c>
      <c r="I54" s="1">
        <v>1</v>
      </c>
      <c r="J54" s="1" t="s">
        <v>666</v>
      </c>
      <c r="K54" s="1">
        <v>3</v>
      </c>
      <c r="L54" s="1" t="s">
        <v>763</v>
      </c>
      <c r="M54" s="1"/>
    </row>
    <row r="55" spans="1:13" s="16" customFormat="1">
      <c r="A55" s="26"/>
      <c r="B55" s="16" t="str">
        <f t="shared" si="2"/>
        <v>0x1031</v>
      </c>
      <c r="D55" s="16">
        <f t="shared" si="3"/>
        <v>4145</v>
      </c>
      <c r="F55" s="1" t="s">
        <v>764</v>
      </c>
      <c r="G55" s="1" t="s">
        <v>474</v>
      </c>
      <c r="H55" s="1" t="s">
        <v>471</v>
      </c>
      <c r="I55" s="1">
        <v>1</v>
      </c>
      <c r="J55" s="1" t="s">
        <v>670</v>
      </c>
      <c r="K55" s="1">
        <v>1</v>
      </c>
      <c r="L55" s="1" t="s">
        <v>765</v>
      </c>
      <c r="M55" s="1"/>
    </row>
    <row r="56" spans="1:13" s="16" customFormat="1" ht="25.5">
      <c r="A56" s="26"/>
      <c r="B56" s="16" t="str">
        <f t="shared" si="2"/>
        <v>0x1032</v>
      </c>
      <c r="D56" s="16">
        <f t="shared" si="3"/>
        <v>4146</v>
      </c>
      <c r="F56" s="1" t="s">
        <v>766</v>
      </c>
      <c r="G56" s="1" t="s">
        <v>474</v>
      </c>
      <c r="H56" s="1" t="s">
        <v>427</v>
      </c>
      <c r="I56" s="1">
        <v>1</v>
      </c>
      <c r="J56" s="1" t="s">
        <v>767</v>
      </c>
      <c r="K56" s="1"/>
      <c r="L56" s="1"/>
      <c r="M56" s="1"/>
    </row>
    <row r="57" spans="1:13" s="16" customFormat="1" ht="25.5">
      <c r="A57" s="26"/>
      <c r="B57" s="16" t="str">
        <f t="shared" si="2"/>
        <v>0x1033</v>
      </c>
      <c r="D57" s="16">
        <f t="shared" si="3"/>
        <v>4147</v>
      </c>
      <c r="F57" s="1" t="s">
        <v>768</v>
      </c>
      <c r="G57" s="1" t="s">
        <v>474</v>
      </c>
      <c r="H57" s="1" t="s">
        <v>427</v>
      </c>
      <c r="I57" s="1">
        <v>1</v>
      </c>
      <c r="J57" s="1" t="s">
        <v>769</v>
      </c>
      <c r="K57" s="1"/>
      <c r="L57" s="1"/>
      <c r="M57" s="1"/>
    </row>
    <row r="58" spans="1:13" s="16" customFormat="1">
      <c r="A58" s="26"/>
      <c r="B58" s="16" t="str">
        <f t="shared" si="2"/>
        <v>0x1034</v>
      </c>
      <c r="D58" s="16">
        <f t="shared" si="3"/>
        <v>4148</v>
      </c>
      <c r="F58" s="1" t="s">
        <v>770</v>
      </c>
      <c r="G58" s="1" t="s">
        <v>474</v>
      </c>
      <c r="H58" s="1" t="s">
        <v>427</v>
      </c>
      <c r="I58" s="1">
        <v>1</v>
      </c>
      <c r="J58" s="1"/>
      <c r="K58" s="1"/>
      <c r="L58" s="1"/>
      <c r="M58" s="1"/>
    </row>
    <row r="59" spans="1:13" s="16" customFormat="1">
      <c r="A59" s="26"/>
      <c r="B59" s="16" t="str">
        <f t="shared" si="2"/>
        <v>0x1035</v>
      </c>
      <c r="D59" s="16">
        <f t="shared" si="3"/>
        <v>4149</v>
      </c>
      <c r="F59" s="1" t="s">
        <v>771</v>
      </c>
      <c r="G59" s="1" t="s">
        <v>474</v>
      </c>
      <c r="H59" s="1" t="s">
        <v>427</v>
      </c>
      <c r="I59" s="1">
        <v>1</v>
      </c>
      <c r="J59" s="1"/>
      <c r="K59" s="1"/>
      <c r="L59" s="1"/>
      <c r="M59" s="1"/>
    </row>
    <row r="60" spans="1:13" s="16" customFormat="1" ht="58.5">
      <c r="A60" s="26"/>
      <c r="B60" s="16" t="str">
        <f t="shared" si="2"/>
        <v>0x1036</v>
      </c>
      <c r="D60" s="16">
        <f t="shared" si="3"/>
        <v>4150</v>
      </c>
      <c r="F60" s="1" t="s">
        <v>772</v>
      </c>
      <c r="G60" s="1" t="s">
        <v>474</v>
      </c>
      <c r="H60" s="1" t="s">
        <v>427</v>
      </c>
      <c r="I60" s="1">
        <v>1</v>
      </c>
      <c r="J60" s="17" t="s">
        <v>773</v>
      </c>
      <c r="K60" s="1"/>
      <c r="L60" s="1"/>
      <c r="M60" s="1"/>
    </row>
    <row r="61" spans="1:13" s="21" customFormat="1">
      <c r="A61" s="49"/>
      <c r="B61" s="21" t="str">
        <f t="shared" si="2"/>
        <v>0x1037</v>
      </c>
      <c r="D61" s="21">
        <f t="shared" si="3"/>
        <v>4151</v>
      </c>
      <c r="F61" s="22" t="s">
        <v>774</v>
      </c>
      <c r="G61" s="22" t="s">
        <v>474</v>
      </c>
      <c r="H61" s="22" t="s">
        <v>427</v>
      </c>
      <c r="I61" s="22">
        <v>1</v>
      </c>
      <c r="J61" s="22"/>
      <c r="K61" s="22"/>
      <c r="L61" s="22"/>
      <c r="M61" s="22"/>
    </row>
    <row r="62" spans="1:13" s="16" customFormat="1" ht="76.5">
      <c r="A62" s="26"/>
      <c r="B62" s="16" t="str">
        <f t="shared" si="2"/>
        <v>0x1038</v>
      </c>
      <c r="D62" s="16">
        <f t="shared" si="3"/>
        <v>4152</v>
      </c>
      <c r="F62" s="1" t="s">
        <v>3259</v>
      </c>
      <c r="G62" s="1" t="s">
        <v>474</v>
      </c>
      <c r="H62" s="1" t="s">
        <v>471</v>
      </c>
      <c r="I62" s="1">
        <v>1</v>
      </c>
      <c r="J62" s="1" t="s">
        <v>775</v>
      </c>
      <c r="K62" s="1">
        <v>0</v>
      </c>
      <c r="L62" s="1" t="s">
        <v>776</v>
      </c>
      <c r="M62" s="1"/>
    </row>
    <row r="63" spans="1:13" s="16" customFormat="1">
      <c r="A63" s="26"/>
      <c r="B63" s="16" t="str">
        <f t="shared" si="2"/>
        <v>0x1039</v>
      </c>
      <c r="D63" s="16">
        <f t="shared" si="3"/>
        <v>4153</v>
      </c>
      <c r="F63" s="1" t="s">
        <v>777</v>
      </c>
      <c r="G63" s="1" t="s">
        <v>474</v>
      </c>
      <c r="H63" s="1" t="s">
        <v>471</v>
      </c>
      <c r="I63" s="1">
        <v>1</v>
      </c>
      <c r="J63" s="1"/>
      <c r="K63" s="1">
        <v>0</v>
      </c>
      <c r="L63" s="1"/>
      <c r="M63" s="1"/>
    </row>
    <row r="64" spans="1:13" s="16" customFormat="1">
      <c r="A64" s="26"/>
      <c r="B64" s="16" t="str">
        <f t="shared" si="2"/>
        <v>0x103A</v>
      </c>
      <c r="D64" s="16">
        <f t="shared" si="3"/>
        <v>4154</v>
      </c>
      <c r="F64" s="1" t="s">
        <v>778</v>
      </c>
      <c r="G64" s="1" t="s">
        <v>474</v>
      </c>
      <c r="H64" s="1" t="s">
        <v>471</v>
      </c>
      <c r="I64" s="1">
        <v>1</v>
      </c>
      <c r="J64" s="1"/>
      <c r="K64" s="1"/>
      <c r="L64" s="1"/>
      <c r="M64" s="1"/>
    </row>
    <row r="65" spans="1:13" s="16" customFormat="1">
      <c r="A65" s="26"/>
      <c r="B65" s="16" t="str">
        <f t="shared" si="2"/>
        <v>0x103B</v>
      </c>
      <c r="D65" s="16">
        <f t="shared" si="3"/>
        <v>4155</v>
      </c>
      <c r="F65" s="1" t="s">
        <v>779</v>
      </c>
      <c r="G65" s="1" t="s">
        <v>474</v>
      </c>
      <c r="H65" s="1" t="s">
        <v>471</v>
      </c>
      <c r="I65" s="1">
        <v>1</v>
      </c>
      <c r="J65" s="1"/>
      <c r="K65" s="1"/>
      <c r="L65" s="1"/>
      <c r="M65" s="1"/>
    </row>
    <row r="66" spans="1:13" s="16" customFormat="1">
      <c r="A66" s="26"/>
      <c r="B66" s="16" t="str">
        <f t="shared" si="2"/>
        <v>0x103C</v>
      </c>
      <c r="D66" s="16">
        <f t="shared" si="3"/>
        <v>4156</v>
      </c>
      <c r="F66" s="1" t="s">
        <v>780</v>
      </c>
      <c r="G66" s="1" t="s">
        <v>474</v>
      </c>
      <c r="H66" s="1" t="s">
        <v>471</v>
      </c>
      <c r="I66" s="1">
        <v>1</v>
      </c>
      <c r="J66" s="1"/>
      <c r="K66" s="1"/>
      <c r="L66" s="1"/>
      <c r="M66" s="1"/>
    </row>
    <row r="67" spans="1:13" s="16" customFormat="1">
      <c r="A67" s="26"/>
      <c r="B67" s="16" t="str">
        <f t="shared" si="2"/>
        <v>0x103D</v>
      </c>
      <c r="D67" s="16">
        <f t="shared" si="3"/>
        <v>4157</v>
      </c>
      <c r="F67" s="1" t="s">
        <v>781</v>
      </c>
      <c r="G67" s="1" t="s">
        <v>474</v>
      </c>
      <c r="H67" s="1" t="s">
        <v>471</v>
      </c>
      <c r="I67" s="1">
        <v>1</v>
      </c>
      <c r="J67" s="1"/>
      <c r="K67" s="1"/>
      <c r="L67" s="1"/>
      <c r="M67" s="1"/>
    </row>
    <row r="68" spans="1:13" s="16" customFormat="1">
      <c r="A68" s="26"/>
      <c r="B68" s="16" t="str">
        <f t="shared" si="2"/>
        <v>0x103E</v>
      </c>
      <c r="D68" s="16">
        <f t="shared" si="3"/>
        <v>4158</v>
      </c>
      <c r="F68" s="1" t="s">
        <v>782</v>
      </c>
      <c r="G68" s="1" t="s">
        <v>474</v>
      </c>
      <c r="H68" s="1" t="s">
        <v>471</v>
      </c>
      <c r="I68" s="1">
        <v>1</v>
      </c>
      <c r="J68" s="1"/>
      <c r="K68" s="1"/>
      <c r="L68" s="1"/>
      <c r="M68" s="1"/>
    </row>
    <row r="69" spans="1:13" s="16" customFormat="1">
      <c r="A69" s="26"/>
    </row>
    <row r="70" spans="1:13" s="16" customFormat="1">
      <c r="A70" s="26" t="s">
        <v>65</v>
      </c>
    </row>
    <row r="71" spans="1:13" s="16" customFormat="1">
      <c r="A71" s="26"/>
      <c r="B71" s="16" t="str">
        <f t="shared" ref="B71:B77" si="4">"0x"&amp;DEC2HEX(D71,4)</f>
        <v>0x103F</v>
      </c>
      <c r="D71" s="16">
        <v>4159</v>
      </c>
      <c r="F71" s="16" t="s">
        <v>783</v>
      </c>
      <c r="G71" s="16" t="s">
        <v>474</v>
      </c>
      <c r="H71" s="16" t="s">
        <v>471</v>
      </c>
      <c r="I71" s="16">
        <v>1</v>
      </c>
      <c r="K71" s="16">
        <v>0</v>
      </c>
    </row>
    <row r="72" spans="1:13" s="16" customFormat="1">
      <c r="A72" s="26"/>
      <c r="B72" s="16" t="str">
        <f t="shared" si="4"/>
        <v>0x1040</v>
      </c>
      <c r="D72" s="16">
        <f t="shared" ref="D72:D77" si="5">D71+I71</f>
        <v>4160</v>
      </c>
      <c r="F72" s="16" t="s">
        <v>784</v>
      </c>
      <c r="G72" s="16" t="s">
        <v>474</v>
      </c>
      <c r="H72" s="16" t="s">
        <v>471</v>
      </c>
      <c r="I72" s="16">
        <v>1</v>
      </c>
      <c r="K72" s="16">
        <v>2000</v>
      </c>
    </row>
    <row r="73" spans="1:13" s="16" customFormat="1">
      <c r="A73" s="26"/>
      <c r="B73" s="16" t="str">
        <f t="shared" si="4"/>
        <v>0x1041</v>
      </c>
      <c r="D73" s="16">
        <f t="shared" si="5"/>
        <v>4161</v>
      </c>
      <c r="F73" s="16" t="s">
        <v>785</v>
      </c>
      <c r="G73" s="16" t="s">
        <v>474</v>
      </c>
      <c r="H73" s="16" t="s">
        <v>471</v>
      </c>
      <c r="I73" s="16">
        <v>1</v>
      </c>
      <c r="K73" s="16">
        <v>1</v>
      </c>
    </row>
    <row r="74" spans="1:13" s="16" customFormat="1">
      <c r="A74" s="26"/>
      <c r="B74" s="16" t="str">
        <f t="shared" si="4"/>
        <v>0x1042</v>
      </c>
      <c r="D74" s="16">
        <f t="shared" si="5"/>
        <v>4162</v>
      </c>
      <c r="F74" s="16" t="s">
        <v>786</v>
      </c>
      <c r="G74" s="16" t="s">
        <v>474</v>
      </c>
      <c r="H74" s="16" t="s">
        <v>471</v>
      </c>
      <c r="I74" s="16">
        <v>1</v>
      </c>
      <c r="K74" s="16">
        <v>1</v>
      </c>
    </row>
    <row r="75" spans="1:13" s="16" customFormat="1">
      <c r="A75" s="26"/>
      <c r="B75" s="16" t="str">
        <f t="shared" si="4"/>
        <v>0x1043</v>
      </c>
      <c r="D75" s="16">
        <f t="shared" si="5"/>
        <v>4163</v>
      </c>
      <c r="F75" s="16" t="s">
        <v>787</v>
      </c>
      <c r="G75" s="16" t="s">
        <v>474</v>
      </c>
      <c r="H75" s="16" t="s">
        <v>471</v>
      </c>
      <c r="I75" s="16">
        <v>1</v>
      </c>
      <c r="K75" s="16">
        <v>0</v>
      </c>
    </row>
    <row r="76" spans="1:13" s="16" customFormat="1">
      <c r="A76" s="26"/>
      <c r="B76" s="16" t="str">
        <f t="shared" si="4"/>
        <v>0x1044</v>
      </c>
      <c r="D76" s="16">
        <f t="shared" si="5"/>
        <v>4164</v>
      </c>
      <c r="F76" s="16" t="s">
        <v>788</v>
      </c>
      <c r="G76" s="16" t="s">
        <v>474</v>
      </c>
      <c r="H76" s="16" t="s">
        <v>471</v>
      </c>
      <c r="I76" s="16">
        <v>1</v>
      </c>
      <c r="K76" s="16">
        <v>0</v>
      </c>
    </row>
    <row r="77" spans="1:13" s="16" customFormat="1">
      <c r="A77" s="26"/>
      <c r="B77" s="16" t="str">
        <f t="shared" si="4"/>
        <v>0x1045</v>
      </c>
      <c r="D77" s="16">
        <f t="shared" si="5"/>
        <v>4165</v>
      </c>
      <c r="F77" s="16" t="s">
        <v>789</v>
      </c>
      <c r="G77" s="16" t="s">
        <v>474</v>
      </c>
      <c r="H77" s="16" t="s">
        <v>471</v>
      </c>
      <c r="I77" s="16">
        <v>1</v>
      </c>
      <c r="K77" s="16">
        <v>0</v>
      </c>
    </row>
    <row r="78" spans="1:13" s="16" customFormat="1">
      <c r="A78" s="26"/>
    </row>
    <row r="79" spans="1:13" s="16" customFormat="1">
      <c r="A79" s="26" t="s">
        <v>790</v>
      </c>
    </row>
    <row r="80" spans="1:13" s="16" customFormat="1">
      <c r="A80" s="26"/>
      <c r="B80" s="16" t="str">
        <f t="shared" ref="B80:B107" si="6">"0x"&amp;DEC2HEX(D80,4)</f>
        <v>0x1046</v>
      </c>
      <c r="D80" s="16">
        <v>4166</v>
      </c>
      <c r="F80" s="16" t="s">
        <v>791</v>
      </c>
      <c r="G80" s="16" t="s">
        <v>474</v>
      </c>
      <c r="H80" s="16" t="s">
        <v>471</v>
      </c>
      <c r="I80" s="16">
        <v>1</v>
      </c>
      <c r="J80" s="16">
        <v>1</v>
      </c>
      <c r="K80" s="16">
        <v>0</v>
      </c>
    </row>
    <row r="81" spans="1:11" s="16" customFormat="1">
      <c r="A81" s="26"/>
      <c r="B81" s="16" t="str">
        <f t="shared" si="6"/>
        <v>0x1047</v>
      </c>
      <c r="D81" s="16">
        <f t="shared" ref="D81:D107" si="7">D80+I80</f>
        <v>4167</v>
      </c>
      <c r="F81" s="16" t="s">
        <v>792</v>
      </c>
      <c r="G81" s="16" t="s">
        <v>474</v>
      </c>
      <c r="H81" s="16" t="s">
        <v>471</v>
      </c>
      <c r="I81" s="16">
        <v>1</v>
      </c>
      <c r="J81" s="16">
        <v>1</v>
      </c>
      <c r="K81" s="16">
        <v>0</v>
      </c>
    </row>
    <row r="82" spans="1:11" s="16" customFormat="1">
      <c r="A82" s="26"/>
      <c r="B82" s="16" t="str">
        <f t="shared" si="6"/>
        <v>0x1048</v>
      </c>
      <c r="D82" s="16">
        <f t="shared" si="7"/>
        <v>4168</v>
      </c>
      <c r="F82" s="16" t="s">
        <v>793</v>
      </c>
      <c r="G82" s="16" t="s">
        <v>474</v>
      </c>
      <c r="H82" s="16" t="s">
        <v>471</v>
      </c>
      <c r="I82" s="16">
        <v>1</v>
      </c>
      <c r="J82" s="16" t="s">
        <v>794</v>
      </c>
      <c r="K82" s="16">
        <v>0</v>
      </c>
    </row>
    <row r="83" spans="1:11" s="16" customFormat="1" ht="114.75">
      <c r="A83" s="26"/>
      <c r="B83" s="16" t="str">
        <f t="shared" si="6"/>
        <v>0x1049</v>
      </c>
      <c r="D83" s="16">
        <f t="shared" si="7"/>
        <v>4169</v>
      </c>
      <c r="F83" s="16" t="s">
        <v>795</v>
      </c>
      <c r="G83" s="16" t="s">
        <v>474</v>
      </c>
      <c r="H83" s="16" t="s">
        <v>471</v>
      </c>
      <c r="I83" s="16">
        <v>1</v>
      </c>
      <c r="J83" s="1" t="s">
        <v>796</v>
      </c>
      <c r="K83" s="16">
        <v>0</v>
      </c>
    </row>
    <row r="84" spans="1:11" s="16" customFormat="1">
      <c r="A84" s="26"/>
      <c r="B84" s="16" t="str">
        <f t="shared" si="6"/>
        <v>0x104A</v>
      </c>
      <c r="D84" s="16">
        <f t="shared" si="7"/>
        <v>4170</v>
      </c>
      <c r="F84" s="16" t="s">
        <v>797</v>
      </c>
      <c r="G84" s="16" t="s">
        <v>474</v>
      </c>
      <c r="H84" s="16" t="s">
        <v>471</v>
      </c>
      <c r="I84" s="16">
        <v>1</v>
      </c>
      <c r="J84" s="16" t="s">
        <v>794</v>
      </c>
      <c r="K84" s="16">
        <v>0</v>
      </c>
    </row>
    <row r="85" spans="1:11" s="16" customFormat="1">
      <c r="A85" s="26"/>
      <c r="B85" s="16" t="str">
        <f t="shared" si="6"/>
        <v>0x104B</v>
      </c>
      <c r="D85" s="16">
        <f t="shared" si="7"/>
        <v>4171</v>
      </c>
      <c r="F85" s="16" t="s">
        <v>798</v>
      </c>
      <c r="G85" s="16" t="s">
        <v>474</v>
      </c>
      <c r="H85" s="16" t="s">
        <v>471</v>
      </c>
      <c r="I85" s="16">
        <v>1</v>
      </c>
      <c r="J85" s="16" t="s">
        <v>794</v>
      </c>
      <c r="K85" s="16">
        <v>0</v>
      </c>
    </row>
    <row r="86" spans="1:11" s="16" customFormat="1">
      <c r="A86" s="26"/>
      <c r="B86" s="16" t="str">
        <f t="shared" si="6"/>
        <v>0x104C</v>
      </c>
      <c r="D86" s="16">
        <f t="shared" si="7"/>
        <v>4172</v>
      </c>
      <c r="F86" s="16" t="s">
        <v>799</v>
      </c>
      <c r="G86" s="16" t="s">
        <v>474</v>
      </c>
      <c r="H86" s="16" t="s">
        <v>471</v>
      </c>
      <c r="I86" s="16">
        <v>1</v>
      </c>
      <c r="J86" s="16" t="s">
        <v>794</v>
      </c>
      <c r="K86" s="16">
        <v>0</v>
      </c>
    </row>
    <row r="87" spans="1:11" s="16" customFormat="1">
      <c r="A87" s="26"/>
      <c r="B87" s="16" t="str">
        <f t="shared" si="6"/>
        <v>0x104D</v>
      </c>
      <c r="D87" s="16">
        <f t="shared" si="7"/>
        <v>4173</v>
      </c>
      <c r="F87" s="16" t="s">
        <v>800</v>
      </c>
      <c r="G87" s="16" t="s">
        <v>474</v>
      </c>
      <c r="H87" s="16" t="s">
        <v>471</v>
      </c>
      <c r="I87" s="16">
        <v>1</v>
      </c>
      <c r="J87" s="16" t="s">
        <v>794</v>
      </c>
      <c r="K87" s="16">
        <v>0</v>
      </c>
    </row>
    <row r="88" spans="1:11" s="16" customFormat="1">
      <c r="A88" s="26"/>
      <c r="B88" s="16" t="str">
        <f t="shared" si="6"/>
        <v>0x104E</v>
      </c>
      <c r="D88" s="16">
        <f t="shared" si="7"/>
        <v>4174</v>
      </c>
      <c r="F88" s="16" t="s">
        <v>801</v>
      </c>
      <c r="G88" s="16" t="s">
        <v>802</v>
      </c>
      <c r="H88" s="16" t="s">
        <v>471</v>
      </c>
      <c r="I88" s="16">
        <v>1</v>
      </c>
      <c r="J88" s="1" t="s">
        <v>803</v>
      </c>
      <c r="K88" s="16">
        <v>0</v>
      </c>
    </row>
    <row r="89" spans="1:11" s="16" customFormat="1" ht="38.25">
      <c r="A89" s="26"/>
      <c r="B89" s="16" t="str">
        <f t="shared" si="6"/>
        <v>0x104F</v>
      </c>
      <c r="D89" s="16">
        <f t="shared" si="7"/>
        <v>4175</v>
      </c>
      <c r="F89" s="16" t="s">
        <v>804</v>
      </c>
      <c r="G89" s="16" t="s">
        <v>802</v>
      </c>
      <c r="H89" s="16" t="s">
        <v>471</v>
      </c>
      <c r="I89" s="16">
        <v>1</v>
      </c>
      <c r="J89" s="1" t="s">
        <v>805</v>
      </c>
      <c r="K89" s="16">
        <v>1</v>
      </c>
    </row>
    <row r="90" spans="1:11" s="16" customFormat="1" ht="63.75">
      <c r="A90" s="26"/>
      <c r="B90" s="16" t="str">
        <f t="shared" si="6"/>
        <v>0x1050</v>
      </c>
      <c r="D90" s="16">
        <f t="shared" si="7"/>
        <v>4176</v>
      </c>
      <c r="F90" s="16" t="s">
        <v>806</v>
      </c>
      <c r="G90" s="16" t="s">
        <v>802</v>
      </c>
      <c r="H90" s="16" t="s">
        <v>471</v>
      </c>
      <c r="I90" s="16">
        <v>1</v>
      </c>
      <c r="J90" s="1" t="s">
        <v>807</v>
      </c>
      <c r="K90" s="16">
        <v>0</v>
      </c>
    </row>
    <row r="91" spans="1:11" s="16" customFormat="1">
      <c r="A91" s="26"/>
      <c r="B91" s="16" t="str">
        <f t="shared" si="6"/>
        <v>0x1051</v>
      </c>
      <c r="D91" s="16">
        <f t="shared" si="7"/>
        <v>4177</v>
      </c>
      <c r="F91" s="16" t="s">
        <v>808</v>
      </c>
      <c r="G91" s="16" t="s">
        <v>802</v>
      </c>
      <c r="H91" s="16" t="s">
        <v>471</v>
      </c>
      <c r="I91" s="16">
        <v>1</v>
      </c>
      <c r="J91" s="16" t="s">
        <v>809</v>
      </c>
      <c r="K91" s="16">
        <v>0</v>
      </c>
    </row>
    <row r="92" spans="1:11" s="16" customFormat="1" ht="25.5">
      <c r="A92" s="26"/>
      <c r="B92" s="16" t="str">
        <f t="shared" si="6"/>
        <v>0x1052</v>
      </c>
      <c r="D92" s="16">
        <f t="shared" si="7"/>
        <v>4178</v>
      </c>
      <c r="F92" s="16" t="s">
        <v>810</v>
      </c>
      <c r="G92" s="16" t="s">
        <v>802</v>
      </c>
      <c r="H92" s="16" t="s">
        <v>471</v>
      </c>
      <c r="I92" s="16">
        <v>1</v>
      </c>
      <c r="J92" s="1" t="s">
        <v>811</v>
      </c>
      <c r="K92" s="16">
        <v>0</v>
      </c>
    </row>
    <row r="93" spans="1:11" s="16" customFormat="1">
      <c r="A93" s="26"/>
      <c r="B93" s="16" t="str">
        <f t="shared" si="6"/>
        <v>0x1053</v>
      </c>
      <c r="C93" s="16" t="str">
        <f t="shared" ref="C93:C107" si="8">"0x"&amp;DEC2HEX(E93,4)</f>
        <v>0x1057</v>
      </c>
      <c r="D93" s="16">
        <f t="shared" si="7"/>
        <v>4179</v>
      </c>
      <c r="E93" s="16">
        <f t="shared" ref="E93:E107" si="9">D93+I93-1</f>
        <v>4183</v>
      </c>
      <c r="F93" s="16" t="s">
        <v>812</v>
      </c>
      <c r="H93" s="16" t="s">
        <v>471</v>
      </c>
      <c r="I93" s="16">
        <v>5</v>
      </c>
    </row>
    <row r="94" spans="1:11" s="16" customFormat="1">
      <c r="A94" s="26"/>
      <c r="B94" s="16" t="str">
        <f t="shared" si="6"/>
        <v>0x1058</v>
      </c>
      <c r="C94" s="16" t="str">
        <f t="shared" si="8"/>
        <v>0x105C</v>
      </c>
      <c r="D94" s="16">
        <f t="shared" si="7"/>
        <v>4184</v>
      </c>
      <c r="E94" s="16">
        <f t="shared" si="9"/>
        <v>4188</v>
      </c>
      <c r="F94" s="16" t="s">
        <v>813</v>
      </c>
      <c r="H94" s="16" t="s">
        <v>471</v>
      </c>
      <c r="I94" s="16">
        <v>5</v>
      </c>
    </row>
    <row r="95" spans="1:11" s="16" customFormat="1">
      <c r="A95" s="26"/>
      <c r="B95" s="16" t="str">
        <f t="shared" si="6"/>
        <v>0x105D</v>
      </c>
      <c r="C95" s="16" t="str">
        <f t="shared" si="8"/>
        <v>0x1061</v>
      </c>
      <c r="D95" s="16">
        <f t="shared" si="7"/>
        <v>4189</v>
      </c>
      <c r="E95" s="16">
        <f t="shared" si="9"/>
        <v>4193</v>
      </c>
      <c r="F95" s="16" t="s">
        <v>814</v>
      </c>
      <c r="H95" s="16" t="s">
        <v>471</v>
      </c>
      <c r="I95" s="16">
        <v>5</v>
      </c>
    </row>
    <row r="96" spans="1:11" s="16" customFormat="1">
      <c r="A96" s="26"/>
      <c r="B96" s="16" t="str">
        <f t="shared" si="6"/>
        <v>0x1062</v>
      </c>
      <c r="C96" s="16" t="str">
        <f t="shared" si="8"/>
        <v>0x1066</v>
      </c>
      <c r="D96" s="16">
        <f t="shared" si="7"/>
        <v>4194</v>
      </c>
      <c r="E96" s="16">
        <f t="shared" si="9"/>
        <v>4198</v>
      </c>
      <c r="F96" s="16" t="s">
        <v>815</v>
      </c>
      <c r="H96" s="16" t="s">
        <v>471</v>
      </c>
      <c r="I96" s="16">
        <v>5</v>
      </c>
    </row>
    <row r="97" spans="1:21" s="16" customFormat="1">
      <c r="A97" s="26"/>
      <c r="B97" s="16" t="str">
        <f t="shared" si="6"/>
        <v>0x1067</v>
      </c>
      <c r="C97" s="16" t="str">
        <f t="shared" si="8"/>
        <v>0x106B</v>
      </c>
      <c r="D97" s="16">
        <f t="shared" si="7"/>
        <v>4199</v>
      </c>
      <c r="E97" s="16">
        <f t="shared" si="9"/>
        <v>4203</v>
      </c>
      <c r="F97" s="16" t="s">
        <v>816</v>
      </c>
      <c r="H97" s="16" t="s">
        <v>471</v>
      </c>
      <c r="I97" s="16">
        <v>5</v>
      </c>
    </row>
    <row r="98" spans="1:21" s="16" customFormat="1">
      <c r="A98" s="26"/>
      <c r="B98" s="16" t="str">
        <f t="shared" si="6"/>
        <v>0x106C</v>
      </c>
      <c r="C98" s="16" t="str">
        <f t="shared" si="8"/>
        <v>0x1070</v>
      </c>
      <c r="D98" s="16">
        <f t="shared" si="7"/>
        <v>4204</v>
      </c>
      <c r="E98" s="16">
        <f t="shared" si="9"/>
        <v>4208</v>
      </c>
      <c r="F98" s="16" t="s">
        <v>817</v>
      </c>
      <c r="H98" s="16" t="s">
        <v>471</v>
      </c>
      <c r="I98" s="16">
        <v>5</v>
      </c>
    </row>
    <row r="99" spans="1:21" s="16" customFormat="1">
      <c r="A99" s="26"/>
      <c r="B99" s="16" t="str">
        <f t="shared" si="6"/>
        <v>0x1071</v>
      </c>
      <c r="C99" s="16" t="str">
        <f t="shared" si="8"/>
        <v>0x1075</v>
      </c>
      <c r="D99" s="16">
        <f t="shared" si="7"/>
        <v>4209</v>
      </c>
      <c r="E99" s="16">
        <f t="shared" si="9"/>
        <v>4213</v>
      </c>
      <c r="F99" s="16" t="s">
        <v>818</v>
      </c>
      <c r="H99" s="16" t="s">
        <v>471</v>
      </c>
      <c r="I99" s="16">
        <v>5</v>
      </c>
    </row>
    <row r="100" spans="1:21" s="16" customFormat="1">
      <c r="A100" s="26"/>
      <c r="B100" s="16" t="str">
        <f t="shared" si="6"/>
        <v>0x1076</v>
      </c>
      <c r="C100" s="16" t="str">
        <f t="shared" si="8"/>
        <v>0x107A</v>
      </c>
      <c r="D100" s="16">
        <f t="shared" si="7"/>
        <v>4214</v>
      </c>
      <c r="E100" s="16">
        <f t="shared" si="9"/>
        <v>4218</v>
      </c>
      <c r="F100" s="16" t="s">
        <v>819</v>
      </c>
      <c r="H100" s="16" t="s">
        <v>471</v>
      </c>
      <c r="I100" s="16">
        <v>5</v>
      </c>
    </row>
    <row r="101" spans="1:21" s="16" customFormat="1">
      <c r="A101" s="26"/>
      <c r="B101" s="16" t="str">
        <f t="shared" si="6"/>
        <v>0x107B</v>
      </c>
      <c r="C101" s="16" t="str">
        <f t="shared" si="8"/>
        <v>0x107F</v>
      </c>
      <c r="D101" s="16">
        <f t="shared" si="7"/>
        <v>4219</v>
      </c>
      <c r="E101" s="16">
        <f t="shared" si="9"/>
        <v>4223</v>
      </c>
      <c r="F101" s="16" t="s">
        <v>820</v>
      </c>
      <c r="H101" s="16" t="s">
        <v>471</v>
      </c>
      <c r="I101" s="16">
        <v>5</v>
      </c>
    </row>
    <row r="102" spans="1:21" s="16" customFormat="1">
      <c r="A102" s="26"/>
      <c r="B102" s="16" t="str">
        <f t="shared" si="6"/>
        <v>0x1080</v>
      </c>
      <c r="C102" s="16" t="str">
        <f t="shared" si="8"/>
        <v>0x1084</v>
      </c>
      <c r="D102" s="16">
        <f t="shared" si="7"/>
        <v>4224</v>
      </c>
      <c r="E102" s="16">
        <f t="shared" si="9"/>
        <v>4228</v>
      </c>
      <c r="F102" s="16" t="s">
        <v>821</v>
      </c>
      <c r="H102" s="16" t="s">
        <v>471</v>
      </c>
      <c r="I102" s="16">
        <v>5</v>
      </c>
    </row>
    <row r="103" spans="1:21" s="16" customFormat="1">
      <c r="A103" s="26"/>
      <c r="B103" s="16" t="str">
        <f t="shared" si="6"/>
        <v>0x1085</v>
      </c>
      <c r="C103" s="16" t="str">
        <f t="shared" si="8"/>
        <v>0x1089</v>
      </c>
      <c r="D103" s="16">
        <f t="shared" si="7"/>
        <v>4229</v>
      </c>
      <c r="E103" s="16">
        <f t="shared" si="9"/>
        <v>4233</v>
      </c>
      <c r="F103" s="16" t="s">
        <v>822</v>
      </c>
      <c r="H103" s="16" t="s">
        <v>471</v>
      </c>
      <c r="I103" s="16">
        <v>5</v>
      </c>
    </row>
    <row r="104" spans="1:21" s="16" customFormat="1">
      <c r="A104" s="26"/>
      <c r="B104" s="16" t="str">
        <f t="shared" si="6"/>
        <v>0x108A</v>
      </c>
      <c r="C104" s="16" t="str">
        <f t="shared" si="8"/>
        <v>0x108E</v>
      </c>
      <c r="D104" s="16">
        <f t="shared" si="7"/>
        <v>4234</v>
      </c>
      <c r="E104" s="16">
        <f t="shared" si="9"/>
        <v>4238</v>
      </c>
      <c r="F104" s="16" t="s">
        <v>823</v>
      </c>
      <c r="H104" s="16" t="s">
        <v>471</v>
      </c>
      <c r="I104" s="16">
        <v>5</v>
      </c>
      <c r="N104" s="121" t="s">
        <v>824</v>
      </c>
      <c r="O104" s="121"/>
      <c r="P104" s="121"/>
      <c r="Q104" s="121"/>
      <c r="R104" s="121"/>
      <c r="S104" s="121"/>
      <c r="T104" s="121"/>
      <c r="U104" s="121"/>
    </row>
    <row r="105" spans="1:21" s="16" customFormat="1">
      <c r="A105" s="26"/>
      <c r="B105" s="16" t="str">
        <f t="shared" si="6"/>
        <v>0x108F</v>
      </c>
      <c r="C105" s="16" t="str">
        <f t="shared" si="8"/>
        <v>0x1093</v>
      </c>
      <c r="D105" s="16">
        <f t="shared" si="7"/>
        <v>4239</v>
      </c>
      <c r="E105" s="16">
        <f t="shared" si="9"/>
        <v>4243</v>
      </c>
      <c r="F105" s="16" t="s">
        <v>825</v>
      </c>
      <c r="H105" s="16" t="s">
        <v>471</v>
      </c>
      <c r="I105" s="16">
        <v>5</v>
      </c>
    </row>
    <row r="106" spans="1:21" s="16" customFormat="1">
      <c r="A106" s="26"/>
      <c r="B106" s="16" t="str">
        <f t="shared" si="6"/>
        <v>0x1094</v>
      </c>
      <c r="C106" s="16" t="str">
        <f t="shared" si="8"/>
        <v>0x1098</v>
      </c>
      <c r="D106" s="16">
        <f t="shared" si="7"/>
        <v>4244</v>
      </c>
      <c r="E106" s="16">
        <f t="shared" si="9"/>
        <v>4248</v>
      </c>
      <c r="F106" s="16" t="s">
        <v>826</v>
      </c>
      <c r="H106" s="16" t="s">
        <v>471</v>
      </c>
      <c r="I106" s="16">
        <v>5</v>
      </c>
    </row>
    <row r="107" spans="1:21" s="16" customFormat="1">
      <c r="A107" s="26"/>
      <c r="B107" s="16" t="str">
        <f t="shared" si="6"/>
        <v>0x1099</v>
      </c>
      <c r="C107" s="16" t="str">
        <f t="shared" si="8"/>
        <v>0x109D</v>
      </c>
      <c r="D107" s="16">
        <f t="shared" si="7"/>
        <v>4249</v>
      </c>
      <c r="E107" s="16">
        <f t="shared" si="9"/>
        <v>4253</v>
      </c>
      <c r="F107" s="16" t="s">
        <v>827</v>
      </c>
      <c r="H107" s="16" t="s">
        <v>471</v>
      </c>
      <c r="I107" s="16">
        <v>5</v>
      </c>
    </row>
    <row r="108" spans="1:21" s="16" customFormat="1">
      <c r="A108" s="26"/>
      <c r="I108" s="16">
        <f>SUM(I80:I107)</f>
        <v>88</v>
      </c>
    </row>
    <row r="109" spans="1:21" s="16" customFormat="1">
      <c r="A109" s="26"/>
    </row>
    <row r="110" spans="1:21" s="16" customFormat="1">
      <c r="A110" s="26" t="s">
        <v>828</v>
      </c>
    </row>
    <row r="111" spans="1:21" s="16" customFormat="1">
      <c r="A111" s="26" t="s">
        <v>829</v>
      </c>
    </row>
    <row r="112" spans="1:21" s="16" customFormat="1" ht="25.5">
      <c r="A112" s="26"/>
      <c r="B112" s="16" t="str">
        <f>"0x"&amp;DEC2HEX(D112,4)</f>
        <v>0x109E</v>
      </c>
      <c r="D112" s="16">
        <v>4254</v>
      </c>
      <c r="F112" s="16" t="s">
        <v>830</v>
      </c>
      <c r="G112" s="16" t="s">
        <v>474</v>
      </c>
      <c r="H112" s="16" t="s">
        <v>471</v>
      </c>
      <c r="I112" s="16">
        <v>1</v>
      </c>
      <c r="J112" s="23" t="s">
        <v>831</v>
      </c>
    </row>
    <row r="113" spans="1:10" s="16" customFormat="1">
      <c r="A113" s="26"/>
      <c r="B113" s="16" t="str">
        <f>"0x"&amp;DEC2HEX(D113,4)</f>
        <v>0x109F</v>
      </c>
      <c r="D113" s="16">
        <v>4255</v>
      </c>
      <c r="F113" s="1" t="s">
        <v>832</v>
      </c>
      <c r="G113" s="16" t="s">
        <v>474</v>
      </c>
      <c r="H113" s="16" t="s">
        <v>471</v>
      </c>
      <c r="I113" s="16">
        <v>1</v>
      </c>
      <c r="J113" s="18" t="s">
        <v>833</v>
      </c>
    </row>
    <row r="114" spans="1:10" s="16" customFormat="1">
      <c r="A114" s="26"/>
      <c r="B114" s="16" t="str">
        <f>"0x"&amp;DEC2HEX(D114,4)</f>
        <v>0x10A0</v>
      </c>
      <c r="D114" s="16">
        <v>4256</v>
      </c>
      <c r="F114" s="1" t="s">
        <v>834</v>
      </c>
      <c r="G114" s="16" t="s">
        <v>474</v>
      </c>
      <c r="H114" s="16" t="s">
        <v>471</v>
      </c>
      <c r="I114" s="16">
        <v>1</v>
      </c>
      <c r="J114" s="16" t="s">
        <v>3239</v>
      </c>
    </row>
    <row r="115" spans="1:10" s="16" customFormat="1">
      <c r="A115" s="26"/>
      <c r="B115" s="16" t="str">
        <f>"0x"&amp;DEC2HEX(D115,4)</f>
        <v>0x10A1</v>
      </c>
      <c r="D115" s="16">
        <v>4257</v>
      </c>
      <c r="F115" s="1" t="s">
        <v>836</v>
      </c>
      <c r="G115" s="16" t="s">
        <v>474</v>
      </c>
      <c r="H115" s="16" t="s">
        <v>471</v>
      </c>
      <c r="I115" s="16">
        <v>1</v>
      </c>
      <c r="J115" s="16" t="s">
        <v>837</v>
      </c>
    </row>
    <row r="116" spans="1:10" s="16" customFormat="1">
      <c r="A116" s="26"/>
      <c r="B116" s="16" t="str">
        <f>"0x"&amp;DEC2HEX(D116,4)</f>
        <v>0x10A2</v>
      </c>
      <c r="D116" s="16">
        <v>4258</v>
      </c>
      <c r="F116" s="1" t="s">
        <v>838</v>
      </c>
      <c r="G116" s="16" t="s">
        <v>474</v>
      </c>
      <c r="H116" s="16" t="s">
        <v>471</v>
      </c>
      <c r="I116" s="16">
        <v>1</v>
      </c>
      <c r="J116" s="18" t="s">
        <v>839</v>
      </c>
    </row>
    <row r="117" spans="1:10" s="16" customFormat="1">
      <c r="A117" s="26"/>
    </row>
    <row r="118" spans="1:10" s="16" customFormat="1">
      <c r="A118" s="26" t="s">
        <v>840</v>
      </c>
    </row>
    <row r="119" spans="1:10" s="16" customFormat="1" ht="25.5">
      <c r="A119" s="26"/>
      <c r="B119" s="16" t="str">
        <f t="shared" ref="B119:B125" si="10">"0x"&amp;DEC2HEX(D119,4)</f>
        <v>0x10A3</v>
      </c>
      <c r="D119" s="16">
        <v>4259</v>
      </c>
      <c r="F119" s="1" t="s">
        <v>841</v>
      </c>
      <c r="G119" s="16" t="s">
        <v>474</v>
      </c>
      <c r="H119" s="16" t="s">
        <v>471</v>
      </c>
      <c r="J119" s="1" t="s">
        <v>842</v>
      </c>
    </row>
    <row r="120" spans="1:10" s="16" customFormat="1">
      <c r="A120" s="26"/>
      <c r="B120" s="16" t="str">
        <f t="shared" si="10"/>
        <v>0x10A4</v>
      </c>
      <c r="D120" s="16">
        <v>4260</v>
      </c>
      <c r="F120" s="1" t="s">
        <v>832</v>
      </c>
      <c r="G120" s="16" t="s">
        <v>474</v>
      </c>
      <c r="H120" s="16" t="s">
        <v>471</v>
      </c>
      <c r="J120" s="1" t="s">
        <v>843</v>
      </c>
    </row>
    <row r="121" spans="1:10" s="16" customFormat="1" ht="25.5">
      <c r="A121" s="26"/>
      <c r="B121" s="16" t="str">
        <f t="shared" si="10"/>
        <v>0x10A5</v>
      </c>
      <c r="D121" s="16">
        <v>4261</v>
      </c>
      <c r="F121" s="1" t="s">
        <v>844</v>
      </c>
      <c r="G121" s="16" t="s">
        <v>474</v>
      </c>
      <c r="H121" s="16" t="s">
        <v>471</v>
      </c>
      <c r="J121" s="19" t="s">
        <v>3238</v>
      </c>
    </row>
    <row r="122" spans="1:10" s="16" customFormat="1">
      <c r="A122" s="26"/>
      <c r="B122" s="16" t="str">
        <f t="shared" si="10"/>
        <v>0x10A6</v>
      </c>
      <c r="D122" s="16">
        <v>4262</v>
      </c>
      <c r="F122" s="1" t="s">
        <v>845</v>
      </c>
      <c r="G122" s="16" t="s">
        <v>474</v>
      </c>
      <c r="H122" s="16" t="s">
        <v>471</v>
      </c>
      <c r="J122" s="20" t="s">
        <v>846</v>
      </c>
    </row>
    <row r="123" spans="1:10" s="16" customFormat="1" ht="63.75">
      <c r="A123" s="26"/>
      <c r="B123" s="16" t="str">
        <f t="shared" si="10"/>
        <v>0x10A7</v>
      </c>
      <c r="D123" s="16">
        <v>4263</v>
      </c>
      <c r="F123" s="1" t="s">
        <v>847</v>
      </c>
      <c r="G123" s="16" t="s">
        <v>474</v>
      </c>
      <c r="H123" s="16" t="s">
        <v>471</v>
      </c>
      <c r="J123" s="20" t="s">
        <v>848</v>
      </c>
    </row>
    <row r="124" spans="1:10" s="16" customFormat="1" ht="63.75">
      <c r="A124" s="26"/>
      <c r="B124" s="16" t="str">
        <f t="shared" si="10"/>
        <v>0x10A8</v>
      </c>
      <c r="D124" s="16">
        <v>4264</v>
      </c>
      <c r="F124" s="1" t="s">
        <v>849</v>
      </c>
      <c r="G124" s="16" t="s">
        <v>474</v>
      </c>
      <c r="H124" s="16" t="s">
        <v>471</v>
      </c>
      <c r="J124" s="20" t="s">
        <v>848</v>
      </c>
    </row>
    <row r="125" spans="1:10" s="16" customFormat="1" ht="51">
      <c r="A125" s="26"/>
      <c r="B125" s="16" t="str">
        <f t="shared" si="10"/>
        <v>0x10A9</v>
      </c>
      <c r="D125" s="16">
        <v>4265</v>
      </c>
      <c r="F125" s="1" t="s">
        <v>850</v>
      </c>
      <c r="G125" s="16" t="s">
        <v>474</v>
      </c>
      <c r="H125" s="16" t="s">
        <v>471</v>
      </c>
      <c r="J125" s="1" t="s">
        <v>851</v>
      </c>
    </row>
    <row r="126" spans="1:10" s="16" customFormat="1">
      <c r="A126" s="26"/>
    </row>
    <row r="127" spans="1:10" s="16" customFormat="1">
      <c r="A127" s="26" t="s">
        <v>852</v>
      </c>
    </row>
    <row r="128" spans="1:10" s="16" customFormat="1" ht="25.5">
      <c r="A128" s="26"/>
      <c r="B128" s="16" t="str">
        <f t="shared" ref="B128:B133" si="11">"0x"&amp;DEC2HEX(D128,4)</f>
        <v>0x10AA</v>
      </c>
      <c r="D128" s="16">
        <v>4266</v>
      </c>
      <c r="F128" s="1" t="s">
        <v>853</v>
      </c>
      <c r="G128" s="16" t="s">
        <v>474</v>
      </c>
      <c r="H128" s="16" t="s">
        <v>471</v>
      </c>
      <c r="J128" s="1" t="s">
        <v>854</v>
      </c>
    </row>
    <row r="129" spans="1:12" s="16" customFormat="1">
      <c r="A129" s="26"/>
      <c r="B129" s="16" t="str">
        <f t="shared" si="11"/>
        <v>0x10AB</v>
      </c>
      <c r="D129" s="16">
        <v>4267</v>
      </c>
      <c r="F129" s="1" t="s">
        <v>832</v>
      </c>
      <c r="G129" s="16" t="s">
        <v>474</v>
      </c>
      <c r="H129" s="16" t="s">
        <v>471</v>
      </c>
      <c r="J129" s="1" t="s">
        <v>843</v>
      </c>
    </row>
    <row r="130" spans="1:12" s="16" customFormat="1">
      <c r="A130" s="26"/>
      <c r="B130" s="16" t="str">
        <f t="shared" si="11"/>
        <v>0x10AC</v>
      </c>
      <c r="D130" s="16">
        <v>4268</v>
      </c>
      <c r="F130" s="1" t="s">
        <v>834</v>
      </c>
      <c r="G130" s="16" t="s">
        <v>474</v>
      </c>
      <c r="H130" s="16" t="s">
        <v>471</v>
      </c>
      <c r="J130" s="16" t="s">
        <v>835</v>
      </c>
    </row>
    <row r="131" spans="1:12" s="16" customFormat="1">
      <c r="A131" s="26"/>
      <c r="B131" s="16" t="str">
        <f t="shared" si="11"/>
        <v>0x10AD</v>
      </c>
      <c r="D131" s="16">
        <v>4269</v>
      </c>
      <c r="F131" s="1" t="s">
        <v>836</v>
      </c>
      <c r="G131" s="16" t="s">
        <v>474</v>
      </c>
      <c r="H131" s="16" t="s">
        <v>471</v>
      </c>
      <c r="J131" s="16" t="s">
        <v>837</v>
      </c>
    </row>
    <row r="132" spans="1:12" s="16" customFormat="1">
      <c r="A132" s="26"/>
      <c r="B132" s="16" t="str">
        <f t="shared" si="11"/>
        <v>0x10AE</v>
      </c>
      <c r="D132" s="16">
        <v>4270</v>
      </c>
      <c r="F132" s="1" t="s">
        <v>838</v>
      </c>
      <c r="G132" s="16" t="s">
        <v>474</v>
      </c>
      <c r="H132" s="16" t="s">
        <v>471</v>
      </c>
      <c r="J132" s="18" t="s">
        <v>839</v>
      </c>
    </row>
    <row r="133" spans="1:12" s="16" customFormat="1" ht="51">
      <c r="A133" s="26"/>
      <c r="B133" s="16" t="str">
        <f t="shared" si="11"/>
        <v>0x10AF</v>
      </c>
      <c r="D133" s="16">
        <v>4271</v>
      </c>
      <c r="F133" s="1" t="s">
        <v>855</v>
      </c>
      <c r="G133" s="16" t="s">
        <v>474</v>
      </c>
      <c r="H133" s="16" t="s">
        <v>471</v>
      </c>
      <c r="J133" s="1" t="s">
        <v>851</v>
      </c>
    </row>
    <row r="134" spans="1:12" s="16" customFormat="1">
      <c r="A134" s="26"/>
    </row>
    <row r="135" spans="1:12" s="16" customFormat="1">
      <c r="A135" s="26" t="s">
        <v>856</v>
      </c>
      <c r="L135" s="16" t="s">
        <v>857</v>
      </c>
    </row>
    <row r="136" spans="1:12" s="16" customFormat="1" ht="25.5">
      <c r="A136" s="26"/>
      <c r="B136" s="16" t="str">
        <f>"0x"&amp;DEC2HEX(D136,4)</f>
        <v>0x10B0</v>
      </c>
      <c r="D136" s="16">
        <v>4272</v>
      </c>
      <c r="F136" s="1" t="s">
        <v>858</v>
      </c>
      <c r="G136" s="16" t="s">
        <v>474</v>
      </c>
      <c r="H136" s="16" t="s">
        <v>471</v>
      </c>
      <c r="I136" s="16">
        <v>1</v>
      </c>
      <c r="J136" s="1" t="s">
        <v>859</v>
      </c>
    </row>
    <row r="137" spans="1:12" s="16" customFormat="1">
      <c r="A137" s="26"/>
      <c r="B137" s="16" t="str">
        <f>"0x"&amp;DEC2HEX(D137,4)</f>
        <v>0x10B1</v>
      </c>
      <c r="D137" s="16">
        <v>4273</v>
      </c>
      <c r="F137" s="1" t="s">
        <v>832</v>
      </c>
      <c r="G137" s="16" t="s">
        <v>474</v>
      </c>
      <c r="H137" s="16" t="s">
        <v>471</v>
      </c>
      <c r="I137" s="16">
        <v>1</v>
      </c>
      <c r="J137" s="1" t="s">
        <v>843</v>
      </c>
    </row>
    <row r="138" spans="1:12" s="16" customFormat="1">
      <c r="A138" s="26"/>
      <c r="B138" s="16" t="str">
        <f>"0x"&amp;DEC2HEX(D138,4)</f>
        <v>0x10B2</v>
      </c>
      <c r="D138" s="16">
        <v>4274</v>
      </c>
      <c r="F138" s="1" t="s">
        <v>834</v>
      </c>
      <c r="G138" s="16" t="s">
        <v>474</v>
      </c>
      <c r="H138" s="16" t="s">
        <v>471</v>
      </c>
      <c r="I138" s="16">
        <v>1</v>
      </c>
      <c r="J138" s="16" t="s">
        <v>3239</v>
      </c>
    </row>
    <row r="139" spans="1:12" s="16" customFormat="1">
      <c r="A139" s="26"/>
      <c r="B139" s="16" t="str">
        <f>"0x"&amp;DEC2HEX(D139,4)</f>
        <v>0x10B3</v>
      </c>
      <c r="D139" s="16">
        <v>4275</v>
      </c>
      <c r="F139" s="1" t="s">
        <v>836</v>
      </c>
      <c r="G139" s="16" t="s">
        <v>474</v>
      </c>
      <c r="H139" s="16" t="s">
        <v>471</v>
      </c>
      <c r="I139" s="16">
        <v>1</v>
      </c>
      <c r="J139" s="16" t="s">
        <v>837</v>
      </c>
    </row>
    <row r="140" spans="1:12" s="16" customFormat="1">
      <c r="A140" s="26"/>
      <c r="B140" s="16" t="str">
        <f>"0x"&amp;DEC2HEX(D140,4)</f>
        <v>0x10B4</v>
      </c>
      <c r="D140" s="16">
        <v>4276</v>
      </c>
      <c r="F140" s="1" t="s">
        <v>860</v>
      </c>
      <c r="G140" s="16" t="s">
        <v>474</v>
      </c>
      <c r="H140" s="16" t="s">
        <v>471</v>
      </c>
      <c r="I140" s="16">
        <v>1</v>
      </c>
      <c r="J140" s="18" t="s">
        <v>839</v>
      </c>
    </row>
    <row r="141" spans="1:12" s="16" customFormat="1">
      <c r="A141" s="26"/>
    </row>
    <row r="142" spans="1:12" s="16" customFormat="1">
      <c r="A142" s="26" t="s">
        <v>861</v>
      </c>
      <c r="L142" s="16" t="s">
        <v>862</v>
      </c>
    </row>
    <row r="143" spans="1:12" s="16" customFormat="1" ht="25.5">
      <c r="A143" s="26"/>
      <c r="B143" s="16" t="str">
        <f t="shared" ref="B143:B149" si="12">"0x"&amp;DEC2HEX(D143,4)</f>
        <v>0x10B5</v>
      </c>
      <c r="D143" s="16">
        <v>4277</v>
      </c>
      <c r="F143" s="1" t="s">
        <v>863</v>
      </c>
      <c r="G143" s="16" t="s">
        <v>474</v>
      </c>
      <c r="H143" s="16" t="s">
        <v>471</v>
      </c>
      <c r="J143" s="1" t="s">
        <v>864</v>
      </c>
    </row>
    <row r="144" spans="1:12" s="16" customFormat="1">
      <c r="A144" s="26"/>
      <c r="B144" s="16" t="str">
        <f t="shared" si="12"/>
        <v>0x10B6</v>
      </c>
      <c r="D144" s="16">
        <v>4278</v>
      </c>
      <c r="F144" s="1" t="s">
        <v>832</v>
      </c>
      <c r="G144" s="16" t="s">
        <v>474</v>
      </c>
      <c r="H144" s="16" t="s">
        <v>471</v>
      </c>
      <c r="J144" s="1" t="s">
        <v>843</v>
      </c>
    </row>
    <row r="145" spans="1:12" s="16" customFormat="1" ht="25.5">
      <c r="A145" s="26"/>
      <c r="B145" s="16" t="str">
        <f t="shared" si="12"/>
        <v>0x10B7</v>
      </c>
      <c r="D145" s="16">
        <v>4279</v>
      </c>
      <c r="F145" s="1" t="s">
        <v>844</v>
      </c>
      <c r="G145" s="16" t="s">
        <v>474</v>
      </c>
      <c r="H145" s="16" t="s">
        <v>471</v>
      </c>
      <c r="J145" s="19" t="s">
        <v>3238</v>
      </c>
    </row>
    <row r="146" spans="1:12" s="16" customFormat="1">
      <c r="A146" s="26"/>
      <c r="B146" s="16" t="str">
        <f t="shared" si="12"/>
        <v>0x10B8</v>
      </c>
      <c r="D146" s="16">
        <v>4280</v>
      </c>
      <c r="F146" s="1" t="s">
        <v>845</v>
      </c>
      <c r="G146" s="16" t="s">
        <v>474</v>
      </c>
      <c r="H146" s="16" t="s">
        <v>471</v>
      </c>
      <c r="J146" s="20" t="s">
        <v>846</v>
      </c>
    </row>
    <row r="147" spans="1:12" s="16" customFormat="1" ht="63.75">
      <c r="A147" s="26"/>
      <c r="B147" s="16" t="str">
        <f t="shared" si="12"/>
        <v>0x10B9</v>
      </c>
      <c r="D147" s="16">
        <v>4281</v>
      </c>
      <c r="F147" s="1" t="s">
        <v>865</v>
      </c>
      <c r="G147" s="16" t="s">
        <v>474</v>
      </c>
      <c r="H147" s="16" t="s">
        <v>471</v>
      </c>
      <c r="J147" s="20" t="s">
        <v>848</v>
      </c>
    </row>
    <row r="148" spans="1:12" s="16" customFormat="1" ht="63.75">
      <c r="A148" s="26"/>
      <c r="B148" s="16" t="str">
        <f t="shared" si="12"/>
        <v>0x10BA</v>
      </c>
      <c r="D148" s="16">
        <v>4282</v>
      </c>
      <c r="F148" s="1" t="s">
        <v>866</v>
      </c>
      <c r="G148" s="16" t="s">
        <v>474</v>
      </c>
      <c r="H148" s="16" t="s">
        <v>471</v>
      </c>
      <c r="J148" s="20" t="s">
        <v>848</v>
      </c>
    </row>
    <row r="149" spans="1:12" s="16" customFormat="1" ht="51">
      <c r="A149" s="26"/>
      <c r="B149" s="16" t="str">
        <f t="shared" si="12"/>
        <v>0x10BB</v>
      </c>
      <c r="D149" s="16">
        <v>4283</v>
      </c>
      <c r="F149" s="1" t="s">
        <v>850</v>
      </c>
      <c r="G149" s="16" t="s">
        <v>474</v>
      </c>
      <c r="H149" s="16" t="s">
        <v>471</v>
      </c>
      <c r="J149" s="1" t="s">
        <v>851</v>
      </c>
    </row>
    <row r="150" spans="1:12" s="16" customFormat="1">
      <c r="A150" s="26"/>
    </row>
    <row r="151" spans="1:12" s="16" customFormat="1">
      <c r="A151" s="26" t="s">
        <v>867</v>
      </c>
      <c r="L151" s="16" t="s">
        <v>868</v>
      </c>
    </row>
    <row r="152" spans="1:12" s="16" customFormat="1" ht="25.5">
      <c r="A152" s="26"/>
      <c r="B152" s="16" t="str">
        <f t="shared" ref="B152:B157" si="13">"0x"&amp;DEC2HEX(D152,4)</f>
        <v>0x10BC</v>
      </c>
      <c r="D152" s="16">
        <v>4284</v>
      </c>
      <c r="F152" s="1" t="s">
        <v>869</v>
      </c>
      <c r="G152" s="16" t="s">
        <v>474</v>
      </c>
      <c r="H152" s="16" t="s">
        <v>471</v>
      </c>
      <c r="J152" s="1" t="s">
        <v>870</v>
      </c>
    </row>
    <row r="153" spans="1:12" s="16" customFormat="1">
      <c r="A153" s="26"/>
      <c r="B153" s="16" t="str">
        <f t="shared" si="13"/>
        <v>0x10BD</v>
      </c>
      <c r="D153" s="16">
        <v>4285</v>
      </c>
      <c r="F153" s="1" t="s">
        <v>832</v>
      </c>
      <c r="G153" s="16" t="s">
        <v>474</v>
      </c>
      <c r="H153" s="16" t="s">
        <v>471</v>
      </c>
      <c r="J153" s="1" t="s">
        <v>843</v>
      </c>
    </row>
    <row r="154" spans="1:12" s="16" customFormat="1">
      <c r="A154" s="26"/>
      <c r="B154" s="16" t="str">
        <f t="shared" si="13"/>
        <v>0x10BE</v>
      </c>
      <c r="D154" s="16">
        <v>4286</v>
      </c>
      <c r="F154" s="1" t="s">
        <v>834</v>
      </c>
      <c r="G154" s="16" t="s">
        <v>474</v>
      </c>
      <c r="H154" s="16" t="s">
        <v>471</v>
      </c>
      <c r="J154" s="16" t="s">
        <v>3239</v>
      </c>
    </row>
    <row r="155" spans="1:12" s="16" customFormat="1">
      <c r="A155" s="26"/>
      <c r="B155" s="16" t="str">
        <f t="shared" si="13"/>
        <v>0x10BF</v>
      </c>
      <c r="D155" s="16">
        <v>4287</v>
      </c>
      <c r="F155" s="1" t="s">
        <v>836</v>
      </c>
      <c r="G155" s="16" t="s">
        <v>474</v>
      </c>
      <c r="H155" s="16" t="s">
        <v>471</v>
      </c>
      <c r="J155" s="16" t="s">
        <v>837</v>
      </c>
    </row>
    <row r="156" spans="1:12" s="16" customFormat="1">
      <c r="A156" s="26"/>
      <c r="B156" s="16" t="str">
        <f t="shared" si="13"/>
        <v>0x10C0</v>
      </c>
      <c r="D156" s="16">
        <v>4288</v>
      </c>
      <c r="F156" s="1" t="s">
        <v>860</v>
      </c>
      <c r="G156" s="16" t="s">
        <v>474</v>
      </c>
      <c r="H156" s="16" t="s">
        <v>471</v>
      </c>
      <c r="J156" s="18" t="s">
        <v>839</v>
      </c>
    </row>
    <row r="157" spans="1:12" s="16" customFormat="1" ht="51">
      <c r="A157" s="26"/>
      <c r="B157" s="16" t="str">
        <f t="shared" si="13"/>
        <v>0x10C1</v>
      </c>
      <c r="D157" s="16">
        <v>4289</v>
      </c>
      <c r="F157" s="1" t="s">
        <v>855</v>
      </c>
      <c r="G157" s="16" t="s">
        <v>474</v>
      </c>
      <c r="H157" s="16" t="s">
        <v>471</v>
      </c>
      <c r="J157" s="1" t="s">
        <v>851</v>
      </c>
    </row>
    <row r="158" spans="1:12" s="16" customFormat="1">
      <c r="A158" s="26"/>
    </row>
    <row r="159" spans="1:12" s="16" customFormat="1">
      <c r="A159" s="26" t="s">
        <v>871</v>
      </c>
      <c r="B159" s="121"/>
      <c r="C159" s="121"/>
      <c r="D159" s="121"/>
      <c r="E159" s="121"/>
      <c r="F159" s="121"/>
      <c r="G159" s="121"/>
      <c r="H159" s="121"/>
      <c r="I159" s="121"/>
      <c r="J159" s="121"/>
      <c r="K159" s="121"/>
      <c r="L159" s="121"/>
    </row>
    <row r="160" spans="1:12" s="16" customFormat="1">
      <c r="A160" s="26"/>
      <c r="B160" s="16" t="str">
        <f t="shared" ref="B160:C164" si="14">"0x"&amp;DEC2HEX(D160,4)</f>
        <v>0x10C2</v>
      </c>
      <c r="C160" s="16" t="str">
        <f t="shared" si="14"/>
        <v>0x10C2</v>
      </c>
      <c r="D160" s="16">
        <v>4290</v>
      </c>
      <c r="E160" s="16">
        <f>D160+I160-1</f>
        <v>4290</v>
      </c>
      <c r="F160" s="1" t="s">
        <v>872</v>
      </c>
      <c r="G160" s="16" t="s">
        <v>639</v>
      </c>
      <c r="H160" s="16" t="s">
        <v>471</v>
      </c>
      <c r="I160" s="16">
        <v>1</v>
      </c>
      <c r="J160" s="116" t="s">
        <v>873</v>
      </c>
      <c r="K160" s="16">
        <v>0</v>
      </c>
      <c r="L160" s="16">
        <v>0</v>
      </c>
    </row>
    <row r="161" spans="1:12" s="16" customFormat="1">
      <c r="A161" s="26"/>
      <c r="B161" s="16" t="str">
        <f t="shared" si="14"/>
        <v>0x10C3</v>
      </c>
      <c r="C161" s="16" t="str">
        <f t="shared" si="14"/>
        <v>0x10C3</v>
      </c>
      <c r="D161" s="16">
        <f>D160+I160</f>
        <v>4291</v>
      </c>
      <c r="E161" s="16">
        <f>D161+I161-1</f>
        <v>4291</v>
      </c>
      <c r="F161" s="1" t="s">
        <v>874</v>
      </c>
      <c r="G161" s="16" t="s">
        <v>639</v>
      </c>
      <c r="H161" s="16" t="s">
        <v>471</v>
      </c>
      <c r="I161" s="16">
        <v>1</v>
      </c>
      <c r="J161" s="121"/>
      <c r="K161" s="16">
        <v>0</v>
      </c>
      <c r="L161" s="16">
        <v>0</v>
      </c>
    </row>
    <row r="162" spans="1:12" s="16" customFormat="1">
      <c r="A162" s="26"/>
      <c r="B162" s="16" t="str">
        <f t="shared" si="14"/>
        <v>0x10C4</v>
      </c>
      <c r="C162" s="16" t="str">
        <f t="shared" si="14"/>
        <v>0x10C4</v>
      </c>
      <c r="D162" s="16">
        <f>D161+I161</f>
        <v>4292</v>
      </c>
      <c r="E162" s="16">
        <f>D162+I162-1</f>
        <v>4292</v>
      </c>
      <c r="F162" s="1" t="s">
        <v>875</v>
      </c>
      <c r="G162" s="16" t="s">
        <v>639</v>
      </c>
      <c r="H162" s="16" t="s">
        <v>471</v>
      </c>
      <c r="I162" s="16">
        <v>1</v>
      </c>
      <c r="J162" s="121"/>
      <c r="K162" s="16">
        <v>0</v>
      </c>
      <c r="L162" s="16">
        <v>0</v>
      </c>
    </row>
    <row r="163" spans="1:12" s="16" customFormat="1" ht="38.1" customHeight="1">
      <c r="A163" s="26"/>
      <c r="B163" s="16" t="str">
        <f t="shared" si="14"/>
        <v>0x10C5</v>
      </c>
      <c r="C163" s="16" t="str">
        <f t="shared" si="14"/>
        <v>0x10C5</v>
      </c>
      <c r="D163" s="16">
        <f>D162+I162</f>
        <v>4293</v>
      </c>
      <c r="E163" s="16">
        <f>D163+I163-1</f>
        <v>4293</v>
      </c>
      <c r="F163" s="1" t="s">
        <v>876</v>
      </c>
      <c r="G163" s="16" t="s">
        <v>639</v>
      </c>
      <c r="H163" s="16" t="s">
        <v>471</v>
      </c>
      <c r="I163" s="16">
        <v>1</v>
      </c>
      <c r="J163" s="121"/>
      <c r="K163" s="16">
        <v>0</v>
      </c>
      <c r="L163" s="16">
        <v>0</v>
      </c>
    </row>
    <row r="164" spans="1:12" s="21" customFormat="1">
      <c r="A164" s="49"/>
      <c r="B164" s="21" t="str">
        <f t="shared" si="14"/>
        <v>0x10C6</v>
      </c>
      <c r="C164" s="21" t="str">
        <f t="shared" si="14"/>
        <v>0x10C8</v>
      </c>
      <c r="D164" s="21">
        <f>D163+I163</f>
        <v>4294</v>
      </c>
      <c r="E164" s="21">
        <f>D164+I164-1</f>
        <v>4296</v>
      </c>
      <c r="F164" s="21" t="s">
        <v>877</v>
      </c>
      <c r="I164" s="21">
        <v>3</v>
      </c>
    </row>
    <row r="165" spans="1:12" s="16" customFormat="1">
      <c r="A165" s="26"/>
    </row>
    <row r="166" spans="1:12" s="16" customFormat="1">
      <c r="A166" s="26"/>
      <c r="B166" s="16" t="str">
        <f t="shared" ref="B166:B177" si="15">"0x"&amp;DEC2HEX(D166,4)</f>
        <v>0x10D0</v>
      </c>
      <c r="D166" s="16">
        <v>4304</v>
      </c>
      <c r="F166" s="1" t="s">
        <v>878</v>
      </c>
      <c r="G166" s="16" t="s">
        <v>802</v>
      </c>
      <c r="H166" s="16" t="s">
        <v>471</v>
      </c>
      <c r="I166" s="16">
        <v>1</v>
      </c>
      <c r="J166" s="2" t="s">
        <v>879</v>
      </c>
    </row>
    <row r="167" spans="1:12" s="16" customFormat="1">
      <c r="A167" s="26"/>
      <c r="B167" s="16" t="str">
        <f t="shared" si="15"/>
        <v>0x10D1</v>
      </c>
      <c r="D167" s="16">
        <f t="shared" ref="D167:D177" si="16">D166+I166</f>
        <v>4305</v>
      </c>
      <c r="F167" s="1" t="s">
        <v>880</v>
      </c>
      <c r="G167" s="16" t="s">
        <v>802</v>
      </c>
      <c r="H167" s="16" t="s">
        <v>471</v>
      </c>
      <c r="I167" s="16">
        <v>1</v>
      </c>
      <c r="J167" s="1"/>
    </row>
    <row r="168" spans="1:12" s="16" customFormat="1">
      <c r="A168" s="26"/>
      <c r="B168" s="16" t="str">
        <f t="shared" si="15"/>
        <v>0x10D2</v>
      </c>
      <c r="D168" s="16">
        <f t="shared" si="16"/>
        <v>4306</v>
      </c>
      <c r="F168" s="1" t="s">
        <v>881</v>
      </c>
      <c r="G168" s="16" t="s">
        <v>802</v>
      </c>
      <c r="H168" s="16" t="s">
        <v>471</v>
      </c>
      <c r="I168" s="16">
        <v>1</v>
      </c>
    </row>
    <row r="169" spans="1:12" s="16" customFormat="1">
      <c r="A169" s="26"/>
      <c r="B169" s="16" t="str">
        <f t="shared" si="15"/>
        <v>0x10D3</v>
      </c>
      <c r="D169" s="16">
        <f t="shared" si="16"/>
        <v>4307</v>
      </c>
      <c r="F169" s="1" t="s">
        <v>882</v>
      </c>
      <c r="G169" s="16" t="s">
        <v>883</v>
      </c>
      <c r="H169" s="16" t="s">
        <v>471</v>
      </c>
      <c r="I169" s="16">
        <v>1</v>
      </c>
    </row>
    <row r="170" spans="1:12" s="16" customFormat="1">
      <c r="A170" s="26"/>
      <c r="B170" s="16" t="str">
        <f t="shared" si="15"/>
        <v>0x10D4</v>
      </c>
      <c r="D170" s="16">
        <f t="shared" si="16"/>
        <v>4308</v>
      </c>
      <c r="F170" s="1" t="s">
        <v>884</v>
      </c>
      <c r="G170" s="16" t="s">
        <v>802</v>
      </c>
      <c r="H170" s="16" t="s">
        <v>471</v>
      </c>
      <c r="I170" s="16">
        <v>1</v>
      </c>
    </row>
    <row r="171" spans="1:12" s="16" customFormat="1" ht="25.5">
      <c r="A171" s="26"/>
      <c r="B171" s="16" t="str">
        <f t="shared" si="15"/>
        <v>0x10D5</v>
      </c>
      <c r="D171" s="16">
        <f t="shared" si="16"/>
        <v>4309</v>
      </c>
      <c r="F171" s="1" t="s">
        <v>885</v>
      </c>
      <c r="G171" s="16" t="s">
        <v>802</v>
      </c>
      <c r="H171" s="16" t="s">
        <v>471</v>
      </c>
      <c r="I171" s="16">
        <v>1</v>
      </c>
      <c r="J171" s="20" t="s">
        <v>886</v>
      </c>
    </row>
    <row r="172" spans="1:12" s="16" customFormat="1">
      <c r="A172" s="26"/>
      <c r="B172" s="16" t="str">
        <f t="shared" si="15"/>
        <v>0x10D6</v>
      </c>
      <c r="D172" s="16">
        <f t="shared" si="16"/>
        <v>4310</v>
      </c>
      <c r="F172" s="1" t="s">
        <v>887</v>
      </c>
      <c r="G172" s="16" t="s">
        <v>802</v>
      </c>
      <c r="H172" s="16" t="s">
        <v>471</v>
      </c>
      <c r="I172" s="16">
        <v>1</v>
      </c>
    </row>
    <row r="173" spans="1:12" s="16" customFormat="1">
      <c r="A173" s="26"/>
      <c r="B173" s="16" t="str">
        <f t="shared" si="15"/>
        <v>0x10D7</v>
      </c>
      <c r="D173" s="16">
        <f t="shared" si="16"/>
        <v>4311</v>
      </c>
      <c r="F173" s="1" t="s">
        <v>888</v>
      </c>
      <c r="G173" s="16" t="s">
        <v>802</v>
      </c>
      <c r="H173" s="16" t="s">
        <v>471</v>
      </c>
      <c r="I173" s="16">
        <v>1</v>
      </c>
    </row>
    <row r="174" spans="1:12" s="16" customFormat="1">
      <c r="A174" s="26"/>
      <c r="B174" s="16" t="str">
        <f t="shared" si="15"/>
        <v>0x10D8</v>
      </c>
      <c r="D174" s="16">
        <f t="shared" si="16"/>
        <v>4312</v>
      </c>
      <c r="F174" s="1" t="s">
        <v>889</v>
      </c>
      <c r="G174" s="16" t="s">
        <v>802</v>
      </c>
      <c r="H174" s="16" t="s">
        <v>471</v>
      </c>
      <c r="I174" s="16">
        <v>1</v>
      </c>
    </row>
    <row r="175" spans="1:12" s="16" customFormat="1">
      <c r="A175" s="26"/>
      <c r="B175" s="16" t="str">
        <f t="shared" si="15"/>
        <v>0x10D9</v>
      </c>
      <c r="C175" s="16" t="str">
        <f>"0x"&amp;DEC2HEX(E175,4)</f>
        <v>0x10E1</v>
      </c>
      <c r="D175" s="16">
        <f t="shared" si="16"/>
        <v>4313</v>
      </c>
      <c r="E175" s="16">
        <f>D175+I175-1</f>
        <v>4321</v>
      </c>
      <c r="F175" s="16" t="s">
        <v>890</v>
      </c>
      <c r="G175" s="16" t="s">
        <v>802</v>
      </c>
      <c r="H175" s="16" t="s">
        <v>471</v>
      </c>
      <c r="I175" s="16">
        <v>9</v>
      </c>
    </row>
    <row r="176" spans="1:12" s="16" customFormat="1">
      <c r="A176" s="26"/>
      <c r="B176" s="16" t="str">
        <f t="shared" si="15"/>
        <v>0x10E2</v>
      </c>
      <c r="C176" s="16" t="str">
        <f>"0x"&amp;DEC2HEX(E176,4)</f>
        <v>0x10EA</v>
      </c>
      <c r="D176" s="16">
        <f t="shared" si="16"/>
        <v>4322</v>
      </c>
      <c r="E176" s="16">
        <f>D176+I176-1</f>
        <v>4330</v>
      </c>
      <c r="F176" s="16" t="s">
        <v>891</v>
      </c>
      <c r="G176" s="16" t="s">
        <v>802</v>
      </c>
      <c r="H176" s="16" t="s">
        <v>471</v>
      </c>
      <c r="I176" s="16">
        <v>9</v>
      </c>
    </row>
    <row r="177" spans="1:13" s="16" customFormat="1">
      <c r="A177" s="26"/>
      <c r="B177" s="16" t="str">
        <f t="shared" si="15"/>
        <v>0x10EB</v>
      </c>
      <c r="C177" s="16" t="str">
        <f>"0x"&amp;DEC2HEX(E177,4)</f>
        <v>0x10F3</v>
      </c>
      <c r="D177" s="16">
        <f t="shared" si="16"/>
        <v>4331</v>
      </c>
      <c r="E177" s="16">
        <f>D177+I177-1</f>
        <v>4339</v>
      </c>
      <c r="F177" s="16" t="s">
        <v>892</v>
      </c>
      <c r="G177" s="16" t="s">
        <v>802</v>
      </c>
      <c r="H177" s="16" t="s">
        <v>471</v>
      </c>
      <c r="I177" s="16">
        <v>9</v>
      </c>
    </row>
    <row r="178" spans="1:13" s="16" customFormat="1">
      <c r="A178" s="26"/>
    </row>
    <row r="179" spans="1:13" s="16" customFormat="1">
      <c r="A179" s="26"/>
      <c r="B179" s="16" t="str">
        <f t="shared" ref="B179:B185" si="17">"0x"&amp;DEC2HEX(D179,4)</f>
        <v>0x10F4</v>
      </c>
      <c r="D179" s="16">
        <f>D177+I177</f>
        <v>4340</v>
      </c>
      <c r="F179" s="16" t="s">
        <v>893</v>
      </c>
      <c r="G179" s="16" t="s">
        <v>802</v>
      </c>
      <c r="H179" s="16" t="s">
        <v>471</v>
      </c>
      <c r="I179" s="16">
        <v>1</v>
      </c>
      <c r="J179" s="116" t="s">
        <v>894</v>
      </c>
      <c r="K179" s="16">
        <v>0</v>
      </c>
      <c r="L179" s="16">
        <v>0</v>
      </c>
    </row>
    <row r="180" spans="1:13" s="16" customFormat="1">
      <c r="A180" s="26"/>
      <c r="B180" s="16" t="str">
        <f t="shared" si="17"/>
        <v>0x10F5</v>
      </c>
      <c r="D180" s="16">
        <f t="shared" ref="D180:D185" si="18">D179+I179</f>
        <v>4341</v>
      </c>
      <c r="F180" s="16" t="s">
        <v>895</v>
      </c>
      <c r="G180" s="16" t="s">
        <v>802</v>
      </c>
      <c r="H180" s="16" t="s">
        <v>471</v>
      </c>
      <c r="I180" s="16">
        <v>1</v>
      </c>
      <c r="J180" s="121"/>
      <c r="K180" s="16">
        <v>0</v>
      </c>
      <c r="L180" s="16">
        <v>0</v>
      </c>
    </row>
    <row r="181" spans="1:13" s="16" customFormat="1">
      <c r="A181" s="26"/>
      <c r="B181" s="16" t="str">
        <f t="shared" si="17"/>
        <v>0x10F6</v>
      </c>
      <c r="D181" s="16">
        <f t="shared" si="18"/>
        <v>4342</v>
      </c>
      <c r="F181" s="16" t="s">
        <v>896</v>
      </c>
      <c r="G181" s="16" t="s">
        <v>802</v>
      </c>
      <c r="H181" s="16" t="s">
        <v>471</v>
      </c>
      <c r="I181" s="16">
        <v>1</v>
      </c>
      <c r="J181" s="121"/>
      <c r="K181" s="16">
        <v>0</v>
      </c>
      <c r="L181" s="16">
        <v>0</v>
      </c>
    </row>
    <row r="182" spans="1:13" s="16" customFormat="1" ht="25.5" customHeight="1">
      <c r="A182" s="26"/>
      <c r="B182" s="16" t="str">
        <f t="shared" si="17"/>
        <v>0x10F7</v>
      </c>
      <c r="D182" s="16">
        <f t="shared" si="18"/>
        <v>4343</v>
      </c>
      <c r="F182" s="16" t="s">
        <v>897</v>
      </c>
      <c r="G182" s="16" t="s">
        <v>802</v>
      </c>
      <c r="H182" s="16" t="s">
        <v>471</v>
      </c>
      <c r="I182" s="16">
        <v>1</v>
      </c>
      <c r="J182" s="121"/>
      <c r="K182" s="16">
        <v>0</v>
      </c>
      <c r="L182" s="16">
        <v>0</v>
      </c>
    </row>
    <row r="183" spans="1:13" s="16" customFormat="1" ht="25.5" customHeight="1">
      <c r="A183" s="26" t="s">
        <v>91</v>
      </c>
      <c r="B183" s="16" t="str">
        <f t="shared" si="17"/>
        <v>0x10F8</v>
      </c>
      <c r="D183" s="16">
        <f t="shared" si="18"/>
        <v>4344</v>
      </c>
      <c r="F183" s="16" t="s">
        <v>898</v>
      </c>
      <c r="G183" s="16" t="s">
        <v>802</v>
      </c>
      <c r="H183" s="16" t="s">
        <v>471</v>
      </c>
      <c r="I183" s="16">
        <v>1</v>
      </c>
      <c r="J183" s="16" t="s">
        <v>899</v>
      </c>
      <c r="K183" s="16">
        <v>1</v>
      </c>
      <c r="L183" s="16">
        <v>1</v>
      </c>
    </row>
    <row r="184" spans="1:13" s="16" customFormat="1" ht="25.5" customHeight="1">
      <c r="A184" s="26"/>
      <c r="B184" s="16" t="str">
        <f t="shared" si="17"/>
        <v>0x10F9</v>
      </c>
      <c r="D184" s="16">
        <f t="shared" si="18"/>
        <v>4345</v>
      </c>
      <c r="F184" s="16" t="s">
        <v>900</v>
      </c>
      <c r="G184" s="16" t="s">
        <v>802</v>
      </c>
      <c r="H184" s="16" t="s">
        <v>471</v>
      </c>
      <c r="I184" s="16">
        <v>1</v>
      </c>
      <c r="J184" s="16" t="s">
        <v>901</v>
      </c>
      <c r="K184" s="16">
        <v>4</v>
      </c>
      <c r="L184" s="16">
        <v>4</v>
      </c>
    </row>
    <row r="185" spans="1:13" s="44" customFormat="1" ht="25.5" customHeight="1">
      <c r="A185" s="65" t="s">
        <v>2838</v>
      </c>
      <c r="B185" s="44" t="str">
        <f t="shared" si="17"/>
        <v>0x10FA</v>
      </c>
      <c r="D185" s="44">
        <f t="shared" si="18"/>
        <v>4346</v>
      </c>
      <c r="E185" s="16"/>
      <c r="F185" s="65" t="s">
        <v>2835</v>
      </c>
      <c r="G185" s="16" t="s">
        <v>802</v>
      </c>
      <c r="H185" s="44" t="s">
        <v>471</v>
      </c>
      <c r="I185" s="44">
        <v>1</v>
      </c>
      <c r="J185" s="44" t="s">
        <v>2849</v>
      </c>
      <c r="K185" s="44">
        <v>0</v>
      </c>
    </row>
    <row r="186" spans="1:13" s="44" customFormat="1" ht="25.5" customHeight="1">
      <c r="A186" s="65"/>
      <c r="B186" s="44" t="str">
        <f t="shared" ref="B186:B187" si="19">"0x"&amp;DEC2HEX(D186,4)</f>
        <v>0x10FB</v>
      </c>
      <c r="C186" s="44" t="str">
        <f>"0x"&amp;DEC2HEX(E186,4)</f>
        <v>0x10FC</v>
      </c>
      <c r="D186" s="44">
        <f t="shared" ref="D186:D187" si="20">D185+I185</f>
        <v>4347</v>
      </c>
      <c r="E186" s="44">
        <f>D186+I186-1</f>
        <v>4348</v>
      </c>
      <c r="F186" s="65" t="s">
        <v>2866</v>
      </c>
      <c r="G186" s="44" t="s">
        <v>2837</v>
      </c>
      <c r="H186" s="44" t="s">
        <v>471</v>
      </c>
      <c r="I186" s="44">
        <v>2</v>
      </c>
      <c r="J186" s="44" t="s">
        <v>2850</v>
      </c>
      <c r="K186" s="44">
        <v>1</v>
      </c>
    </row>
    <row r="187" spans="1:13" s="44" customFormat="1" ht="25.5" customHeight="1">
      <c r="A187" s="65"/>
      <c r="B187" s="44" t="str">
        <f t="shared" si="19"/>
        <v>0x10FD</v>
      </c>
      <c r="C187" s="44" t="str">
        <f>"0x"&amp;DEC2HEX(E187,4)</f>
        <v>0x10FE</v>
      </c>
      <c r="D187" s="44">
        <f t="shared" si="20"/>
        <v>4349</v>
      </c>
      <c r="E187" s="44">
        <f>D187+I187-1</f>
        <v>4350</v>
      </c>
      <c r="F187" s="65" t="s">
        <v>2865</v>
      </c>
      <c r="G187" s="44" t="s">
        <v>2837</v>
      </c>
      <c r="H187" s="44" t="s">
        <v>471</v>
      </c>
      <c r="I187" s="44">
        <v>2</v>
      </c>
      <c r="J187" s="44" t="s">
        <v>2850</v>
      </c>
      <c r="K187" s="44">
        <v>1</v>
      </c>
    </row>
    <row r="188" spans="1:13" s="16" customFormat="1">
      <c r="A188" s="1" t="s">
        <v>2840</v>
      </c>
      <c r="B188" s="16" t="s">
        <v>2843</v>
      </c>
      <c r="F188" s="1" t="s">
        <v>2840</v>
      </c>
      <c r="G188" s="1" t="s">
        <v>639</v>
      </c>
      <c r="H188" s="1" t="s">
        <v>471</v>
      </c>
      <c r="I188" s="1">
        <v>1</v>
      </c>
      <c r="J188" s="1" t="s">
        <v>2841</v>
      </c>
      <c r="K188" s="1">
        <v>0</v>
      </c>
      <c r="L188" s="1">
        <v>0</v>
      </c>
      <c r="M188" s="1"/>
    </row>
    <row r="189" spans="1:13" s="16" customFormat="1" ht="25.5" customHeight="1">
      <c r="A189" s="26"/>
    </row>
    <row r="190" spans="1:13" s="16" customFormat="1">
      <c r="A190" s="26" t="s">
        <v>902</v>
      </c>
    </row>
    <row r="191" spans="1:13" s="16" customFormat="1">
      <c r="A191" s="26"/>
      <c r="B191" s="16" t="str">
        <f>"0x"&amp;DEC2HEX(D191,4)</f>
        <v>0x142F</v>
      </c>
      <c r="D191" s="16">
        <v>5167</v>
      </c>
      <c r="F191" s="16" t="s">
        <v>903</v>
      </c>
      <c r="G191" s="16" t="s">
        <v>639</v>
      </c>
      <c r="H191" s="16" t="s">
        <v>471</v>
      </c>
      <c r="I191" s="16">
        <v>1</v>
      </c>
      <c r="J191" s="16" t="s">
        <v>904</v>
      </c>
      <c r="K191" s="16">
        <v>0</v>
      </c>
      <c r="L191" s="16">
        <v>0</v>
      </c>
      <c r="M191" s="1"/>
    </row>
    <row r="192" spans="1:13" s="16" customFormat="1">
      <c r="A192" s="26"/>
      <c r="B192" s="16" t="str">
        <f t="shared" ref="B192:B202" si="21">"0x"&amp;DEC2HEX(D192,4)</f>
        <v>0x1430</v>
      </c>
      <c r="D192" s="16">
        <v>5168</v>
      </c>
      <c r="F192" s="16" t="s">
        <v>905</v>
      </c>
      <c r="G192" s="16" t="s">
        <v>639</v>
      </c>
      <c r="H192" s="16" t="s">
        <v>471</v>
      </c>
      <c r="I192" s="16">
        <v>1</v>
      </c>
      <c r="J192" s="121" t="s">
        <v>906</v>
      </c>
      <c r="K192" s="16">
        <v>5</v>
      </c>
      <c r="L192" s="16">
        <v>5</v>
      </c>
      <c r="M192" s="1"/>
    </row>
    <row r="193" spans="1:13" s="16" customFormat="1">
      <c r="A193" s="26"/>
      <c r="B193" s="16" t="str">
        <f t="shared" si="21"/>
        <v>0x1431</v>
      </c>
      <c r="D193" s="16">
        <v>5169</v>
      </c>
      <c r="F193" s="16" t="s">
        <v>907</v>
      </c>
      <c r="G193" s="16" t="s">
        <v>639</v>
      </c>
      <c r="H193" s="16" t="s">
        <v>471</v>
      </c>
      <c r="I193" s="16">
        <v>1</v>
      </c>
      <c r="J193" s="121"/>
      <c r="K193" s="16">
        <v>5</v>
      </c>
      <c r="L193" s="16">
        <v>5</v>
      </c>
      <c r="M193" s="1"/>
    </row>
    <row r="194" spans="1:13" s="16" customFormat="1">
      <c r="A194" s="26"/>
      <c r="B194" s="16" t="str">
        <f t="shared" si="21"/>
        <v>0x1432</v>
      </c>
      <c r="D194" s="16">
        <v>5170</v>
      </c>
      <c r="F194" s="16" t="s">
        <v>908</v>
      </c>
      <c r="G194" s="16" t="s">
        <v>639</v>
      </c>
      <c r="H194" s="16" t="s">
        <v>471</v>
      </c>
      <c r="I194" s="16">
        <v>1</v>
      </c>
      <c r="J194" s="121"/>
      <c r="K194" s="16">
        <v>5</v>
      </c>
      <c r="L194" s="16">
        <v>5</v>
      </c>
      <c r="M194" s="1"/>
    </row>
    <row r="195" spans="1:13" s="16" customFormat="1" ht="57" customHeight="1">
      <c r="A195" s="26"/>
      <c r="B195" s="16" t="str">
        <f t="shared" si="21"/>
        <v>0x1433</v>
      </c>
      <c r="D195" s="16">
        <v>5171</v>
      </c>
      <c r="F195" s="1" t="s">
        <v>909</v>
      </c>
      <c r="G195" s="16" t="s">
        <v>639</v>
      </c>
      <c r="H195" s="16" t="s">
        <v>471</v>
      </c>
      <c r="I195" s="16">
        <v>1</v>
      </c>
      <c r="J195" s="116" t="s">
        <v>910</v>
      </c>
      <c r="K195" s="16">
        <v>0</v>
      </c>
      <c r="L195" s="16">
        <v>0</v>
      </c>
      <c r="M195" s="1"/>
    </row>
    <row r="196" spans="1:13" s="16" customFormat="1">
      <c r="A196" s="26"/>
      <c r="B196" s="16" t="str">
        <f t="shared" si="21"/>
        <v>0x1434</v>
      </c>
      <c r="D196" s="16">
        <v>5172</v>
      </c>
      <c r="F196" s="1" t="s">
        <v>911</v>
      </c>
      <c r="G196" s="16" t="s">
        <v>639</v>
      </c>
      <c r="H196" s="16" t="s">
        <v>471</v>
      </c>
      <c r="I196" s="16">
        <v>1</v>
      </c>
      <c r="J196" s="116"/>
      <c r="K196" s="16">
        <v>0</v>
      </c>
      <c r="L196" s="16">
        <v>0</v>
      </c>
      <c r="M196" s="1"/>
    </row>
    <row r="197" spans="1:13" s="16" customFormat="1">
      <c r="A197" s="26"/>
      <c r="B197" s="16" t="str">
        <f t="shared" si="21"/>
        <v>0x1435</v>
      </c>
      <c r="D197" s="16">
        <v>5173</v>
      </c>
      <c r="F197" s="1" t="s">
        <v>912</v>
      </c>
      <c r="G197" s="16" t="s">
        <v>639</v>
      </c>
      <c r="H197" s="16" t="s">
        <v>471</v>
      </c>
      <c r="I197" s="16">
        <v>1</v>
      </c>
      <c r="J197" s="116"/>
      <c r="K197" s="16">
        <v>0</v>
      </c>
      <c r="L197" s="16">
        <v>0</v>
      </c>
      <c r="M197" s="1"/>
    </row>
    <row r="198" spans="1:13" s="16" customFormat="1">
      <c r="A198" s="26"/>
      <c r="B198" s="16" t="str">
        <f t="shared" si="21"/>
        <v>0x1436</v>
      </c>
      <c r="D198" s="16">
        <v>5174</v>
      </c>
      <c r="F198" s="1" t="s">
        <v>913</v>
      </c>
      <c r="G198" s="16" t="s">
        <v>639</v>
      </c>
      <c r="H198" s="16" t="s">
        <v>471</v>
      </c>
      <c r="I198" s="16">
        <v>1</v>
      </c>
      <c r="J198" s="116"/>
      <c r="K198" s="16">
        <v>0</v>
      </c>
      <c r="L198" s="16">
        <v>0</v>
      </c>
    </row>
    <row r="199" spans="1:13" s="16" customFormat="1">
      <c r="A199" s="26"/>
      <c r="B199" s="16" t="str">
        <f t="shared" si="21"/>
        <v>0x1437</v>
      </c>
      <c r="D199" s="16">
        <v>5175</v>
      </c>
      <c r="F199" s="1" t="s">
        <v>914</v>
      </c>
      <c r="G199" s="16" t="s">
        <v>639</v>
      </c>
      <c r="H199" s="16" t="s">
        <v>471</v>
      </c>
      <c r="I199" s="16">
        <v>1</v>
      </c>
      <c r="J199" s="16" t="s">
        <v>915</v>
      </c>
      <c r="K199" s="16">
        <v>7</v>
      </c>
      <c r="L199" s="16">
        <v>7</v>
      </c>
    </row>
    <row r="200" spans="1:13" s="16" customFormat="1">
      <c r="A200" s="26"/>
      <c r="B200" s="16" t="str">
        <f t="shared" si="21"/>
        <v>0x1438</v>
      </c>
      <c r="D200" s="16">
        <v>5176</v>
      </c>
      <c r="F200" s="1" t="s">
        <v>916</v>
      </c>
      <c r="G200" s="16" t="s">
        <v>639</v>
      </c>
      <c r="H200" s="16" t="s">
        <v>471</v>
      </c>
      <c r="I200" s="16">
        <v>1</v>
      </c>
      <c r="J200" s="16" t="s">
        <v>915</v>
      </c>
      <c r="K200" s="16">
        <v>0</v>
      </c>
      <c r="L200" s="16">
        <v>0</v>
      </c>
    </row>
    <row r="201" spans="1:13" s="16" customFormat="1" ht="38.25">
      <c r="A201" s="26"/>
      <c r="B201" s="16" t="str">
        <f t="shared" si="21"/>
        <v>0x1439</v>
      </c>
      <c r="D201" s="16">
        <v>5177</v>
      </c>
      <c r="F201" s="1" t="s">
        <v>917</v>
      </c>
      <c r="G201" s="16" t="s">
        <v>639</v>
      </c>
      <c r="H201" s="16" t="s">
        <v>527</v>
      </c>
      <c r="I201" s="16">
        <v>1</v>
      </c>
      <c r="J201" s="1" t="s">
        <v>918</v>
      </c>
      <c r="K201" s="16">
        <v>0</v>
      </c>
      <c r="L201" s="16">
        <v>0</v>
      </c>
    </row>
    <row r="202" spans="1:13" s="16" customFormat="1">
      <c r="A202" s="26" t="s">
        <v>2854</v>
      </c>
      <c r="B202" s="16" t="str">
        <f t="shared" si="21"/>
        <v>0x143A</v>
      </c>
      <c r="D202" s="16">
        <v>5178</v>
      </c>
      <c r="F202" s="1" t="s">
        <v>2853</v>
      </c>
      <c r="G202" s="16" t="s">
        <v>639</v>
      </c>
      <c r="H202" s="16" t="s">
        <v>427</v>
      </c>
      <c r="I202" s="16">
        <v>1</v>
      </c>
      <c r="J202" s="16" t="s">
        <v>937</v>
      </c>
      <c r="K202" s="16">
        <v>0</v>
      </c>
    </row>
    <row r="203" spans="1:13" s="16" customFormat="1">
      <c r="A203" s="26"/>
      <c r="B203" s="16" t="str">
        <f t="shared" ref="B203" si="22">"0x"&amp;DEC2HEX(D203,4)</f>
        <v>0x143B</v>
      </c>
      <c r="D203" s="16">
        <v>5179</v>
      </c>
      <c r="F203" s="1" t="s">
        <v>2855</v>
      </c>
      <c r="G203" s="16" t="s">
        <v>639</v>
      </c>
      <c r="H203" s="16" t="s">
        <v>427</v>
      </c>
      <c r="I203" s="16">
        <v>1</v>
      </c>
      <c r="J203" s="16" t="s">
        <v>937</v>
      </c>
      <c r="K203" s="16">
        <v>0</v>
      </c>
    </row>
    <row r="204" spans="1:13" s="3" customFormat="1">
      <c r="A204" s="72"/>
      <c r="B204" s="16" t="str">
        <f>"0x"&amp;DEC2HEX(D204,4)</f>
        <v>0x143C</v>
      </c>
      <c r="C204" s="16"/>
      <c r="D204" s="16">
        <v>5180</v>
      </c>
      <c r="E204" s="16"/>
      <c r="F204" s="1" t="s">
        <v>2890</v>
      </c>
      <c r="G204" s="16" t="s">
        <v>639</v>
      </c>
      <c r="H204" s="16" t="s">
        <v>2859</v>
      </c>
      <c r="I204" s="16">
        <v>1</v>
      </c>
      <c r="J204" s="16" t="s">
        <v>2889</v>
      </c>
      <c r="K204" s="16">
        <v>0</v>
      </c>
    </row>
    <row r="205" spans="1:13" s="3" customFormat="1">
      <c r="A205" s="72"/>
      <c r="B205" s="3" t="str">
        <f>"0x"&amp;DEC2HEX(D205,4)</f>
        <v>0x143D</v>
      </c>
      <c r="D205" s="3">
        <v>5181</v>
      </c>
      <c r="F205" s="4" t="s">
        <v>3256</v>
      </c>
      <c r="G205" s="3" t="s">
        <v>639</v>
      </c>
      <c r="H205" s="3" t="s">
        <v>2896</v>
      </c>
      <c r="I205" s="3">
        <v>1</v>
      </c>
      <c r="J205" s="3" t="s">
        <v>3258</v>
      </c>
      <c r="K205" s="3" t="s">
        <v>3260</v>
      </c>
    </row>
    <row r="206" spans="1:13" s="3" customFormat="1">
      <c r="A206" s="72"/>
      <c r="F206" s="4"/>
    </row>
    <row r="207" spans="1:13" s="3" customFormat="1">
      <c r="A207" s="26" t="s">
        <v>3352</v>
      </c>
      <c r="B207" s="3" t="str">
        <f t="shared" ref="B207:B212" si="23">"0x"&amp;DEC2HEX(D207,4)</f>
        <v>0x1450</v>
      </c>
      <c r="D207" s="3">
        <v>5200</v>
      </c>
      <c r="F207" s="4" t="s">
        <v>3356</v>
      </c>
      <c r="G207" s="3" t="s">
        <v>639</v>
      </c>
      <c r="H207" s="3" t="s">
        <v>2896</v>
      </c>
      <c r="I207" s="3">
        <v>1</v>
      </c>
      <c r="J207" s="3" t="s">
        <v>3353</v>
      </c>
      <c r="K207" s="3">
        <v>0</v>
      </c>
      <c r="L207" s="3">
        <v>0</v>
      </c>
    </row>
    <row r="208" spans="1:13" s="3" customFormat="1">
      <c r="A208" s="72"/>
      <c r="B208" s="3" t="str">
        <f t="shared" si="23"/>
        <v>0x1451</v>
      </c>
      <c r="D208" s="3">
        <f>D207+I207</f>
        <v>5201</v>
      </c>
      <c r="F208" s="4" t="s">
        <v>3357</v>
      </c>
      <c r="G208" s="3" t="s">
        <v>639</v>
      </c>
      <c r="H208" s="3" t="s">
        <v>2896</v>
      </c>
      <c r="I208" s="3">
        <v>3</v>
      </c>
      <c r="J208" s="3" t="s">
        <v>3354</v>
      </c>
    </row>
    <row r="209" spans="1:13" s="3" customFormat="1">
      <c r="A209" s="72"/>
      <c r="B209" s="3" t="str">
        <f t="shared" si="23"/>
        <v>0x1454</v>
      </c>
      <c r="D209" s="3">
        <f>D208+I208</f>
        <v>5204</v>
      </c>
      <c r="F209" s="4" t="s">
        <v>3358</v>
      </c>
      <c r="G209" s="3" t="s">
        <v>639</v>
      </c>
      <c r="H209" s="3" t="s">
        <v>1163</v>
      </c>
      <c r="I209" s="3">
        <v>1</v>
      </c>
      <c r="J209" s="3" t="s">
        <v>3355</v>
      </c>
      <c r="K209" s="3">
        <v>0</v>
      </c>
      <c r="L209" s="3">
        <v>0</v>
      </c>
    </row>
    <row r="210" spans="1:13" s="3" customFormat="1">
      <c r="A210" s="72"/>
      <c r="B210" s="3" t="str">
        <f t="shared" si="23"/>
        <v>0x1455</v>
      </c>
      <c r="D210" s="3">
        <f>D209+I209</f>
        <v>5205</v>
      </c>
      <c r="F210" s="4" t="s">
        <v>3359</v>
      </c>
      <c r="G210" s="3" t="s">
        <v>639</v>
      </c>
      <c r="H210" s="3" t="s">
        <v>427</v>
      </c>
      <c r="I210" s="3">
        <v>6</v>
      </c>
      <c r="K210" s="3">
        <v>0</v>
      </c>
      <c r="L210" s="3">
        <v>0</v>
      </c>
    </row>
    <row r="211" spans="1:13" s="3" customFormat="1">
      <c r="A211" s="72"/>
      <c r="B211" s="3" t="str">
        <f t="shared" si="23"/>
        <v>0x145B</v>
      </c>
      <c r="D211" s="3">
        <f>D210+I210</f>
        <v>5211</v>
      </c>
      <c r="F211" s="4" t="s">
        <v>3360</v>
      </c>
      <c r="G211" s="3" t="s">
        <v>639</v>
      </c>
      <c r="H211" s="3" t="s">
        <v>2896</v>
      </c>
      <c r="I211" s="3">
        <v>1</v>
      </c>
      <c r="J211" s="3" t="s">
        <v>3361</v>
      </c>
      <c r="K211" s="3">
        <v>0</v>
      </c>
      <c r="L211" s="3">
        <v>0</v>
      </c>
    </row>
    <row r="212" spans="1:13" s="3" customFormat="1">
      <c r="A212" s="72"/>
      <c r="B212" s="3" t="str">
        <f t="shared" si="23"/>
        <v>0x145C</v>
      </c>
      <c r="D212" s="3">
        <f>D211+I211</f>
        <v>5212</v>
      </c>
      <c r="F212" s="4" t="s">
        <v>3362</v>
      </c>
      <c r="G212" s="3" t="s">
        <v>639</v>
      </c>
      <c r="H212" s="3" t="s">
        <v>2896</v>
      </c>
      <c r="I212" s="3">
        <v>1</v>
      </c>
      <c r="J212" s="3" t="s">
        <v>3361</v>
      </c>
      <c r="K212" s="3">
        <v>0</v>
      </c>
      <c r="L212" s="3">
        <v>0</v>
      </c>
    </row>
    <row r="213" spans="1:13" s="3" customFormat="1">
      <c r="A213" s="72" t="s">
        <v>2854</v>
      </c>
      <c r="B213" s="3" t="str">
        <f>"0x"&amp;DEC2HEX(D213,4)</f>
        <v>0x145D</v>
      </c>
      <c r="D213" s="3">
        <f t="shared" ref="D213" si="24">D212+I212</f>
        <v>5213</v>
      </c>
      <c r="F213" s="4" t="s">
        <v>3369</v>
      </c>
      <c r="G213" s="4" t="s">
        <v>474</v>
      </c>
      <c r="H213" s="4" t="s">
        <v>471</v>
      </c>
      <c r="I213" s="4">
        <v>1</v>
      </c>
      <c r="J213" s="4" t="s">
        <v>700</v>
      </c>
      <c r="K213" s="4">
        <v>0</v>
      </c>
      <c r="L213" s="4"/>
      <c r="M213" s="4"/>
    </row>
    <row r="214" spans="1:13" s="3" customFormat="1">
      <c r="A214" s="72" t="s">
        <v>3376</v>
      </c>
      <c r="B214" s="3" t="str">
        <f>"0x"&amp;DEC2HEX(D214,4)</f>
        <v>0x145E</v>
      </c>
      <c r="D214" s="3">
        <v>5214</v>
      </c>
      <c r="F214" s="4" t="s">
        <v>3377</v>
      </c>
      <c r="G214" s="3" t="s">
        <v>639</v>
      </c>
      <c r="H214" s="4" t="s">
        <v>471</v>
      </c>
      <c r="I214" s="3">
        <v>1</v>
      </c>
      <c r="J214" s="3" t="s">
        <v>3378</v>
      </c>
      <c r="K214" s="3">
        <v>0</v>
      </c>
      <c r="L214" s="3">
        <v>0</v>
      </c>
    </row>
    <row r="215" spans="1:13" s="3" customFormat="1">
      <c r="A215" s="72"/>
      <c r="B215" s="3" t="str">
        <f>"0x"&amp;DEC2HEX(D215,4)</f>
        <v>0x145F</v>
      </c>
      <c r="D215" s="3">
        <v>5215</v>
      </c>
      <c r="F215" s="4" t="s">
        <v>3379</v>
      </c>
      <c r="G215" s="3" t="s">
        <v>639</v>
      </c>
      <c r="H215" s="4" t="s">
        <v>471</v>
      </c>
      <c r="I215" s="3">
        <v>1</v>
      </c>
      <c r="J215" s="3" t="s">
        <v>3361</v>
      </c>
      <c r="K215" s="3">
        <v>0</v>
      </c>
      <c r="L215" s="3">
        <v>0</v>
      </c>
    </row>
    <row r="216" spans="1:13" s="3" customFormat="1">
      <c r="A216" s="72" t="s">
        <v>3381</v>
      </c>
      <c r="B216" s="3" t="str">
        <f>"0x"&amp;DEC2HEX(D216,4)</f>
        <v>0x1460</v>
      </c>
      <c r="D216" s="3">
        <v>5216</v>
      </c>
      <c r="F216" s="4" t="s">
        <v>3380</v>
      </c>
      <c r="G216" s="3" t="s">
        <v>639</v>
      </c>
      <c r="H216" s="3" t="s">
        <v>427</v>
      </c>
      <c r="I216" s="3">
        <v>1</v>
      </c>
      <c r="J216" s="3" t="s">
        <v>937</v>
      </c>
      <c r="K216" s="3">
        <v>0</v>
      </c>
    </row>
    <row r="217" spans="1:13" s="3" customFormat="1">
      <c r="A217" s="72"/>
    </row>
    <row r="218" spans="1:13" s="3" customFormat="1">
      <c r="A218" s="72"/>
      <c r="F218" s="4"/>
    </row>
    <row r="219" spans="1:13" s="3" customFormat="1">
      <c r="F219" s="4"/>
    </row>
    <row r="220" spans="1:13" s="3" customFormat="1">
      <c r="A220" s="72"/>
      <c r="F220" s="4"/>
    </row>
    <row r="221" spans="1:13" s="3" customFormat="1">
      <c r="A221" s="72"/>
      <c r="B221" s="16"/>
      <c r="F221" s="4"/>
    </row>
    <row r="222" spans="1:13" s="16" customFormat="1">
      <c r="A222" s="26" t="s">
        <v>919</v>
      </c>
    </row>
    <row r="223" spans="1:13" s="16" customFormat="1">
      <c r="A223" s="26"/>
      <c r="B223" s="16" t="s">
        <v>920</v>
      </c>
      <c r="D223" s="16">
        <v>8448</v>
      </c>
      <c r="F223" s="1" t="s">
        <v>921</v>
      </c>
      <c r="G223" s="16" t="s">
        <v>639</v>
      </c>
      <c r="H223" s="16" t="s">
        <v>471</v>
      </c>
      <c r="I223" s="16">
        <v>1</v>
      </c>
      <c r="J223" s="16" t="s">
        <v>922</v>
      </c>
      <c r="K223" s="16">
        <v>1</v>
      </c>
    </row>
    <row r="224" spans="1:13" s="16" customFormat="1">
      <c r="A224" s="26"/>
      <c r="B224" s="16" t="s">
        <v>923</v>
      </c>
      <c r="D224" s="16">
        <v>8449</v>
      </c>
      <c r="F224" s="1" t="s">
        <v>924</v>
      </c>
      <c r="G224" s="16" t="s">
        <v>639</v>
      </c>
      <c r="H224" s="16" t="s">
        <v>471</v>
      </c>
      <c r="I224" s="16">
        <v>1</v>
      </c>
      <c r="J224" s="16" t="s">
        <v>925</v>
      </c>
      <c r="K224" s="16">
        <v>19200</v>
      </c>
    </row>
    <row r="225" spans="1:12" s="16" customFormat="1">
      <c r="A225" s="26"/>
      <c r="B225" s="16" t="s">
        <v>926</v>
      </c>
      <c r="D225" s="16">
        <v>8450</v>
      </c>
      <c r="F225" s="1" t="s">
        <v>927</v>
      </c>
      <c r="G225" s="16" t="s">
        <v>639</v>
      </c>
      <c r="H225" s="16" t="s">
        <v>471</v>
      </c>
      <c r="I225" s="16">
        <v>1</v>
      </c>
      <c r="J225" s="16" t="s">
        <v>928</v>
      </c>
      <c r="K225" s="16">
        <v>10</v>
      </c>
    </row>
    <row r="226" spans="1:12" s="16" customFormat="1">
      <c r="A226" s="26"/>
      <c r="B226" s="16" t="s">
        <v>929</v>
      </c>
      <c r="D226" s="16">
        <v>8451</v>
      </c>
      <c r="F226" s="1" t="s">
        <v>930</v>
      </c>
      <c r="G226" s="16" t="s">
        <v>639</v>
      </c>
      <c r="H226" s="16" t="s">
        <v>471</v>
      </c>
      <c r="I226" s="16">
        <v>1</v>
      </c>
      <c r="J226" s="16" t="s">
        <v>931</v>
      </c>
      <c r="K226" s="16">
        <v>0</v>
      </c>
    </row>
    <row r="227" spans="1:12" s="16" customFormat="1">
      <c r="A227" s="26"/>
      <c r="B227" s="16" t="s">
        <v>932</v>
      </c>
      <c r="D227" s="16">
        <v>8452</v>
      </c>
      <c r="F227" s="1" t="s">
        <v>933</v>
      </c>
      <c r="G227" s="16" t="s">
        <v>639</v>
      </c>
      <c r="H227" s="16" t="s">
        <v>471</v>
      </c>
      <c r="I227" s="16">
        <v>1</v>
      </c>
      <c r="J227" s="16" t="s">
        <v>934</v>
      </c>
      <c r="K227" s="16">
        <v>1</v>
      </c>
    </row>
    <row r="228" spans="1:12" s="16" customFormat="1">
      <c r="A228" s="26"/>
      <c r="B228" s="16" t="s">
        <v>935</v>
      </c>
      <c r="D228" s="16">
        <v>8452</v>
      </c>
      <c r="F228" s="16" t="s">
        <v>936</v>
      </c>
      <c r="G228" s="16" t="s">
        <v>639</v>
      </c>
      <c r="H228" s="16" t="s">
        <v>427</v>
      </c>
      <c r="I228" s="16">
        <v>1</v>
      </c>
      <c r="J228" s="16" t="s">
        <v>937</v>
      </c>
      <c r="K228" s="16">
        <v>0</v>
      </c>
    </row>
    <row r="229" spans="1:12" s="16" customFormat="1">
      <c r="A229" s="26"/>
    </row>
    <row r="230" spans="1:12" s="16" customFormat="1">
      <c r="A230" s="26"/>
    </row>
    <row r="231" spans="1:12" s="16" customFormat="1">
      <c r="A231" s="26" t="s">
        <v>938</v>
      </c>
      <c r="B231" s="121"/>
      <c r="C231" s="121"/>
      <c r="D231" s="121"/>
      <c r="E231" s="121"/>
    </row>
    <row r="232" spans="1:12" s="16" customFormat="1">
      <c r="A232" s="26"/>
      <c r="B232" s="16" t="str">
        <f t="shared" ref="B232:B264" si="25">"0x"&amp;DEC2HEX(D232,4)</f>
        <v>0x6B00</v>
      </c>
      <c r="D232" s="16">
        <v>27392</v>
      </c>
      <c r="F232" s="1" t="s">
        <v>939</v>
      </c>
      <c r="H232" s="16" t="s">
        <v>430</v>
      </c>
      <c r="I232" s="16">
        <v>1</v>
      </c>
      <c r="K232" s="16" t="s">
        <v>3289</v>
      </c>
      <c r="L232" s="16" t="s">
        <v>3289</v>
      </c>
    </row>
    <row r="233" spans="1:12" s="16" customFormat="1">
      <c r="A233" s="26"/>
      <c r="B233" s="16" t="str">
        <f t="shared" si="25"/>
        <v>0x6B01</v>
      </c>
      <c r="D233" s="16">
        <f t="shared" ref="D233:D264" si="26">D232+I232</f>
        <v>27393</v>
      </c>
      <c r="F233" s="1" t="s">
        <v>940</v>
      </c>
      <c r="G233" s="16" t="s">
        <v>639</v>
      </c>
      <c r="H233" s="16" t="s">
        <v>527</v>
      </c>
      <c r="I233" s="16">
        <v>1</v>
      </c>
      <c r="K233" s="16" t="s">
        <v>3290</v>
      </c>
      <c r="L233" s="16" t="s">
        <v>3290</v>
      </c>
    </row>
    <row r="234" spans="1:12" s="16" customFormat="1">
      <c r="A234" s="26"/>
      <c r="B234" s="16" t="str">
        <f t="shared" si="25"/>
        <v>0x6B02</v>
      </c>
      <c r="D234" s="16">
        <f t="shared" si="26"/>
        <v>27394</v>
      </c>
      <c r="F234" s="1" t="s">
        <v>941</v>
      </c>
      <c r="G234" s="16" t="s">
        <v>639</v>
      </c>
      <c r="H234" s="16" t="s">
        <v>527</v>
      </c>
      <c r="I234" s="16">
        <v>1</v>
      </c>
      <c r="K234" s="16" t="s">
        <v>3335</v>
      </c>
      <c r="L234" s="16" t="s">
        <v>3335</v>
      </c>
    </row>
    <row r="235" spans="1:12" s="16" customFormat="1">
      <c r="A235" s="26"/>
      <c r="B235" s="16" t="str">
        <f t="shared" si="25"/>
        <v>0x6B03</v>
      </c>
      <c r="D235" s="16">
        <f t="shared" si="26"/>
        <v>27395</v>
      </c>
      <c r="F235" s="1" t="s">
        <v>942</v>
      </c>
      <c r="G235" s="16" t="s">
        <v>639</v>
      </c>
      <c r="H235" s="16" t="s">
        <v>527</v>
      </c>
      <c r="I235" s="16">
        <v>1</v>
      </c>
      <c r="K235" s="16" t="s">
        <v>3291</v>
      </c>
      <c r="L235" s="16" t="s">
        <v>3291</v>
      </c>
    </row>
    <row r="236" spans="1:12" s="16" customFormat="1">
      <c r="A236" s="26"/>
      <c r="B236" s="16" t="str">
        <f t="shared" si="25"/>
        <v>0x6B04</v>
      </c>
      <c r="D236" s="16">
        <f t="shared" si="26"/>
        <v>27396</v>
      </c>
      <c r="F236" s="1" t="s">
        <v>943</v>
      </c>
      <c r="G236" s="16" t="s">
        <v>639</v>
      </c>
      <c r="H236" s="16" t="s">
        <v>527</v>
      </c>
      <c r="I236" s="16">
        <v>1</v>
      </c>
      <c r="K236" s="16" t="s">
        <v>3292</v>
      </c>
      <c r="L236" s="16" t="s">
        <v>3292</v>
      </c>
    </row>
    <row r="237" spans="1:12" s="16" customFormat="1">
      <c r="A237" s="26"/>
      <c r="B237" s="16" t="str">
        <f t="shared" si="25"/>
        <v>0x6B05</v>
      </c>
      <c r="D237" s="16">
        <f t="shared" si="26"/>
        <v>27397</v>
      </c>
      <c r="F237" s="1" t="s">
        <v>944</v>
      </c>
      <c r="G237" s="16" t="s">
        <v>639</v>
      </c>
      <c r="H237" s="16" t="s">
        <v>527</v>
      </c>
      <c r="I237" s="16">
        <v>1</v>
      </c>
      <c r="K237" s="16" t="s">
        <v>3293</v>
      </c>
      <c r="L237" s="16" t="s">
        <v>3293</v>
      </c>
    </row>
    <row r="238" spans="1:12" s="16" customFormat="1">
      <c r="A238" s="26"/>
      <c r="B238" s="16" t="str">
        <f t="shared" si="25"/>
        <v>0x6B06</v>
      </c>
      <c r="D238" s="16">
        <f t="shared" si="26"/>
        <v>27398</v>
      </c>
      <c r="F238" s="1" t="s">
        <v>945</v>
      </c>
      <c r="G238" s="16" t="s">
        <v>639</v>
      </c>
      <c r="H238" s="16" t="s">
        <v>527</v>
      </c>
      <c r="I238" s="16">
        <v>1</v>
      </c>
      <c r="K238" s="16" t="s">
        <v>3294</v>
      </c>
      <c r="L238" s="16" t="s">
        <v>3294</v>
      </c>
    </row>
    <row r="239" spans="1:12" s="16" customFormat="1">
      <c r="A239" s="26"/>
      <c r="B239" s="16" t="str">
        <f t="shared" si="25"/>
        <v>0x6B07</v>
      </c>
      <c r="D239" s="16">
        <f t="shared" si="26"/>
        <v>27399</v>
      </c>
      <c r="F239" s="1" t="s">
        <v>946</v>
      </c>
      <c r="G239" s="16" t="s">
        <v>639</v>
      </c>
      <c r="H239" s="16" t="s">
        <v>527</v>
      </c>
      <c r="I239" s="16">
        <v>1</v>
      </c>
      <c r="K239" s="16" t="s">
        <v>3295</v>
      </c>
      <c r="L239" s="16" t="s">
        <v>3295</v>
      </c>
    </row>
    <row r="240" spans="1:12" s="16" customFormat="1">
      <c r="A240" s="26"/>
      <c r="B240" s="16" t="str">
        <f t="shared" si="25"/>
        <v>0x6B08</v>
      </c>
      <c r="D240" s="16">
        <f t="shared" si="26"/>
        <v>27400</v>
      </c>
      <c r="F240" s="1" t="s">
        <v>947</v>
      </c>
      <c r="G240" s="16" t="s">
        <v>639</v>
      </c>
      <c r="H240" s="16" t="s">
        <v>527</v>
      </c>
      <c r="I240" s="16">
        <v>1</v>
      </c>
      <c r="K240" s="16" t="s">
        <v>3296</v>
      </c>
      <c r="L240" s="16" t="s">
        <v>3296</v>
      </c>
    </row>
    <row r="241" spans="1:12" s="16" customFormat="1">
      <c r="A241" s="26"/>
      <c r="B241" s="16" t="str">
        <f t="shared" si="25"/>
        <v>0x6B09</v>
      </c>
      <c r="D241" s="16">
        <f t="shared" si="26"/>
        <v>27401</v>
      </c>
      <c r="F241" s="1" t="s">
        <v>948</v>
      </c>
      <c r="G241" s="16" t="s">
        <v>639</v>
      </c>
      <c r="H241" s="16" t="s">
        <v>527</v>
      </c>
      <c r="I241" s="16">
        <v>1</v>
      </c>
      <c r="K241" s="16" t="s">
        <v>3297</v>
      </c>
      <c r="L241" s="16" t="s">
        <v>3297</v>
      </c>
    </row>
    <row r="242" spans="1:12" s="16" customFormat="1">
      <c r="A242" s="26"/>
      <c r="B242" s="16" t="str">
        <f t="shared" si="25"/>
        <v>0x6B0A</v>
      </c>
      <c r="D242" s="16">
        <f t="shared" si="26"/>
        <v>27402</v>
      </c>
      <c r="F242" s="1" t="s">
        <v>949</v>
      </c>
      <c r="G242" s="16" t="s">
        <v>639</v>
      </c>
      <c r="H242" s="16" t="s">
        <v>527</v>
      </c>
      <c r="I242" s="16">
        <v>1</v>
      </c>
      <c r="K242" s="16" t="s">
        <v>3298</v>
      </c>
      <c r="L242" s="16" t="s">
        <v>3298</v>
      </c>
    </row>
    <row r="243" spans="1:12" s="16" customFormat="1">
      <c r="A243" s="26"/>
      <c r="B243" s="16" t="str">
        <f t="shared" si="25"/>
        <v>0x6B0B</v>
      </c>
      <c r="D243" s="16">
        <f t="shared" si="26"/>
        <v>27403</v>
      </c>
      <c r="F243" s="1" t="s">
        <v>950</v>
      </c>
      <c r="G243" s="16" t="s">
        <v>639</v>
      </c>
      <c r="H243" s="16" t="s">
        <v>527</v>
      </c>
      <c r="I243" s="16">
        <v>1</v>
      </c>
      <c r="K243" s="16" t="s">
        <v>3299</v>
      </c>
      <c r="L243" s="16" t="s">
        <v>3299</v>
      </c>
    </row>
    <row r="244" spans="1:12" s="16" customFormat="1">
      <c r="A244" s="26"/>
      <c r="B244" s="16" t="str">
        <f t="shared" si="25"/>
        <v>0x6B0C</v>
      </c>
      <c r="D244" s="16">
        <f t="shared" si="26"/>
        <v>27404</v>
      </c>
      <c r="F244" s="1" t="s">
        <v>951</v>
      </c>
      <c r="G244" s="16" t="s">
        <v>639</v>
      </c>
      <c r="H244" s="16" t="s">
        <v>527</v>
      </c>
      <c r="I244" s="16">
        <v>1</v>
      </c>
      <c r="K244" s="16" t="s">
        <v>3309</v>
      </c>
      <c r="L244" s="16" t="s">
        <v>3309</v>
      </c>
    </row>
    <row r="245" spans="1:12" s="16" customFormat="1">
      <c r="A245" s="26"/>
      <c r="B245" s="16" t="str">
        <f t="shared" si="25"/>
        <v>0x6B0D</v>
      </c>
      <c r="D245" s="16">
        <f t="shared" si="26"/>
        <v>27405</v>
      </c>
      <c r="F245" s="1" t="s">
        <v>952</v>
      </c>
      <c r="G245" s="16" t="s">
        <v>639</v>
      </c>
      <c r="H245" s="16" t="s">
        <v>527</v>
      </c>
      <c r="I245" s="16">
        <v>1</v>
      </c>
      <c r="K245" s="16" t="s">
        <v>3310</v>
      </c>
      <c r="L245" s="16" t="s">
        <v>3310</v>
      </c>
    </row>
    <row r="246" spans="1:12" s="16" customFormat="1" ht="15" customHeight="1">
      <c r="A246" s="26"/>
      <c r="B246" s="16" t="str">
        <f t="shared" si="25"/>
        <v>0x6B0E</v>
      </c>
      <c r="D246" s="16">
        <f t="shared" si="26"/>
        <v>27406</v>
      </c>
      <c r="F246" s="1" t="s">
        <v>953</v>
      </c>
      <c r="G246" s="16" t="s">
        <v>639</v>
      </c>
      <c r="H246" s="16" t="s">
        <v>527</v>
      </c>
      <c r="I246" s="16">
        <v>1</v>
      </c>
      <c r="K246" s="16" t="s">
        <v>3311</v>
      </c>
      <c r="L246" s="16" t="s">
        <v>3311</v>
      </c>
    </row>
    <row r="247" spans="1:12" s="16" customFormat="1">
      <c r="A247" s="26"/>
      <c r="B247" s="16" t="str">
        <f t="shared" si="25"/>
        <v>0x6B0F</v>
      </c>
      <c r="D247" s="16">
        <f t="shared" si="26"/>
        <v>27407</v>
      </c>
      <c r="F247" s="1" t="s">
        <v>954</v>
      </c>
      <c r="G247" s="16" t="s">
        <v>639</v>
      </c>
      <c r="H247" s="16" t="s">
        <v>527</v>
      </c>
      <c r="I247" s="16">
        <v>1</v>
      </c>
      <c r="K247" s="16" t="s">
        <v>3312</v>
      </c>
      <c r="L247" s="16" t="s">
        <v>3312</v>
      </c>
    </row>
    <row r="248" spans="1:12" s="16" customFormat="1">
      <c r="A248" s="26"/>
      <c r="B248" s="16" t="str">
        <f t="shared" si="25"/>
        <v>0x6B10</v>
      </c>
      <c r="D248" s="16">
        <f t="shared" si="26"/>
        <v>27408</v>
      </c>
      <c r="F248" s="1" t="s">
        <v>955</v>
      </c>
      <c r="G248" s="16" t="s">
        <v>639</v>
      </c>
      <c r="H248" s="16" t="s">
        <v>527</v>
      </c>
      <c r="I248" s="16">
        <v>1</v>
      </c>
      <c r="K248" s="16" t="s">
        <v>3313</v>
      </c>
      <c r="L248" s="16" t="s">
        <v>3313</v>
      </c>
    </row>
    <row r="249" spans="1:12" s="16" customFormat="1">
      <c r="A249" s="26"/>
      <c r="B249" s="16" t="str">
        <f t="shared" si="25"/>
        <v>0x6B11</v>
      </c>
      <c r="D249" s="16">
        <f t="shared" si="26"/>
        <v>27409</v>
      </c>
      <c r="F249" s="1" t="s">
        <v>956</v>
      </c>
      <c r="G249" s="16" t="s">
        <v>639</v>
      </c>
      <c r="H249" s="16" t="s">
        <v>527</v>
      </c>
      <c r="I249" s="16">
        <v>1</v>
      </c>
      <c r="K249" s="16" t="s">
        <v>3300</v>
      </c>
      <c r="L249" s="16" t="s">
        <v>3300</v>
      </c>
    </row>
    <row r="250" spans="1:12" s="16" customFormat="1">
      <c r="A250" s="26"/>
      <c r="B250" s="16" t="str">
        <f t="shared" si="25"/>
        <v>0x6B12</v>
      </c>
      <c r="D250" s="16">
        <f t="shared" si="26"/>
        <v>27410</v>
      </c>
      <c r="F250" s="1" t="s">
        <v>957</v>
      </c>
      <c r="G250" s="16" t="s">
        <v>639</v>
      </c>
      <c r="H250" s="16" t="s">
        <v>527</v>
      </c>
      <c r="I250" s="16">
        <v>1</v>
      </c>
      <c r="K250" s="16" t="s">
        <v>3301</v>
      </c>
      <c r="L250" s="16" t="s">
        <v>3301</v>
      </c>
    </row>
    <row r="251" spans="1:12" s="16" customFormat="1">
      <c r="A251" s="26"/>
      <c r="B251" s="16" t="str">
        <f t="shared" si="25"/>
        <v>0x6B13</v>
      </c>
      <c r="D251" s="16">
        <f t="shared" si="26"/>
        <v>27411</v>
      </c>
      <c r="F251" s="1" t="s">
        <v>958</v>
      </c>
      <c r="G251" s="16" t="s">
        <v>639</v>
      </c>
      <c r="H251" s="16" t="s">
        <v>527</v>
      </c>
      <c r="I251" s="16">
        <v>1</v>
      </c>
      <c r="K251" s="16" t="s">
        <v>3302</v>
      </c>
      <c r="L251" s="16" t="s">
        <v>3302</v>
      </c>
    </row>
    <row r="252" spans="1:12" s="16" customFormat="1">
      <c r="A252" s="26"/>
      <c r="B252" s="16" t="str">
        <f t="shared" si="25"/>
        <v>0x6B14</v>
      </c>
      <c r="D252" s="16">
        <f t="shared" si="26"/>
        <v>27412</v>
      </c>
      <c r="F252" s="1" t="s">
        <v>959</v>
      </c>
      <c r="G252" s="16" t="s">
        <v>639</v>
      </c>
      <c r="H252" s="16" t="s">
        <v>527</v>
      </c>
      <c r="I252" s="16">
        <v>1</v>
      </c>
      <c r="K252" s="16" t="s">
        <v>3303</v>
      </c>
      <c r="L252" s="16" t="s">
        <v>3303</v>
      </c>
    </row>
    <row r="253" spans="1:12" s="16" customFormat="1">
      <c r="A253" s="26"/>
      <c r="B253" s="16" t="str">
        <f t="shared" si="25"/>
        <v>0x6B15</v>
      </c>
      <c r="D253" s="16">
        <f t="shared" si="26"/>
        <v>27413</v>
      </c>
      <c r="F253" s="1" t="s">
        <v>960</v>
      </c>
      <c r="G253" s="16" t="s">
        <v>639</v>
      </c>
      <c r="H253" s="16" t="s">
        <v>527</v>
      </c>
      <c r="I253" s="16">
        <v>1</v>
      </c>
      <c r="K253" s="16" t="s">
        <v>3304</v>
      </c>
      <c r="L253" s="16" t="s">
        <v>3304</v>
      </c>
    </row>
    <row r="254" spans="1:12" s="16" customFormat="1">
      <c r="A254" s="26"/>
      <c r="B254" s="16" t="str">
        <f t="shared" si="25"/>
        <v>0x6B16</v>
      </c>
      <c r="D254" s="16">
        <f t="shared" si="26"/>
        <v>27414</v>
      </c>
      <c r="F254" s="1" t="s">
        <v>961</v>
      </c>
      <c r="G254" s="16" t="s">
        <v>639</v>
      </c>
      <c r="H254" s="16" t="s">
        <v>527</v>
      </c>
      <c r="I254" s="16">
        <v>1</v>
      </c>
      <c r="K254" s="16" t="s">
        <v>3305</v>
      </c>
      <c r="L254" s="16" t="s">
        <v>3305</v>
      </c>
    </row>
    <row r="255" spans="1:12" s="16" customFormat="1">
      <c r="A255" s="26"/>
      <c r="B255" s="16" t="str">
        <f t="shared" si="25"/>
        <v>0x6B17</v>
      </c>
      <c r="D255" s="16">
        <f t="shared" si="26"/>
        <v>27415</v>
      </c>
      <c r="F255" s="1" t="s">
        <v>962</v>
      </c>
      <c r="G255" s="16" t="s">
        <v>639</v>
      </c>
      <c r="H255" s="16" t="s">
        <v>527</v>
      </c>
      <c r="I255" s="16">
        <v>1</v>
      </c>
      <c r="K255" s="16" t="s">
        <v>3306</v>
      </c>
      <c r="L255" s="16" t="s">
        <v>3306</v>
      </c>
    </row>
    <row r="256" spans="1:12" s="16" customFormat="1">
      <c r="A256" s="26"/>
      <c r="B256" s="16" t="str">
        <f t="shared" si="25"/>
        <v>0x6B18</v>
      </c>
      <c r="D256" s="16">
        <f t="shared" si="26"/>
        <v>27416</v>
      </c>
      <c r="F256" s="1" t="s">
        <v>963</v>
      </c>
      <c r="G256" s="16" t="s">
        <v>639</v>
      </c>
      <c r="H256" s="16" t="s">
        <v>527</v>
      </c>
      <c r="I256" s="16">
        <v>1</v>
      </c>
      <c r="K256" s="16" t="s">
        <v>3307</v>
      </c>
      <c r="L256" s="16" t="s">
        <v>3307</v>
      </c>
    </row>
    <row r="257" spans="1:12" s="16" customFormat="1">
      <c r="A257" s="26"/>
      <c r="B257" s="16" t="str">
        <f t="shared" si="25"/>
        <v>0x6B19</v>
      </c>
      <c r="D257" s="16">
        <f t="shared" si="26"/>
        <v>27417</v>
      </c>
      <c r="F257" s="1" t="s">
        <v>964</v>
      </c>
      <c r="G257" s="16" t="s">
        <v>639</v>
      </c>
      <c r="H257" s="16" t="s">
        <v>527</v>
      </c>
      <c r="I257" s="16">
        <v>1</v>
      </c>
      <c r="K257" s="16" t="s">
        <v>3308</v>
      </c>
      <c r="L257" s="16" t="s">
        <v>3308</v>
      </c>
    </row>
    <row r="258" spans="1:12" s="16" customFormat="1">
      <c r="A258" s="26"/>
      <c r="B258" s="16" t="str">
        <f t="shared" si="25"/>
        <v>0x6B1A</v>
      </c>
      <c r="D258" s="16">
        <f t="shared" si="26"/>
        <v>27418</v>
      </c>
      <c r="F258" s="1" t="s">
        <v>965</v>
      </c>
      <c r="G258" s="16" t="s">
        <v>639</v>
      </c>
      <c r="H258" s="16" t="s">
        <v>527</v>
      </c>
      <c r="I258" s="16">
        <v>1</v>
      </c>
      <c r="K258" s="16" t="s">
        <v>3314</v>
      </c>
      <c r="L258" s="16" t="s">
        <v>3314</v>
      </c>
    </row>
    <row r="259" spans="1:12" s="16" customFormat="1">
      <c r="A259" s="26"/>
      <c r="B259" s="16" t="str">
        <f t="shared" si="25"/>
        <v>0x6B1B</v>
      </c>
      <c r="D259" s="16">
        <f t="shared" si="26"/>
        <v>27419</v>
      </c>
      <c r="F259" s="1" t="s">
        <v>966</v>
      </c>
      <c r="G259" s="16" t="s">
        <v>639</v>
      </c>
      <c r="H259" s="16" t="s">
        <v>527</v>
      </c>
      <c r="I259" s="16">
        <v>1</v>
      </c>
      <c r="K259" s="16" t="s">
        <v>3315</v>
      </c>
      <c r="L259" s="16" t="s">
        <v>3315</v>
      </c>
    </row>
    <row r="260" spans="1:12" s="16" customFormat="1">
      <c r="A260" s="26"/>
      <c r="B260" s="16" t="str">
        <f t="shared" si="25"/>
        <v>0x6B1C</v>
      </c>
      <c r="D260" s="16">
        <f t="shared" si="26"/>
        <v>27420</v>
      </c>
      <c r="F260" s="1" t="s">
        <v>967</v>
      </c>
      <c r="G260" s="16" t="s">
        <v>639</v>
      </c>
      <c r="H260" s="16" t="s">
        <v>527</v>
      </c>
      <c r="I260" s="16">
        <v>1</v>
      </c>
      <c r="K260" s="16" t="s">
        <v>3316</v>
      </c>
      <c r="L260" s="16" t="s">
        <v>3316</v>
      </c>
    </row>
    <row r="261" spans="1:12" s="16" customFormat="1">
      <c r="A261" s="26"/>
      <c r="B261" s="16" t="str">
        <f t="shared" si="25"/>
        <v>0x6B1D</v>
      </c>
      <c r="D261" s="16">
        <f t="shared" si="26"/>
        <v>27421</v>
      </c>
      <c r="F261" s="1" t="s">
        <v>968</v>
      </c>
      <c r="G261" s="16" t="s">
        <v>639</v>
      </c>
      <c r="H261" s="16" t="s">
        <v>527</v>
      </c>
      <c r="I261" s="16">
        <v>1</v>
      </c>
      <c r="K261" s="16" t="s">
        <v>3317</v>
      </c>
      <c r="L261" s="16" t="s">
        <v>3317</v>
      </c>
    </row>
    <row r="262" spans="1:12" s="16" customFormat="1">
      <c r="A262" s="26"/>
      <c r="B262" s="16" t="str">
        <f t="shared" si="25"/>
        <v>0x6B1E</v>
      </c>
      <c r="D262" s="16">
        <f t="shared" si="26"/>
        <v>27422</v>
      </c>
      <c r="F262" s="1" t="s">
        <v>969</v>
      </c>
      <c r="G262" s="16" t="s">
        <v>639</v>
      </c>
      <c r="H262" s="16" t="s">
        <v>527</v>
      </c>
      <c r="I262" s="16">
        <v>1</v>
      </c>
      <c r="K262" s="16" t="s">
        <v>3318</v>
      </c>
      <c r="L262" s="16" t="s">
        <v>3318</v>
      </c>
    </row>
    <row r="263" spans="1:12" s="16" customFormat="1">
      <c r="A263" s="26"/>
      <c r="B263" s="16" t="str">
        <f t="shared" si="25"/>
        <v>0x6B1F</v>
      </c>
      <c r="D263" s="16">
        <f t="shared" si="26"/>
        <v>27423</v>
      </c>
      <c r="F263" s="1" t="s">
        <v>970</v>
      </c>
      <c r="G263" s="16" t="s">
        <v>639</v>
      </c>
      <c r="H263" s="16" t="s">
        <v>527</v>
      </c>
      <c r="I263" s="16">
        <v>1</v>
      </c>
      <c r="K263" s="16" t="s">
        <v>3319</v>
      </c>
      <c r="L263" s="16" t="s">
        <v>3319</v>
      </c>
    </row>
    <row r="264" spans="1:12" s="16" customFormat="1">
      <c r="A264" s="26"/>
      <c r="B264" s="16" t="str">
        <f t="shared" si="25"/>
        <v>0x6B20</v>
      </c>
      <c r="D264" s="16">
        <f t="shared" si="26"/>
        <v>27424</v>
      </c>
      <c r="F264" s="1" t="s">
        <v>971</v>
      </c>
      <c r="G264" s="16" t="s">
        <v>639</v>
      </c>
      <c r="H264" s="16" t="s">
        <v>527</v>
      </c>
      <c r="I264" s="16">
        <v>1</v>
      </c>
      <c r="K264" s="16" t="s">
        <v>3320</v>
      </c>
      <c r="L264" s="16" t="s">
        <v>3320</v>
      </c>
    </row>
    <row r="265" spans="1:12" s="16" customFormat="1">
      <c r="A265" s="26"/>
      <c r="B265" s="16" t="str">
        <f t="shared" ref="B265:B305" si="27">"0x"&amp;DEC2HEX(D265,4)</f>
        <v>0x6B21</v>
      </c>
      <c r="D265" s="16">
        <f t="shared" ref="D265:D305" si="28">D264+I264</f>
        <v>27425</v>
      </c>
      <c r="F265" s="1" t="s">
        <v>3003</v>
      </c>
      <c r="G265" s="16" t="s">
        <v>639</v>
      </c>
      <c r="H265" s="16" t="s">
        <v>527</v>
      </c>
      <c r="I265" s="16">
        <v>1</v>
      </c>
      <c r="K265" s="16" t="s">
        <v>3321</v>
      </c>
      <c r="L265" s="16" t="s">
        <v>3321</v>
      </c>
    </row>
    <row r="266" spans="1:12" s="16" customFormat="1">
      <c r="A266" s="26"/>
      <c r="B266" s="16" t="str">
        <f t="shared" si="27"/>
        <v>0x6B22</v>
      </c>
      <c r="D266" s="16">
        <f t="shared" si="28"/>
        <v>27426</v>
      </c>
      <c r="F266" s="1" t="s">
        <v>3004</v>
      </c>
      <c r="G266" s="16" t="s">
        <v>639</v>
      </c>
      <c r="H266" s="16" t="s">
        <v>527</v>
      </c>
      <c r="I266" s="16">
        <v>1</v>
      </c>
      <c r="K266" s="16" t="s">
        <v>3322</v>
      </c>
      <c r="L266" s="16" t="s">
        <v>3322</v>
      </c>
    </row>
    <row r="267" spans="1:12" s="16" customFormat="1">
      <c r="A267" s="26"/>
      <c r="B267" s="16" t="str">
        <f t="shared" si="27"/>
        <v>0x6B23</v>
      </c>
      <c r="D267" s="16">
        <f t="shared" si="28"/>
        <v>27427</v>
      </c>
      <c r="F267" s="1" t="s">
        <v>3005</v>
      </c>
      <c r="G267" s="16" t="s">
        <v>639</v>
      </c>
      <c r="H267" s="16" t="s">
        <v>527</v>
      </c>
      <c r="I267" s="16">
        <v>1</v>
      </c>
      <c r="K267" s="16" t="s">
        <v>3323</v>
      </c>
      <c r="L267" s="16" t="s">
        <v>3323</v>
      </c>
    </row>
    <row r="268" spans="1:12" s="16" customFormat="1">
      <c r="A268" s="26"/>
      <c r="B268" s="16" t="str">
        <f t="shared" si="27"/>
        <v>0x6B24</v>
      </c>
      <c r="D268" s="16">
        <f t="shared" si="28"/>
        <v>27428</v>
      </c>
      <c r="F268" s="1" t="s">
        <v>3006</v>
      </c>
      <c r="G268" s="16" t="s">
        <v>639</v>
      </c>
      <c r="H268" s="16" t="s">
        <v>527</v>
      </c>
      <c r="I268" s="16">
        <v>1</v>
      </c>
      <c r="K268" s="16" t="s">
        <v>3324</v>
      </c>
      <c r="L268" s="16" t="s">
        <v>3324</v>
      </c>
    </row>
    <row r="269" spans="1:12" s="16" customFormat="1">
      <c r="A269" s="26"/>
      <c r="B269" s="16" t="str">
        <f t="shared" si="27"/>
        <v>0x6B25</v>
      </c>
      <c r="D269" s="16">
        <f t="shared" si="28"/>
        <v>27429</v>
      </c>
      <c r="F269" s="1" t="s">
        <v>3007</v>
      </c>
      <c r="G269" s="16" t="s">
        <v>639</v>
      </c>
      <c r="H269" s="16" t="s">
        <v>527</v>
      </c>
      <c r="I269" s="16">
        <v>1</v>
      </c>
      <c r="K269" s="16" t="s">
        <v>3325</v>
      </c>
      <c r="L269" s="16" t="s">
        <v>3325</v>
      </c>
    </row>
    <row r="270" spans="1:12" s="16" customFormat="1">
      <c r="A270" s="26"/>
      <c r="B270" s="16" t="str">
        <f t="shared" si="27"/>
        <v>0x6B26</v>
      </c>
      <c r="D270" s="16">
        <f t="shared" si="28"/>
        <v>27430</v>
      </c>
      <c r="F270" s="1" t="s">
        <v>3008</v>
      </c>
      <c r="G270" s="16" t="s">
        <v>639</v>
      </c>
      <c r="H270" s="16" t="s">
        <v>527</v>
      </c>
      <c r="I270" s="16">
        <v>1</v>
      </c>
      <c r="K270" s="16" t="s">
        <v>3326</v>
      </c>
      <c r="L270" s="16" t="s">
        <v>3326</v>
      </c>
    </row>
    <row r="271" spans="1:12" s="16" customFormat="1">
      <c r="A271" s="26"/>
      <c r="B271" s="16" t="str">
        <f t="shared" si="27"/>
        <v>0x6B27</v>
      </c>
      <c r="D271" s="16">
        <f t="shared" si="28"/>
        <v>27431</v>
      </c>
      <c r="F271" s="1" t="s">
        <v>3009</v>
      </c>
      <c r="G271" s="16" t="s">
        <v>639</v>
      </c>
      <c r="H271" s="16" t="s">
        <v>527</v>
      </c>
      <c r="I271" s="16">
        <v>1</v>
      </c>
      <c r="K271" s="16" t="s">
        <v>3327</v>
      </c>
      <c r="L271" s="16" t="s">
        <v>3327</v>
      </c>
    </row>
    <row r="272" spans="1:12" s="16" customFormat="1">
      <c r="A272" s="26"/>
      <c r="B272" s="16" t="str">
        <f t="shared" si="27"/>
        <v>0x6B28</v>
      </c>
      <c r="D272" s="16">
        <f t="shared" si="28"/>
        <v>27432</v>
      </c>
      <c r="F272" s="1" t="s">
        <v>3010</v>
      </c>
      <c r="G272" s="16" t="s">
        <v>639</v>
      </c>
      <c r="H272" s="16" t="s">
        <v>527</v>
      </c>
      <c r="I272" s="16">
        <v>1</v>
      </c>
      <c r="K272" s="16" t="s">
        <v>3328</v>
      </c>
      <c r="L272" s="16" t="s">
        <v>3328</v>
      </c>
    </row>
    <row r="273" spans="1:12" s="16" customFormat="1">
      <c r="A273" s="26"/>
      <c r="B273" s="16" t="str">
        <f t="shared" si="27"/>
        <v>0x6B29</v>
      </c>
      <c r="D273" s="16">
        <f t="shared" si="28"/>
        <v>27433</v>
      </c>
      <c r="F273" s="1" t="s">
        <v>3011</v>
      </c>
      <c r="G273" s="16" t="s">
        <v>639</v>
      </c>
      <c r="H273" s="16" t="s">
        <v>527</v>
      </c>
      <c r="I273" s="16">
        <v>1</v>
      </c>
      <c r="K273" s="16" t="s">
        <v>3329</v>
      </c>
      <c r="L273" s="16" t="s">
        <v>3329</v>
      </c>
    </row>
    <row r="274" spans="1:12" s="16" customFormat="1">
      <c r="A274" s="26"/>
      <c r="B274" s="16" t="str">
        <f t="shared" si="27"/>
        <v>0x6B2A</v>
      </c>
      <c r="D274" s="16">
        <f t="shared" si="28"/>
        <v>27434</v>
      </c>
      <c r="F274" s="1" t="s">
        <v>3012</v>
      </c>
      <c r="G274" s="16" t="s">
        <v>639</v>
      </c>
      <c r="H274" s="16" t="s">
        <v>527</v>
      </c>
      <c r="I274" s="16">
        <v>1</v>
      </c>
      <c r="K274" s="16" t="s">
        <v>3330</v>
      </c>
      <c r="L274" s="16" t="s">
        <v>3330</v>
      </c>
    </row>
    <row r="275" spans="1:12" s="16" customFormat="1">
      <c r="A275" s="26"/>
      <c r="B275" s="16" t="str">
        <f t="shared" si="27"/>
        <v>0x6B2B</v>
      </c>
      <c r="D275" s="16">
        <f t="shared" si="28"/>
        <v>27435</v>
      </c>
      <c r="F275" s="1" t="s">
        <v>3013</v>
      </c>
      <c r="G275" s="16" t="s">
        <v>639</v>
      </c>
      <c r="H275" s="16" t="s">
        <v>527</v>
      </c>
      <c r="I275" s="16">
        <v>1</v>
      </c>
      <c r="K275" s="16" t="s">
        <v>3331</v>
      </c>
      <c r="L275" s="16" t="s">
        <v>3331</v>
      </c>
    </row>
    <row r="276" spans="1:12" s="16" customFormat="1">
      <c r="A276" s="26"/>
      <c r="B276" s="16" t="str">
        <f t="shared" si="27"/>
        <v>0x6B2C</v>
      </c>
      <c r="D276" s="16">
        <f t="shared" si="28"/>
        <v>27436</v>
      </c>
      <c r="F276" s="1" t="s">
        <v>3014</v>
      </c>
      <c r="G276" s="16" t="s">
        <v>639</v>
      </c>
      <c r="H276" s="16" t="s">
        <v>527</v>
      </c>
      <c r="I276" s="16">
        <v>1</v>
      </c>
      <c r="K276" s="16" t="s">
        <v>3332</v>
      </c>
      <c r="L276" s="16" t="s">
        <v>3332</v>
      </c>
    </row>
    <row r="277" spans="1:12" s="16" customFormat="1">
      <c r="A277" s="26"/>
      <c r="B277" s="16" t="str">
        <f t="shared" si="27"/>
        <v>0x6B2D</v>
      </c>
      <c r="D277" s="16">
        <f t="shared" si="28"/>
        <v>27437</v>
      </c>
      <c r="F277" s="1" t="s">
        <v>3015</v>
      </c>
      <c r="G277" s="16" t="s">
        <v>639</v>
      </c>
      <c r="H277" s="16" t="s">
        <v>527</v>
      </c>
      <c r="I277" s="16">
        <v>1</v>
      </c>
      <c r="K277" s="16" t="s">
        <v>3333</v>
      </c>
      <c r="L277" s="16" t="s">
        <v>3333</v>
      </c>
    </row>
    <row r="278" spans="1:12" s="16" customFormat="1" ht="15" customHeight="1">
      <c r="A278" s="26"/>
      <c r="B278" s="16" t="str">
        <f t="shared" si="27"/>
        <v>0x6B2E</v>
      </c>
      <c r="D278" s="16">
        <f t="shared" si="28"/>
        <v>27438</v>
      </c>
      <c r="F278" s="1" t="s">
        <v>3016</v>
      </c>
      <c r="G278" s="16" t="s">
        <v>639</v>
      </c>
      <c r="H278" s="16" t="s">
        <v>527</v>
      </c>
      <c r="I278" s="16">
        <v>1</v>
      </c>
      <c r="K278" s="16" t="s">
        <v>3334</v>
      </c>
      <c r="L278" s="16" t="s">
        <v>3334</v>
      </c>
    </row>
    <row r="279" spans="1:12" s="16" customFormat="1">
      <c r="A279" s="26"/>
      <c r="B279" s="16" t="str">
        <f t="shared" si="27"/>
        <v>0x6B2F</v>
      </c>
      <c r="D279" s="16">
        <f t="shared" si="28"/>
        <v>27439</v>
      </c>
      <c r="F279" s="1" t="s">
        <v>3017</v>
      </c>
      <c r="G279" s="16" t="s">
        <v>639</v>
      </c>
      <c r="H279" s="16" t="s">
        <v>527</v>
      </c>
      <c r="I279" s="16">
        <v>1</v>
      </c>
    </row>
    <row r="280" spans="1:12" s="16" customFormat="1">
      <c r="A280" s="26"/>
      <c r="B280" s="16" t="str">
        <f t="shared" si="27"/>
        <v>0x6B30</v>
      </c>
      <c r="D280" s="16">
        <f t="shared" si="28"/>
        <v>27440</v>
      </c>
      <c r="F280" s="1" t="s">
        <v>3018</v>
      </c>
      <c r="G280" s="16" t="s">
        <v>639</v>
      </c>
      <c r="H280" s="16" t="s">
        <v>527</v>
      </c>
      <c r="I280" s="16">
        <v>1</v>
      </c>
      <c r="L280" s="16">
        <v>0</v>
      </c>
    </row>
    <row r="281" spans="1:12" s="16" customFormat="1">
      <c r="A281" s="26"/>
      <c r="B281" s="16" t="str">
        <f t="shared" si="27"/>
        <v>0x6B31</v>
      </c>
      <c r="D281" s="16">
        <f t="shared" si="28"/>
        <v>27441</v>
      </c>
      <c r="F281" s="1" t="s">
        <v>3019</v>
      </c>
      <c r="G281" s="16" t="s">
        <v>639</v>
      </c>
      <c r="H281" s="16" t="s">
        <v>527</v>
      </c>
      <c r="I281" s="16">
        <v>1</v>
      </c>
      <c r="L281" s="16">
        <v>0</v>
      </c>
    </row>
    <row r="282" spans="1:12" s="16" customFormat="1">
      <c r="A282" s="26"/>
      <c r="B282" s="16" t="str">
        <f t="shared" si="27"/>
        <v>0x6B32</v>
      </c>
      <c r="D282" s="16">
        <f t="shared" si="28"/>
        <v>27442</v>
      </c>
      <c r="F282" s="1" t="s">
        <v>3020</v>
      </c>
      <c r="G282" s="16" t="s">
        <v>639</v>
      </c>
      <c r="H282" s="16" t="s">
        <v>527</v>
      </c>
      <c r="I282" s="16">
        <v>1</v>
      </c>
      <c r="L282" s="16">
        <v>0</v>
      </c>
    </row>
    <row r="283" spans="1:12" s="16" customFormat="1">
      <c r="A283" s="26"/>
      <c r="B283" s="16" t="str">
        <f t="shared" si="27"/>
        <v>0x6B33</v>
      </c>
      <c r="D283" s="16">
        <f t="shared" si="28"/>
        <v>27443</v>
      </c>
      <c r="F283" s="1" t="s">
        <v>3021</v>
      </c>
      <c r="G283" s="16" t="s">
        <v>639</v>
      </c>
      <c r="H283" s="16" t="s">
        <v>527</v>
      </c>
      <c r="I283" s="16">
        <v>1</v>
      </c>
      <c r="L283" s="16">
        <v>0</v>
      </c>
    </row>
    <row r="284" spans="1:12" s="16" customFormat="1">
      <c r="A284" s="26"/>
      <c r="B284" s="16" t="str">
        <f t="shared" si="27"/>
        <v>0x6B34</v>
      </c>
      <c r="D284" s="16">
        <f t="shared" si="28"/>
        <v>27444</v>
      </c>
      <c r="F284" s="1" t="s">
        <v>3022</v>
      </c>
      <c r="G284" s="16" t="s">
        <v>639</v>
      </c>
      <c r="H284" s="16" t="s">
        <v>527</v>
      </c>
      <c r="I284" s="16">
        <v>1</v>
      </c>
      <c r="L284" s="16">
        <v>0</v>
      </c>
    </row>
    <row r="285" spans="1:12" s="16" customFormat="1">
      <c r="A285" s="26"/>
      <c r="B285" s="16" t="str">
        <f t="shared" si="27"/>
        <v>0x6B35</v>
      </c>
      <c r="D285" s="16">
        <f t="shared" si="28"/>
        <v>27445</v>
      </c>
      <c r="F285" s="1" t="s">
        <v>3023</v>
      </c>
      <c r="G285" s="16" t="s">
        <v>639</v>
      </c>
      <c r="H285" s="16" t="s">
        <v>527</v>
      </c>
      <c r="I285" s="16">
        <v>1</v>
      </c>
      <c r="L285" s="16">
        <v>0</v>
      </c>
    </row>
    <row r="286" spans="1:12" s="16" customFormat="1">
      <c r="A286" s="26"/>
      <c r="B286" s="16" t="str">
        <f t="shared" si="27"/>
        <v>0x6B36</v>
      </c>
      <c r="D286" s="16">
        <f t="shared" si="28"/>
        <v>27446</v>
      </c>
      <c r="F286" s="1" t="s">
        <v>3024</v>
      </c>
      <c r="G286" s="16" t="s">
        <v>639</v>
      </c>
      <c r="H286" s="16" t="s">
        <v>527</v>
      </c>
      <c r="I286" s="16">
        <v>1</v>
      </c>
      <c r="L286" s="16">
        <v>0</v>
      </c>
    </row>
    <row r="287" spans="1:12" s="16" customFormat="1">
      <c r="A287" s="26"/>
      <c r="B287" s="16" t="str">
        <f t="shared" si="27"/>
        <v>0x6B37</v>
      </c>
      <c r="D287" s="16">
        <f t="shared" si="28"/>
        <v>27447</v>
      </c>
      <c r="F287" s="1" t="s">
        <v>3025</v>
      </c>
      <c r="G287" s="16" t="s">
        <v>639</v>
      </c>
      <c r="H287" s="16" t="s">
        <v>527</v>
      </c>
      <c r="I287" s="16">
        <v>1</v>
      </c>
      <c r="L287" s="16">
        <v>0</v>
      </c>
    </row>
    <row r="288" spans="1:12" s="16" customFormat="1">
      <c r="A288" s="26"/>
      <c r="B288" s="16" t="str">
        <f t="shared" si="27"/>
        <v>0x6B38</v>
      </c>
      <c r="D288" s="16">
        <f t="shared" si="28"/>
        <v>27448</v>
      </c>
      <c r="F288" s="1" t="s">
        <v>3026</v>
      </c>
      <c r="G288" s="16" t="s">
        <v>639</v>
      </c>
      <c r="H288" s="16" t="s">
        <v>527</v>
      </c>
      <c r="I288" s="16">
        <v>1</v>
      </c>
      <c r="L288" s="16">
        <v>0</v>
      </c>
    </row>
    <row r="289" spans="1:12" s="16" customFormat="1">
      <c r="A289" s="26"/>
      <c r="B289" s="16" t="str">
        <f t="shared" si="27"/>
        <v>0x6B39</v>
      </c>
      <c r="D289" s="16">
        <f t="shared" si="28"/>
        <v>27449</v>
      </c>
      <c r="F289" s="1" t="s">
        <v>3027</v>
      </c>
      <c r="G289" s="16" t="s">
        <v>639</v>
      </c>
      <c r="H289" s="16" t="s">
        <v>527</v>
      </c>
      <c r="I289" s="16">
        <v>1</v>
      </c>
      <c r="L289" s="16">
        <v>0</v>
      </c>
    </row>
    <row r="290" spans="1:12" s="16" customFormat="1">
      <c r="A290" s="26"/>
      <c r="B290" s="16" t="str">
        <f t="shared" si="27"/>
        <v>0x6B3A</v>
      </c>
      <c r="D290" s="16">
        <f t="shared" si="28"/>
        <v>27450</v>
      </c>
      <c r="F290" s="1" t="s">
        <v>3028</v>
      </c>
      <c r="G290" s="16" t="s">
        <v>639</v>
      </c>
      <c r="H290" s="16" t="s">
        <v>527</v>
      </c>
      <c r="I290" s="16">
        <v>1</v>
      </c>
      <c r="L290" s="16">
        <v>0</v>
      </c>
    </row>
    <row r="291" spans="1:12" s="16" customFormat="1">
      <c r="A291" s="26"/>
      <c r="B291" s="16" t="str">
        <f t="shared" si="27"/>
        <v>0x6B3B</v>
      </c>
      <c r="D291" s="16">
        <f t="shared" si="28"/>
        <v>27451</v>
      </c>
      <c r="F291" s="1" t="s">
        <v>3029</v>
      </c>
      <c r="G291" s="16" t="s">
        <v>639</v>
      </c>
      <c r="H291" s="16" t="s">
        <v>527</v>
      </c>
      <c r="I291" s="16">
        <v>1</v>
      </c>
      <c r="L291" s="16">
        <v>0</v>
      </c>
    </row>
    <row r="292" spans="1:12" s="16" customFormat="1">
      <c r="A292" s="26"/>
      <c r="B292" s="16" t="str">
        <f t="shared" si="27"/>
        <v>0x6B3C</v>
      </c>
      <c r="D292" s="16">
        <f t="shared" si="28"/>
        <v>27452</v>
      </c>
      <c r="F292" s="1" t="s">
        <v>3030</v>
      </c>
      <c r="G292" s="16" t="s">
        <v>639</v>
      </c>
      <c r="H292" s="16" t="s">
        <v>527</v>
      </c>
      <c r="I292" s="16">
        <v>1</v>
      </c>
      <c r="L292" s="16">
        <v>0</v>
      </c>
    </row>
    <row r="293" spans="1:12" s="16" customFormat="1">
      <c r="A293" s="26"/>
      <c r="B293" s="16" t="str">
        <f t="shared" si="27"/>
        <v>0x6B3D</v>
      </c>
      <c r="D293" s="16">
        <f t="shared" si="28"/>
        <v>27453</v>
      </c>
      <c r="F293" s="1" t="s">
        <v>3031</v>
      </c>
      <c r="G293" s="16" t="s">
        <v>639</v>
      </c>
      <c r="H293" s="16" t="s">
        <v>527</v>
      </c>
      <c r="I293" s="16">
        <v>1</v>
      </c>
      <c r="L293" s="16">
        <v>0</v>
      </c>
    </row>
    <row r="294" spans="1:12" s="16" customFormat="1">
      <c r="A294" s="26"/>
      <c r="B294" s="16" t="str">
        <f t="shared" si="27"/>
        <v>0x6B3E</v>
      </c>
      <c r="D294" s="16">
        <f t="shared" si="28"/>
        <v>27454</v>
      </c>
      <c r="F294" s="1" t="s">
        <v>3031</v>
      </c>
      <c r="G294" s="16" t="s">
        <v>639</v>
      </c>
      <c r="H294" s="16" t="s">
        <v>527</v>
      </c>
      <c r="I294" s="16">
        <v>1</v>
      </c>
      <c r="L294" s="16">
        <v>0</v>
      </c>
    </row>
    <row r="295" spans="1:12" s="16" customFormat="1">
      <c r="A295" s="26"/>
      <c r="B295" s="16" t="str">
        <f t="shared" si="27"/>
        <v>0x6B3F</v>
      </c>
      <c r="D295" s="16">
        <f t="shared" si="28"/>
        <v>27455</v>
      </c>
      <c r="F295" s="1" t="s">
        <v>3032</v>
      </c>
      <c r="G295" s="16" t="s">
        <v>639</v>
      </c>
      <c r="H295" s="16" t="s">
        <v>527</v>
      </c>
      <c r="I295" s="16">
        <v>1</v>
      </c>
      <c r="L295" s="16">
        <v>0</v>
      </c>
    </row>
    <row r="296" spans="1:12" s="16" customFormat="1">
      <c r="A296" s="26"/>
      <c r="B296" s="16" t="str">
        <f t="shared" si="27"/>
        <v>0x6B40</v>
      </c>
      <c r="D296" s="16">
        <f t="shared" si="28"/>
        <v>27456</v>
      </c>
      <c r="F296" s="1" t="s">
        <v>3033</v>
      </c>
      <c r="G296" s="16" t="s">
        <v>639</v>
      </c>
      <c r="H296" s="16" t="s">
        <v>527</v>
      </c>
      <c r="I296" s="16">
        <v>1</v>
      </c>
      <c r="L296" s="16">
        <v>0</v>
      </c>
    </row>
    <row r="297" spans="1:12" s="16" customFormat="1">
      <c r="A297" s="26"/>
      <c r="B297" s="16" t="str">
        <f t="shared" si="27"/>
        <v>0x6B41</v>
      </c>
      <c r="D297" s="16">
        <f t="shared" si="28"/>
        <v>27457</v>
      </c>
      <c r="F297" s="1" t="s">
        <v>3034</v>
      </c>
      <c r="G297" s="16" t="s">
        <v>639</v>
      </c>
      <c r="H297" s="16" t="s">
        <v>527</v>
      </c>
      <c r="I297" s="16">
        <v>1</v>
      </c>
      <c r="L297" s="16">
        <v>0</v>
      </c>
    </row>
    <row r="298" spans="1:12" s="16" customFormat="1">
      <c r="A298" s="26"/>
      <c r="B298" s="16" t="str">
        <f t="shared" si="27"/>
        <v>0x6B42</v>
      </c>
      <c r="D298" s="16">
        <f t="shared" si="28"/>
        <v>27458</v>
      </c>
      <c r="F298" s="1" t="s">
        <v>3035</v>
      </c>
      <c r="G298" s="16" t="s">
        <v>639</v>
      </c>
      <c r="H298" s="16" t="s">
        <v>527</v>
      </c>
      <c r="I298" s="16">
        <v>1</v>
      </c>
      <c r="L298" s="16">
        <v>0</v>
      </c>
    </row>
    <row r="299" spans="1:12" s="16" customFormat="1">
      <c r="A299" s="26"/>
      <c r="B299" s="16" t="str">
        <f t="shared" si="27"/>
        <v>0x6B43</v>
      </c>
      <c r="D299" s="16">
        <f t="shared" si="28"/>
        <v>27459</v>
      </c>
      <c r="F299" s="1" t="s">
        <v>3036</v>
      </c>
      <c r="G299" s="16" t="s">
        <v>639</v>
      </c>
      <c r="H299" s="16" t="s">
        <v>527</v>
      </c>
      <c r="I299" s="16">
        <v>1</v>
      </c>
      <c r="L299" s="16">
        <v>0</v>
      </c>
    </row>
    <row r="300" spans="1:12" s="16" customFormat="1">
      <c r="A300" s="26"/>
      <c r="B300" s="16" t="str">
        <f t="shared" si="27"/>
        <v>0x6B44</v>
      </c>
      <c r="D300" s="16">
        <f t="shared" si="28"/>
        <v>27460</v>
      </c>
      <c r="F300" s="1" t="s">
        <v>3037</v>
      </c>
      <c r="G300" s="16" t="s">
        <v>639</v>
      </c>
      <c r="H300" s="16" t="s">
        <v>527</v>
      </c>
      <c r="I300" s="16">
        <v>1</v>
      </c>
      <c r="L300" s="16">
        <v>0</v>
      </c>
    </row>
    <row r="301" spans="1:12" s="16" customFormat="1">
      <c r="A301" s="26"/>
      <c r="B301" s="16" t="str">
        <f t="shared" si="27"/>
        <v>0x6B45</v>
      </c>
      <c r="D301" s="16">
        <f t="shared" si="28"/>
        <v>27461</v>
      </c>
      <c r="F301" s="1" t="s">
        <v>3038</v>
      </c>
      <c r="G301" s="16" t="s">
        <v>639</v>
      </c>
      <c r="H301" s="16" t="s">
        <v>527</v>
      </c>
      <c r="I301" s="16">
        <v>1</v>
      </c>
      <c r="L301" s="16">
        <v>0</v>
      </c>
    </row>
    <row r="302" spans="1:12" s="16" customFormat="1">
      <c r="A302" s="26"/>
      <c r="B302" s="16" t="str">
        <f t="shared" si="27"/>
        <v>0x6B46</v>
      </c>
      <c r="D302" s="16">
        <f t="shared" si="28"/>
        <v>27462</v>
      </c>
      <c r="F302" s="1" t="s">
        <v>3039</v>
      </c>
      <c r="G302" s="16" t="s">
        <v>639</v>
      </c>
      <c r="H302" s="16" t="s">
        <v>527</v>
      </c>
      <c r="I302" s="16">
        <v>1</v>
      </c>
      <c r="L302" s="16">
        <v>0</v>
      </c>
    </row>
    <row r="303" spans="1:12" s="16" customFormat="1">
      <c r="A303" s="26"/>
      <c r="B303" s="16" t="str">
        <f t="shared" si="27"/>
        <v>0x6B47</v>
      </c>
      <c r="D303" s="16">
        <f t="shared" si="28"/>
        <v>27463</v>
      </c>
      <c r="F303" s="1" t="s">
        <v>3040</v>
      </c>
      <c r="G303" s="16" t="s">
        <v>639</v>
      </c>
      <c r="H303" s="16" t="s">
        <v>527</v>
      </c>
      <c r="I303" s="16">
        <v>1</v>
      </c>
      <c r="L303" s="16">
        <v>0</v>
      </c>
    </row>
    <row r="304" spans="1:12" s="16" customFormat="1">
      <c r="A304" s="26"/>
      <c r="B304" s="16" t="str">
        <f t="shared" si="27"/>
        <v>0x6B48</v>
      </c>
      <c r="D304" s="16">
        <f t="shared" si="28"/>
        <v>27464</v>
      </c>
      <c r="F304" s="1" t="s">
        <v>3041</v>
      </c>
      <c r="G304" s="16" t="s">
        <v>639</v>
      </c>
      <c r="H304" s="16" t="s">
        <v>527</v>
      </c>
      <c r="I304" s="16">
        <v>1</v>
      </c>
      <c r="L304" s="16">
        <v>0</v>
      </c>
    </row>
    <row r="305" spans="1:12" s="16" customFormat="1">
      <c r="A305" s="26"/>
      <c r="B305" s="16" t="str">
        <f t="shared" si="27"/>
        <v>0x6B49</v>
      </c>
      <c r="D305" s="16">
        <f t="shared" si="28"/>
        <v>27465</v>
      </c>
      <c r="F305" s="1" t="s">
        <v>3042</v>
      </c>
      <c r="G305" s="16" t="s">
        <v>639</v>
      </c>
      <c r="H305" s="16" t="s">
        <v>527</v>
      </c>
      <c r="I305" s="16">
        <v>1</v>
      </c>
      <c r="L305" s="16">
        <v>0</v>
      </c>
    </row>
    <row r="306" spans="1:12" s="16" customFormat="1">
      <c r="A306" s="26"/>
      <c r="B306" s="16" t="str">
        <f t="shared" ref="B306:B337" si="29">"0x"&amp;DEC2HEX(D306,4)</f>
        <v>0x6B4A</v>
      </c>
      <c r="D306" s="16">
        <f t="shared" ref="D306:D337" si="30">D305+I305</f>
        <v>27466</v>
      </c>
      <c r="F306" s="1" t="s">
        <v>3043</v>
      </c>
      <c r="G306" s="16" t="s">
        <v>639</v>
      </c>
      <c r="H306" s="16" t="s">
        <v>527</v>
      </c>
      <c r="I306" s="16">
        <v>1</v>
      </c>
      <c r="L306" s="16">
        <v>0</v>
      </c>
    </row>
    <row r="307" spans="1:12" s="16" customFormat="1">
      <c r="A307" s="26"/>
      <c r="B307" s="16" t="str">
        <f t="shared" si="29"/>
        <v>0x6B4B</v>
      </c>
      <c r="D307" s="16">
        <f t="shared" si="30"/>
        <v>27467</v>
      </c>
      <c r="F307" s="1" t="s">
        <v>3044</v>
      </c>
      <c r="G307" s="16" t="s">
        <v>639</v>
      </c>
      <c r="H307" s="16" t="s">
        <v>527</v>
      </c>
      <c r="I307" s="16">
        <v>1</v>
      </c>
      <c r="L307" s="16">
        <v>0</v>
      </c>
    </row>
    <row r="308" spans="1:12" s="16" customFormat="1">
      <c r="A308" s="26"/>
      <c r="B308" s="16" t="str">
        <f t="shared" si="29"/>
        <v>0x6B4C</v>
      </c>
      <c r="D308" s="16">
        <f t="shared" si="30"/>
        <v>27468</v>
      </c>
      <c r="F308" s="1" t="s">
        <v>3045</v>
      </c>
      <c r="G308" s="16" t="s">
        <v>639</v>
      </c>
      <c r="H308" s="16" t="s">
        <v>527</v>
      </c>
      <c r="I308" s="16">
        <v>1</v>
      </c>
      <c r="L308" s="16">
        <v>0</v>
      </c>
    </row>
    <row r="309" spans="1:12" s="16" customFormat="1">
      <c r="A309" s="26"/>
      <c r="B309" s="16" t="str">
        <f t="shared" si="29"/>
        <v>0x6B4D</v>
      </c>
      <c r="D309" s="16">
        <f t="shared" si="30"/>
        <v>27469</v>
      </c>
      <c r="F309" s="1" t="s">
        <v>3046</v>
      </c>
      <c r="G309" s="16" t="s">
        <v>639</v>
      </c>
      <c r="H309" s="16" t="s">
        <v>527</v>
      </c>
      <c r="I309" s="16">
        <v>1</v>
      </c>
      <c r="L309" s="16">
        <v>0</v>
      </c>
    </row>
    <row r="310" spans="1:12" s="16" customFormat="1">
      <c r="A310" s="26"/>
      <c r="B310" s="16" t="str">
        <f t="shared" si="29"/>
        <v>0x6B4E</v>
      </c>
      <c r="D310" s="16">
        <f t="shared" si="30"/>
        <v>27470</v>
      </c>
      <c r="F310" s="1" t="s">
        <v>3047</v>
      </c>
      <c r="G310" s="16" t="s">
        <v>639</v>
      </c>
      <c r="H310" s="16" t="s">
        <v>527</v>
      </c>
      <c r="I310" s="16">
        <v>1</v>
      </c>
      <c r="L310" s="16">
        <v>0</v>
      </c>
    </row>
    <row r="311" spans="1:12" s="16" customFormat="1">
      <c r="A311" s="26"/>
      <c r="B311" s="16" t="str">
        <f t="shared" si="29"/>
        <v>0x6B4F</v>
      </c>
      <c r="D311" s="16">
        <f t="shared" si="30"/>
        <v>27471</v>
      </c>
      <c r="F311" s="1" t="s">
        <v>3048</v>
      </c>
      <c r="G311" s="16" t="s">
        <v>639</v>
      </c>
      <c r="H311" s="16" t="s">
        <v>527</v>
      </c>
      <c r="I311" s="16">
        <v>1</v>
      </c>
      <c r="L311" s="16">
        <v>0</v>
      </c>
    </row>
    <row r="312" spans="1:12" s="16" customFormat="1">
      <c r="A312" s="26"/>
      <c r="B312" s="16" t="str">
        <f t="shared" si="29"/>
        <v>0x6B50</v>
      </c>
      <c r="D312" s="16">
        <f t="shared" si="30"/>
        <v>27472</v>
      </c>
      <c r="F312" s="1" t="s">
        <v>3049</v>
      </c>
      <c r="G312" s="16" t="s">
        <v>639</v>
      </c>
      <c r="H312" s="16" t="s">
        <v>527</v>
      </c>
      <c r="I312" s="16">
        <v>1</v>
      </c>
      <c r="L312" s="16">
        <v>0</v>
      </c>
    </row>
    <row r="313" spans="1:12" s="16" customFormat="1">
      <c r="A313" s="26"/>
      <c r="B313" s="16" t="str">
        <f t="shared" si="29"/>
        <v>0x6B51</v>
      </c>
      <c r="D313" s="16">
        <f t="shared" si="30"/>
        <v>27473</v>
      </c>
      <c r="F313" s="1" t="s">
        <v>3050</v>
      </c>
      <c r="G313" s="16" t="s">
        <v>639</v>
      </c>
      <c r="H313" s="16" t="s">
        <v>527</v>
      </c>
      <c r="I313" s="16">
        <v>1</v>
      </c>
      <c r="L313" s="16">
        <v>0</v>
      </c>
    </row>
    <row r="314" spans="1:12" s="16" customFormat="1">
      <c r="A314" s="26"/>
      <c r="B314" s="16" t="str">
        <f t="shared" si="29"/>
        <v>0x6B52</v>
      </c>
      <c r="D314" s="16">
        <f t="shared" si="30"/>
        <v>27474</v>
      </c>
      <c r="F314" s="1" t="s">
        <v>3051</v>
      </c>
      <c r="G314" s="16" t="s">
        <v>639</v>
      </c>
      <c r="H314" s="16" t="s">
        <v>527</v>
      </c>
      <c r="I314" s="16">
        <v>1</v>
      </c>
      <c r="L314" s="16">
        <v>0</v>
      </c>
    </row>
    <row r="315" spans="1:12" s="16" customFormat="1">
      <c r="A315" s="26"/>
      <c r="B315" s="16" t="str">
        <f t="shared" si="29"/>
        <v>0x6B53</v>
      </c>
      <c r="D315" s="16">
        <f t="shared" si="30"/>
        <v>27475</v>
      </c>
      <c r="F315" s="1" t="s">
        <v>3052</v>
      </c>
      <c r="G315" s="16" t="s">
        <v>639</v>
      </c>
      <c r="H315" s="16" t="s">
        <v>527</v>
      </c>
      <c r="I315" s="16">
        <v>1</v>
      </c>
      <c r="L315" s="16">
        <v>0</v>
      </c>
    </row>
    <row r="316" spans="1:12" s="16" customFormat="1">
      <c r="A316" s="26"/>
      <c r="B316" s="16" t="str">
        <f t="shared" si="29"/>
        <v>0x6B54</v>
      </c>
      <c r="D316" s="16">
        <f t="shared" si="30"/>
        <v>27476</v>
      </c>
      <c r="F316" s="1" t="s">
        <v>3053</v>
      </c>
      <c r="G316" s="16" t="s">
        <v>639</v>
      </c>
      <c r="H316" s="16" t="s">
        <v>527</v>
      </c>
      <c r="I316" s="16">
        <v>1</v>
      </c>
      <c r="L316" s="16">
        <v>0</v>
      </c>
    </row>
    <row r="317" spans="1:12" s="16" customFormat="1">
      <c r="A317" s="26"/>
      <c r="B317" s="16" t="str">
        <f t="shared" si="29"/>
        <v>0x6B55</v>
      </c>
      <c r="D317" s="16">
        <f t="shared" si="30"/>
        <v>27477</v>
      </c>
      <c r="F317" s="1" t="s">
        <v>3054</v>
      </c>
      <c r="G317" s="16" t="s">
        <v>639</v>
      </c>
      <c r="H317" s="16" t="s">
        <v>527</v>
      </c>
      <c r="I317" s="16">
        <v>1</v>
      </c>
      <c r="L317" s="16">
        <v>0</v>
      </c>
    </row>
    <row r="318" spans="1:12" s="16" customFormat="1">
      <c r="A318" s="26"/>
      <c r="B318" s="16" t="str">
        <f t="shared" si="29"/>
        <v>0x6B56</v>
      </c>
      <c r="D318" s="16">
        <f t="shared" si="30"/>
        <v>27478</v>
      </c>
      <c r="F318" s="1" t="s">
        <v>3055</v>
      </c>
      <c r="G318" s="16" t="s">
        <v>639</v>
      </c>
      <c r="H318" s="16" t="s">
        <v>527</v>
      </c>
      <c r="I318" s="16">
        <v>1</v>
      </c>
      <c r="L318" s="16">
        <v>0</v>
      </c>
    </row>
    <row r="319" spans="1:12" s="16" customFormat="1" ht="15" customHeight="1">
      <c r="A319" s="26"/>
      <c r="B319" s="16" t="str">
        <f t="shared" si="29"/>
        <v>0x6B57</v>
      </c>
      <c r="D319" s="16">
        <f t="shared" si="30"/>
        <v>27479</v>
      </c>
      <c r="F319" s="1" t="s">
        <v>3056</v>
      </c>
      <c r="G319" s="16" t="s">
        <v>639</v>
      </c>
      <c r="H319" s="16" t="s">
        <v>527</v>
      </c>
      <c r="I319" s="16">
        <v>1</v>
      </c>
      <c r="L319" s="16">
        <v>0</v>
      </c>
    </row>
    <row r="320" spans="1:12" s="16" customFormat="1">
      <c r="A320" s="26"/>
      <c r="B320" s="16" t="str">
        <f t="shared" si="29"/>
        <v>0x6B58</v>
      </c>
      <c r="D320" s="16">
        <f t="shared" si="30"/>
        <v>27480</v>
      </c>
      <c r="F320" s="1" t="s">
        <v>3057</v>
      </c>
      <c r="G320" s="16" t="s">
        <v>639</v>
      </c>
      <c r="H320" s="16" t="s">
        <v>527</v>
      </c>
      <c r="I320" s="16">
        <v>1</v>
      </c>
      <c r="L320" s="16">
        <v>0</v>
      </c>
    </row>
    <row r="321" spans="1:12" s="16" customFormat="1">
      <c r="A321" s="26"/>
      <c r="B321" s="16" t="str">
        <f t="shared" si="29"/>
        <v>0x6B59</v>
      </c>
      <c r="D321" s="16">
        <f t="shared" si="30"/>
        <v>27481</v>
      </c>
      <c r="F321" s="1" t="s">
        <v>3058</v>
      </c>
      <c r="G321" s="16" t="s">
        <v>639</v>
      </c>
      <c r="H321" s="16" t="s">
        <v>527</v>
      </c>
      <c r="I321" s="16">
        <v>1</v>
      </c>
      <c r="L321" s="16">
        <v>0</v>
      </c>
    </row>
    <row r="322" spans="1:12" s="16" customFormat="1">
      <c r="A322" s="26"/>
      <c r="B322" s="16" t="str">
        <f t="shared" si="29"/>
        <v>0x6B5A</v>
      </c>
      <c r="D322" s="16">
        <f t="shared" si="30"/>
        <v>27482</v>
      </c>
      <c r="F322" s="1" t="s">
        <v>3059</v>
      </c>
      <c r="G322" s="16" t="s">
        <v>639</v>
      </c>
      <c r="H322" s="16" t="s">
        <v>527</v>
      </c>
      <c r="I322" s="16">
        <v>1</v>
      </c>
      <c r="L322" s="16">
        <v>0</v>
      </c>
    </row>
    <row r="323" spans="1:12" s="16" customFormat="1">
      <c r="A323" s="26"/>
      <c r="B323" s="16" t="str">
        <f t="shared" si="29"/>
        <v>0x6B5B</v>
      </c>
      <c r="D323" s="16">
        <f t="shared" si="30"/>
        <v>27483</v>
      </c>
      <c r="F323" s="1" t="s">
        <v>3060</v>
      </c>
      <c r="G323" s="16" t="s">
        <v>639</v>
      </c>
      <c r="H323" s="16" t="s">
        <v>527</v>
      </c>
      <c r="I323" s="16">
        <v>1</v>
      </c>
      <c r="L323" s="16">
        <v>0</v>
      </c>
    </row>
    <row r="324" spans="1:12" s="16" customFormat="1">
      <c r="A324" s="26"/>
      <c r="B324" s="16" t="str">
        <f t="shared" si="29"/>
        <v>0x6B5C</v>
      </c>
      <c r="D324" s="16">
        <f t="shared" si="30"/>
        <v>27484</v>
      </c>
      <c r="F324" s="1" t="s">
        <v>3061</v>
      </c>
      <c r="G324" s="16" t="s">
        <v>639</v>
      </c>
      <c r="H324" s="16" t="s">
        <v>527</v>
      </c>
      <c r="I324" s="16">
        <v>1</v>
      </c>
      <c r="L324" s="16">
        <v>0</v>
      </c>
    </row>
    <row r="325" spans="1:12" s="16" customFormat="1">
      <c r="A325" s="26"/>
      <c r="B325" s="16" t="str">
        <f t="shared" si="29"/>
        <v>0x6B5D</v>
      </c>
      <c r="D325" s="16">
        <f t="shared" si="30"/>
        <v>27485</v>
      </c>
      <c r="F325" s="1" t="s">
        <v>3062</v>
      </c>
      <c r="G325" s="16" t="s">
        <v>639</v>
      </c>
      <c r="H325" s="16" t="s">
        <v>527</v>
      </c>
      <c r="I325" s="16">
        <v>1</v>
      </c>
      <c r="L325" s="16">
        <v>0</v>
      </c>
    </row>
    <row r="326" spans="1:12" s="16" customFormat="1">
      <c r="A326" s="26"/>
      <c r="B326" s="16" t="str">
        <f t="shared" si="29"/>
        <v>0x6B5E</v>
      </c>
      <c r="D326" s="16">
        <f t="shared" si="30"/>
        <v>27486</v>
      </c>
      <c r="F326" s="1" t="s">
        <v>3063</v>
      </c>
      <c r="G326" s="16" t="s">
        <v>639</v>
      </c>
      <c r="H326" s="16" t="s">
        <v>527</v>
      </c>
      <c r="I326" s="16">
        <v>1</v>
      </c>
      <c r="L326" s="16">
        <v>0</v>
      </c>
    </row>
    <row r="327" spans="1:12" s="16" customFormat="1">
      <c r="A327" s="26"/>
      <c r="B327" s="16" t="str">
        <f t="shared" si="29"/>
        <v>0x6B5F</v>
      </c>
      <c r="D327" s="16">
        <f t="shared" si="30"/>
        <v>27487</v>
      </c>
      <c r="F327" s="1" t="s">
        <v>3064</v>
      </c>
      <c r="G327" s="16" t="s">
        <v>639</v>
      </c>
      <c r="H327" s="16" t="s">
        <v>527</v>
      </c>
      <c r="I327" s="16">
        <v>1</v>
      </c>
      <c r="L327" s="16">
        <v>0</v>
      </c>
    </row>
    <row r="328" spans="1:12" s="16" customFormat="1">
      <c r="A328" s="26"/>
      <c r="B328" s="16" t="str">
        <f t="shared" si="29"/>
        <v>0x6B60</v>
      </c>
      <c r="D328" s="16">
        <f t="shared" si="30"/>
        <v>27488</v>
      </c>
      <c r="F328" s="1" t="s">
        <v>3065</v>
      </c>
      <c r="G328" s="16" t="s">
        <v>639</v>
      </c>
      <c r="H328" s="16" t="s">
        <v>527</v>
      </c>
      <c r="I328" s="16">
        <v>1</v>
      </c>
      <c r="L328" s="16">
        <v>0</v>
      </c>
    </row>
    <row r="329" spans="1:12" s="16" customFormat="1">
      <c r="A329" s="26"/>
      <c r="B329" s="16" t="str">
        <f t="shared" si="29"/>
        <v>0x6B61</v>
      </c>
      <c r="D329" s="16">
        <f t="shared" si="30"/>
        <v>27489</v>
      </c>
      <c r="F329" s="1" t="s">
        <v>3066</v>
      </c>
      <c r="G329" s="16" t="s">
        <v>639</v>
      </c>
      <c r="H329" s="16" t="s">
        <v>527</v>
      </c>
      <c r="I329" s="16">
        <v>1</v>
      </c>
      <c r="L329" s="16">
        <v>0</v>
      </c>
    </row>
    <row r="330" spans="1:12" s="16" customFormat="1">
      <c r="A330" s="26"/>
      <c r="B330" s="16" t="str">
        <f t="shared" si="29"/>
        <v>0x6B62</v>
      </c>
      <c r="D330" s="16">
        <f t="shared" si="30"/>
        <v>27490</v>
      </c>
      <c r="F330" s="1" t="s">
        <v>3067</v>
      </c>
      <c r="G330" s="16" t="s">
        <v>639</v>
      </c>
      <c r="H330" s="16" t="s">
        <v>527</v>
      </c>
      <c r="I330" s="16">
        <v>1</v>
      </c>
      <c r="L330" s="16">
        <v>0</v>
      </c>
    </row>
    <row r="331" spans="1:12" s="16" customFormat="1">
      <c r="A331" s="26"/>
      <c r="B331" s="16" t="str">
        <f t="shared" si="29"/>
        <v>0x6B63</v>
      </c>
      <c r="D331" s="16">
        <f t="shared" si="30"/>
        <v>27491</v>
      </c>
      <c r="F331" s="1" t="s">
        <v>3068</v>
      </c>
      <c r="G331" s="16" t="s">
        <v>639</v>
      </c>
      <c r="H331" s="16" t="s">
        <v>527</v>
      </c>
      <c r="I331" s="16">
        <v>1</v>
      </c>
      <c r="L331" s="16">
        <v>0</v>
      </c>
    </row>
    <row r="332" spans="1:12" s="16" customFormat="1">
      <c r="A332" s="26"/>
      <c r="B332" s="16" t="str">
        <f t="shared" si="29"/>
        <v>0x6B64</v>
      </c>
      <c r="D332" s="16">
        <f t="shared" si="30"/>
        <v>27492</v>
      </c>
      <c r="F332" s="1" t="s">
        <v>3069</v>
      </c>
      <c r="G332" s="16" t="s">
        <v>639</v>
      </c>
      <c r="H332" s="16" t="s">
        <v>527</v>
      </c>
      <c r="I332" s="16">
        <v>1</v>
      </c>
      <c r="L332" s="16">
        <v>0</v>
      </c>
    </row>
    <row r="333" spans="1:12" s="16" customFormat="1">
      <c r="A333" s="26"/>
      <c r="B333" s="16" t="str">
        <f t="shared" si="29"/>
        <v>0x6B65</v>
      </c>
      <c r="D333" s="16">
        <f t="shared" si="30"/>
        <v>27493</v>
      </c>
      <c r="F333" s="1" t="s">
        <v>3070</v>
      </c>
      <c r="G333" s="16" t="s">
        <v>639</v>
      </c>
      <c r="H333" s="16" t="s">
        <v>527</v>
      </c>
      <c r="I333" s="16">
        <v>1</v>
      </c>
      <c r="L333" s="16">
        <v>0</v>
      </c>
    </row>
    <row r="334" spans="1:12" s="16" customFormat="1">
      <c r="A334" s="26"/>
      <c r="B334" s="16" t="str">
        <f t="shared" si="29"/>
        <v>0x6B66</v>
      </c>
      <c r="D334" s="16">
        <f t="shared" si="30"/>
        <v>27494</v>
      </c>
      <c r="F334" s="1" t="s">
        <v>3071</v>
      </c>
      <c r="G334" s="16" t="s">
        <v>639</v>
      </c>
      <c r="H334" s="16" t="s">
        <v>527</v>
      </c>
      <c r="I334" s="16">
        <v>1</v>
      </c>
      <c r="L334" s="16">
        <v>0</v>
      </c>
    </row>
    <row r="335" spans="1:12" s="16" customFormat="1">
      <c r="A335" s="26"/>
      <c r="B335" s="16" t="str">
        <f t="shared" si="29"/>
        <v>0x6B67</v>
      </c>
      <c r="D335" s="16">
        <f t="shared" si="30"/>
        <v>27495</v>
      </c>
      <c r="F335" s="1" t="s">
        <v>3072</v>
      </c>
      <c r="G335" s="16" t="s">
        <v>639</v>
      </c>
      <c r="H335" s="16" t="s">
        <v>527</v>
      </c>
      <c r="I335" s="16">
        <v>1</v>
      </c>
      <c r="L335" s="16">
        <v>0</v>
      </c>
    </row>
    <row r="336" spans="1:12" s="16" customFormat="1">
      <c r="A336" s="26"/>
      <c r="B336" s="16" t="str">
        <f t="shared" si="29"/>
        <v>0x6B68</v>
      </c>
      <c r="D336" s="16">
        <f t="shared" si="30"/>
        <v>27496</v>
      </c>
      <c r="F336" s="1" t="s">
        <v>3073</v>
      </c>
      <c r="G336" s="16" t="s">
        <v>639</v>
      </c>
      <c r="H336" s="16" t="s">
        <v>527</v>
      </c>
      <c r="I336" s="16">
        <v>1</v>
      </c>
      <c r="L336" s="16">
        <v>0</v>
      </c>
    </row>
    <row r="337" spans="1:12" s="16" customFormat="1">
      <c r="A337" s="26"/>
      <c r="B337" s="16" t="str">
        <f t="shared" si="29"/>
        <v>0x6B69</v>
      </c>
      <c r="D337" s="16">
        <f t="shared" si="30"/>
        <v>27497</v>
      </c>
      <c r="F337" s="1" t="s">
        <v>3074</v>
      </c>
      <c r="G337" s="16" t="s">
        <v>639</v>
      </c>
      <c r="H337" s="16" t="s">
        <v>527</v>
      </c>
      <c r="I337" s="16">
        <v>1</v>
      </c>
      <c r="L337" s="16">
        <v>0</v>
      </c>
    </row>
    <row r="338" spans="1:12" s="16" customFormat="1">
      <c r="A338" s="26"/>
      <c r="B338" s="16" t="str">
        <f t="shared" ref="B338:B348" si="31">"0x"&amp;DEC2HEX(D338,4)</f>
        <v>0x6B6A</v>
      </c>
      <c r="D338" s="16">
        <f t="shared" ref="D338:D348" si="32">D337+I337</f>
        <v>27498</v>
      </c>
      <c r="F338" s="1" t="s">
        <v>3075</v>
      </c>
      <c r="G338" s="16" t="s">
        <v>639</v>
      </c>
      <c r="H338" s="16" t="s">
        <v>527</v>
      </c>
      <c r="I338" s="16">
        <v>1</v>
      </c>
      <c r="L338" s="16">
        <v>0</v>
      </c>
    </row>
    <row r="339" spans="1:12" s="16" customFormat="1">
      <c r="A339" s="26"/>
      <c r="B339" s="16" t="str">
        <f t="shared" si="31"/>
        <v>0x6B6B</v>
      </c>
      <c r="D339" s="16">
        <f t="shared" si="32"/>
        <v>27499</v>
      </c>
      <c r="F339" s="1" t="s">
        <v>3076</v>
      </c>
      <c r="G339" s="16" t="s">
        <v>639</v>
      </c>
      <c r="H339" s="16" t="s">
        <v>527</v>
      </c>
      <c r="I339" s="16">
        <v>1</v>
      </c>
      <c r="L339" s="16">
        <v>0</v>
      </c>
    </row>
    <row r="340" spans="1:12" s="16" customFormat="1">
      <c r="A340" s="26"/>
      <c r="B340" s="16" t="str">
        <f t="shared" si="31"/>
        <v>0x6B6C</v>
      </c>
      <c r="D340" s="16">
        <f t="shared" si="32"/>
        <v>27500</v>
      </c>
      <c r="F340" s="1" t="s">
        <v>3077</v>
      </c>
      <c r="G340" s="16" t="s">
        <v>639</v>
      </c>
      <c r="H340" s="16" t="s">
        <v>527</v>
      </c>
      <c r="I340" s="16">
        <v>1</v>
      </c>
      <c r="L340" s="16">
        <v>0</v>
      </c>
    </row>
    <row r="341" spans="1:12" s="16" customFormat="1">
      <c r="A341" s="26"/>
      <c r="B341" s="16" t="str">
        <f t="shared" si="31"/>
        <v>0x6B6D</v>
      </c>
      <c r="D341" s="16">
        <f t="shared" si="32"/>
        <v>27501</v>
      </c>
      <c r="F341" s="1" t="s">
        <v>3078</v>
      </c>
      <c r="G341" s="16" t="s">
        <v>639</v>
      </c>
      <c r="H341" s="16" t="s">
        <v>527</v>
      </c>
      <c r="I341" s="16">
        <v>1</v>
      </c>
      <c r="L341" s="16">
        <v>0</v>
      </c>
    </row>
    <row r="342" spans="1:12" s="16" customFormat="1">
      <c r="A342" s="26"/>
      <c r="B342" s="16" t="str">
        <f t="shared" si="31"/>
        <v>0x6B6E</v>
      </c>
      <c r="D342" s="16">
        <f t="shared" si="32"/>
        <v>27502</v>
      </c>
      <c r="F342" s="1" t="s">
        <v>3079</v>
      </c>
      <c r="G342" s="16" t="s">
        <v>639</v>
      </c>
      <c r="H342" s="16" t="s">
        <v>527</v>
      </c>
      <c r="I342" s="16">
        <v>1</v>
      </c>
      <c r="L342" s="16">
        <v>0</v>
      </c>
    </row>
    <row r="343" spans="1:12" s="16" customFormat="1">
      <c r="A343" s="26"/>
      <c r="B343" s="16" t="str">
        <f t="shared" si="31"/>
        <v>0x6B6F</v>
      </c>
      <c r="D343" s="16">
        <f t="shared" si="32"/>
        <v>27503</v>
      </c>
      <c r="F343" s="1" t="s">
        <v>3080</v>
      </c>
      <c r="G343" s="16" t="s">
        <v>639</v>
      </c>
      <c r="H343" s="16" t="s">
        <v>527</v>
      </c>
      <c r="I343" s="16">
        <v>1</v>
      </c>
      <c r="L343" s="16">
        <v>0</v>
      </c>
    </row>
    <row r="344" spans="1:12" s="16" customFormat="1">
      <c r="A344" s="26"/>
      <c r="B344" s="16" t="str">
        <f t="shared" si="31"/>
        <v>0x6B70</v>
      </c>
      <c r="D344" s="16">
        <f t="shared" si="32"/>
        <v>27504</v>
      </c>
      <c r="F344" s="1" t="s">
        <v>3081</v>
      </c>
      <c r="G344" s="16" t="s">
        <v>639</v>
      </c>
      <c r="H344" s="16" t="s">
        <v>527</v>
      </c>
      <c r="I344" s="16">
        <v>1</v>
      </c>
      <c r="L344" s="16">
        <v>0</v>
      </c>
    </row>
    <row r="345" spans="1:12" s="16" customFormat="1">
      <c r="A345" s="26"/>
      <c r="B345" s="16" t="str">
        <f t="shared" si="31"/>
        <v>0x6B71</v>
      </c>
      <c r="D345" s="16">
        <f t="shared" si="32"/>
        <v>27505</v>
      </c>
      <c r="F345" s="1" t="s">
        <v>3082</v>
      </c>
      <c r="G345" s="16" t="s">
        <v>639</v>
      </c>
      <c r="H345" s="16" t="s">
        <v>527</v>
      </c>
      <c r="I345" s="16">
        <v>1</v>
      </c>
      <c r="L345" s="16">
        <v>0</v>
      </c>
    </row>
    <row r="346" spans="1:12" s="16" customFormat="1">
      <c r="A346" s="26"/>
      <c r="B346" s="16" t="str">
        <f t="shared" si="31"/>
        <v>0x6B72</v>
      </c>
      <c r="D346" s="16">
        <f t="shared" si="32"/>
        <v>27506</v>
      </c>
      <c r="F346" s="1" t="s">
        <v>3083</v>
      </c>
      <c r="G346" s="16" t="s">
        <v>639</v>
      </c>
      <c r="H346" s="16" t="s">
        <v>527</v>
      </c>
      <c r="I346" s="16">
        <v>1</v>
      </c>
      <c r="L346" s="16">
        <v>0</v>
      </c>
    </row>
    <row r="347" spans="1:12" s="16" customFormat="1">
      <c r="A347" s="26"/>
      <c r="B347" s="16" t="str">
        <f t="shared" si="31"/>
        <v>0x6B73</v>
      </c>
      <c r="D347" s="16">
        <f t="shared" si="32"/>
        <v>27507</v>
      </c>
      <c r="F347" s="1" t="s">
        <v>3084</v>
      </c>
      <c r="G347" s="16" t="s">
        <v>639</v>
      </c>
      <c r="H347" s="16" t="s">
        <v>527</v>
      </c>
      <c r="I347" s="16">
        <v>1</v>
      </c>
      <c r="L347" s="16">
        <v>0</v>
      </c>
    </row>
    <row r="348" spans="1:12" s="16" customFormat="1">
      <c r="A348" s="26"/>
      <c r="B348" s="16" t="str">
        <f t="shared" si="31"/>
        <v>0x6B74</v>
      </c>
      <c r="D348" s="16">
        <f t="shared" si="32"/>
        <v>27508</v>
      </c>
      <c r="F348" s="1" t="s">
        <v>3085</v>
      </c>
      <c r="G348" s="16" t="s">
        <v>639</v>
      </c>
      <c r="H348" s="16" t="s">
        <v>527</v>
      </c>
      <c r="I348" s="16">
        <v>1</v>
      </c>
      <c r="L348" s="16">
        <v>0</v>
      </c>
    </row>
    <row r="349" spans="1:12" s="16" customFormat="1">
      <c r="A349" s="26"/>
      <c r="B349" s="16" t="str">
        <f t="shared" ref="B349:B351" si="33">"0x"&amp;DEC2HEX(D349,4)</f>
        <v>0x6B75</v>
      </c>
      <c r="D349" s="16">
        <f t="shared" ref="D349:D351" si="34">D348+I348</f>
        <v>27509</v>
      </c>
      <c r="F349" s="1" t="s">
        <v>3086</v>
      </c>
      <c r="G349" s="16" t="s">
        <v>639</v>
      </c>
      <c r="H349" s="16" t="s">
        <v>527</v>
      </c>
      <c r="I349" s="16">
        <v>1</v>
      </c>
      <c r="L349" s="16">
        <v>0</v>
      </c>
    </row>
    <row r="350" spans="1:12" s="16" customFormat="1">
      <c r="A350" s="26"/>
      <c r="B350" s="16" t="str">
        <f t="shared" si="33"/>
        <v>0x6B76</v>
      </c>
      <c r="D350" s="16">
        <f t="shared" si="34"/>
        <v>27510</v>
      </c>
      <c r="F350" s="1" t="s">
        <v>3087</v>
      </c>
      <c r="G350" s="16" t="s">
        <v>639</v>
      </c>
      <c r="H350" s="16" t="s">
        <v>527</v>
      </c>
      <c r="I350" s="16">
        <v>1</v>
      </c>
      <c r="L350" s="16">
        <v>0</v>
      </c>
    </row>
    <row r="351" spans="1:12" s="16" customFormat="1">
      <c r="A351" s="26"/>
      <c r="B351" s="16" t="str">
        <f t="shared" si="33"/>
        <v>0x6B77</v>
      </c>
      <c r="D351" s="16">
        <f t="shared" si="34"/>
        <v>27511</v>
      </c>
      <c r="F351" s="1" t="s">
        <v>3088</v>
      </c>
      <c r="G351" s="16" t="s">
        <v>639</v>
      </c>
      <c r="H351" s="16" t="s">
        <v>527</v>
      </c>
      <c r="I351" s="16">
        <v>1</v>
      </c>
      <c r="L351" s="16">
        <v>0</v>
      </c>
    </row>
    <row r="352" spans="1:12" s="16" customFormat="1">
      <c r="A352" s="26"/>
      <c r="B352" s="16" t="str">
        <f t="shared" ref="B352" si="35">"0x"&amp;DEC2HEX(D352,4)</f>
        <v>0x6B78</v>
      </c>
      <c r="D352" s="16">
        <f t="shared" ref="D352" si="36">D351+I351</f>
        <v>27512</v>
      </c>
      <c r="F352" s="1" t="s">
        <v>3089</v>
      </c>
      <c r="G352" s="16" t="s">
        <v>639</v>
      </c>
      <c r="H352" s="16" t="s">
        <v>527</v>
      </c>
      <c r="I352" s="16">
        <v>1</v>
      </c>
      <c r="L352" s="16">
        <v>0</v>
      </c>
    </row>
    <row r="353" spans="1:12" s="16" customFormat="1">
      <c r="A353" s="26"/>
    </row>
    <row r="354" spans="1:12" s="16" customFormat="1">
      <c r="A354" s="26"/>
    </row>
    <row r="355" spans="1:12" s="16" customFormat="1">
      <c r="A355" s="26"/>
    </row>
    <row r="356" spans="1:12" s="16" customFormat="1">
      <c r="A356" s="26" t="s">
        <v>243</v>
      </c>
    </row>
    <row r="357" spans="1:12" s="16" customFormat="1">
      <c r="A357" s="26"/>
      <c r="B357" s="16" t="str">
        <f t="shared" ref="B357:B483" si="37">"0x"&amp;DEC2HEX(D357,4)</f>
        <v>0x6A00</v>
      </c>
      <c r="D357" s="16">
        <v>27136</v>
      </c>
      <c r="F357" s="1" t="s">
        <v>972</v>
      </c>
      <c r="G357" s="16" t="s">
        <v>639</v>
      </c>
      <c r="H357" s="16" t="s">
        <v>430</v>
      </c>
      <c r="I357" s="16">
        <v>1</v>
      </c>
      <c r="L357" s="16">
        <v>0</v>
      </c>
    </row>
    <row r="358" spans="1:12" s="16" customFormat="1">
      <c r="A358" s="26"/>
      <c r="B358" s="16" t="str">
        <f t="shared" si="37"/>
        <v>0x6A01</v>
      </c>
      <c r="D358" s="16">
        <f t="shared" ref="D358:D421" si="38">D357+I357</f>
        <v>27137</v>
      </c>
      <c r="F358" s="1" t="s">
        <v>973</v>
      </c>
      <c r="G358" s="16" t="s">
        <v>639</v>
      </c>
      <c r="H358" s="16" t="s">
        <v>430</v>
      </c>
      <c r="I358" s="16">
        <v>1</v>
      </c>
      <c r="L358" s="16">
        <v>0</v>
      </c>
    </row>
    <row r="359" spans="1:12" s="16" customFormat="1">
      <c r="A359" s="26"/>
      <c r="B359" s="16" t="str">
        <f t="shared" si="37"/>
        <v>0x6A02</v>
      </c>
      <c r="D359" s="16">
        <f t="shared" si="38"/>
        <v>27138</v>
      </c>
      <c r="F359" s="1" t="s">
        <v>974</v>
      </c>
      <c r="G359" s="16" t="s">
        <v>639</v>
      </c>
      <c r="H359" s="16" t="s">
        <v>430</v>
      </c>
      <c r="I359" s="16">
        <v>1</v>
      </c>
      <c r="L359" s="16">
        <v>0</v>
      </c>
    </row>
    <row r="360" spans="1:12" s="16" customFormat="1">
      <c r="A360" s="26"/>
      <c r="B360" s="16" t="str">
        <f t="shared" si="37"/>
        <v>0x6A03</v>
      </c>
      <c r="D360" s="16">
        <f t="shared" si="38"/>
        <v>27139</v>
      </c>
      <c r="F360" s="1" t="s">
        <v>975</v>
      </c>
      <c r="G360" s="16" t="s">
        <v>639</v>
      </c>
      <c r="H360" s="16" t="s">
        <v>430</v>
      </c>
      <c r="I360" s="16">
        <v>1</v>
      </c>
      <c r="L360" s="16">
        <v>0</v>
      </c>
    </row>
    <row r="361" spans="1:12" s="16" customFormat="1">
      <c r="A361" s="26"/>
      <c r="B361" s="16" t="str">
        <f t="shared" si="37"/>
        <v>0x6A04</v>
      </c>
      <c r="D361" s="16">
        <f t="shared" si="38"/>
        <v>27140</v>
      </c>
      <c r="F361" s="1" t="s">
        <v>976</v>
      </c>
      <c r="G361" s="16" t="s">
        <v>639</v>
      </c>
      <c r="H361" s="16" t="s">
        <v>430</v>
      </c>
      <c r="I361" s="16">
        <v>1</v>
      </c>
      <c r="L361" s="16">
        <v>0</v>
      </c>
    </row>
    <row r="362" spans="1:12" s="16" customFormat="1">
      <c r="A362" s="26"/>
      <c r="B362" s="16" t="str">
        <f t="shared" si="37"/>
        <v>0x6A05</v>
      </c>
      <c r="D362" s="16">
        <f t="shared" si="38"/>
        <v>27141</v>
      </c>
      <c r="F362" s="1" t="s">
        <v>977</v>
      </c>
      <c r="G362" s="16" t="s">
        <v>639</v>
      </c>
      <c r="H362" s="16" t="s">
        <v>430</v>
      </c>
      <c r="I362" s="16">
        <v>1</v>
      </c>
      <c r="L362" s="16">
        <v>0</v>
      </c>
    </row>
    <row r="363" spans="1:12" s="16" customFormat="1">
      <c r="A363" s="26"/>
      <c r="B363" s="16" t="str">
        <f t="shared" si="37"/>
        <v>0x6A06</v>
      </c>
      <c r="D363" s="16">
        <f t="shared" si="38"/>
        <v>27142</v>
      </c>
      <c r="F363" s="1" t="s">
        <v>978</v>
      </c>
      <c r="G363" s="16" t="s">
        <v>639</v>
      </c>
      <c r="H363" s="16" t="s">
        <v>430</v>
      </c>
      <c r="I363" s="16">
        <v>1</v>
      </c>
      <c r="L363" s="16">
        <v>0</v>
      </c>
    </row>
    <row r="364" spans="1:12" s="16" customFormat="1">
      <c r="A364" s="26"/>
      <c r="B364" s="16" t="str">
        <f t="shared" si="37"/>
        <v>0x6A07</v>
      </c>
      <c r="D364" s="16">
        <f t="shared" si="38"/>
        <v>27143</v>
      </c>
      <c r="F364" s="1" t="s">
        <v>979</v>
      </c>
      <c r="G364" s="16" t="s">
        <v>639</v>
      </c>
      <c r="H364" s="16" t="s">
        <v>430</v>
      </c>
      <c r="I364" s="16">
        <v>1</v>
      </c>
      <c r="L364" s="16">
        <v>0</v>
      </c>
    </row>
    <row r="365" spans="1:12" s="16" customFormat="1">
      <c r="A365" s="26"/>
      <c r="B365" s="16" t="str">
        <f t="shared" si="37"/>
        <v>0x6A08</v>
      </c>
      <c r="D365" s="16">
        <f t="shared" si="38"/>
        <v>27144</v>
      </c>
      <c r="F365" s="1" t="s">
        <v>980</v>
      </c>
      <c r="G365" s="16" t="s">
        <v>639</v>
      </c>
      <c r="H365" s="16" t="s">
        <v>430</v>
      </c>
      <c r="I365" s="16">
        <v>1</v>
      </c>
      <c r="L365" s="16">
        <v>0</v>
      </c>
    </row>
    <row r="366" spans="1:12" s="16" customFormat="1">
      <c r="A366" s="26"/>
      <c r="B366" s="16" t="str">
        <f t="shared" si="37"/>
        <v>0x6A09</v>
      </c>
      <c r="D366" s="16">
        <f t="shared" si="38"/>
        <v>27145</v>
      </c>
      <c r="F366" s="1" t="s">
        <v>981</v>
      </c>
      <c r="G366" s="16" t="s">
        <v>639</v>
      </c>
      <c r="H366" s="16" t="s">
        <v>430</v>
      </c>
      <c r="I366" s="16">
        <v>1</v>
      </c>
      <c r="L366" s="16">
        <v>0</v>
      </c>
    </row>
    <row r="367" spans="1:12" s="16" customFormat="1">
      <c r="A367" s="26"/>
      <c r="B367" s="16" t="str">
        <f t="shared" si="37"/>
        <v>0x6A0A</v>
      </c>
      <c r="D367" s="16">
        <f t="shared" si="38"/>
        <v>27146</v>
      </c>
      <c r="F367" s="1" t="s">
        <v>982</v>
      </c>
      <c r="G367" s="16" t="s">
        <v>639</v>
      </c>
      <c r="H367" s="16" t="s">
        <v>430</v>
      </c>
      <c r="I367" s="16">
        <v>1</v>
      </c>
      <c r="L367" s="16">
        <v>0</v>
      </c>
    </row>
    <row r="368" spans="1:12" s="16" customFormat="1">
      <c r="A368" s="26"/>
      <c r="B368" s="16" t="str">
        <f t="shared" si="37"/>
        <v>0x6A0B</v>
      </c>
      <c r="D368" s="16">
        <f t="shared" si="38"/>
        <v>27147</v>
      </c>
      <c r="F368" s="1" t="s">
        <v>983</v>
      </c>
      <c r="G368" s="16" t="s">
        <v>639</v>
      </c>
      <c r="H368" s="16" t="s">
        <v>430</v>
      </c>
      <c r="I368" s="16">
        <v>1</v>
      </c>
      <c r="L368" s="16">
        <v>0</v>
      </c>
    </row>
    <row r="369" spans="1:12" s="16" customFormat="1">
      <c r="A369" s="26"/>
      <c r="B369" s="16" t="str">
        <f t="shared" si="37"/>
        <v>0x6A0C</v>
      </c>
      <c r="D369" s="16">
        <f t="shared" si="38"/>
        <v>27148</v>
      </c>
      <c r="F369" s="1" t="s">
        <v>984</v>
      </c>
      <c r="G369" s="16" t="s">
        <v>639</v>
      </c>
      <c r="H369" s="16" t="s">
        <v>430</v>
      </c>
      <c r="I369" s="16">
        <v>1</v>
      </c>
      <c r="L369" s="16">
        <v>0</v>
      </c>
    </row>
    <row r="370" spans="1:12" s="16" customFormat="1" ht="15" customHeight="1">
      <c r="A370" s="26"/>
      <c r="B370" s="16" t="str">
        <f t="shared" si="37"/>
        <v>0x6A0D</v>
      </c>
      <c r="D370" s="16">
        <f t="shared" si="38"/>
        <v>27149</v>
      </c>
      <c r="F370" s="1" t="s">
        <v>985</v>
      </c>
      <c r="G370" s="16" t="s">
        <v>639</v>
      </c>
      <c r="H370" s="16" t="s">
        <v>430</v>
      </c>
      <c r="I370" s="16">
        <v>1</v>
      </c>
      <c r="L370" s="16">
        <v>0</v>
      </c>
    </row>
    <row r="371" spans="1:12" s="16" customFormat="1">
      <c r="A371" s="26"/>
      <c r="B371" s="16" t="str">
        <f t="shared" si="37"/>
        <v>0x6A0E</v>
      </c>
      <c r="D371" s="16">
        <f t="shared" si="38"/>
        <v>27150</v>
      </c>
      <c r="F371" s="1" t="s">
        <v>986</v>
      </c>
      <c r="G371" s="16" t="s">
        <v>639</v>
      </c>
      <c r="H371" s="16" t="s">
        <v>430</v>
      </c>
      <c r="I371" s="16">
        <v>1</v>
      </c>
      <c r="L371" s="16">
        <v>0</v>
      </c>
    </row>
    <row r="372" spans="1:12" s="16" customFormat="1">
      <c r="A372" s="26"/>
      <c r="B372" s="16" t="str">
        <f t="shared" si="37"/>
        <v>0x6A0F</v>
      </c>
      <c r="D372" s="16">
        <f t="shared" si="38"/>
        <v>27151</v>
      </c>
      <c r="F372" s="1" t="s">
        <v>987</v>
      </c>
      <c r="G372" s="16" t="s">
        <v>639</v>
      </c>
      <c r="H372" s="16" t="s">
        <v>430</v>
      </c>
      <c r="I372" s="16">
        <v>1</v>
      </c>
      <c r="L372" s="16">
        <v>0</v>
      </c>
    </row>
    <row r="373" spans="1:12" s="16" customFormat="1">
      <c r="A373" s="26"/>
      <c r="B373" s="16" t="str">
        <f t="shared" si="37"/>
        <v>0x6A10</v>
      </c>
      <c r="D373" s="16">
        <f t="shared" si="38"/>
        <v>27152</v>
      </c>
      <c r="F373" s="1" t="s">
        <v>988</v>
      </c>
      <c r="G373" s="16" t="s">
        <v>639</v>
      </c>
      <c r="H373" s="16" t="s">
        <v>430</v>
      </c>
      <c r="I373" s="16">
        <v>1</v>
      </c>
      <c r="L373" s="16">
        <v>0</v>
      </c>
    </row>
    <row r="374" spans="1:12" s="16" customFormat="1">
      <c r="A374" s="26"/>
      <c r="B374" s="16" t="str">
        <f t="shared" si="37"/>
        <v>0x6A11</v>
      </c>
      <c r="D374" s="16">
        <f t="shared" si="38"/>
        <v>27153</v>
      </c>
      <c r="F374" s="1" t="s">
        <v>989</v>
      </c>
      <c r="G374" s="16" t="s">
        <v>639</v>
      </c>
      <c r="H374" s="16" t="s">
        <v>430</v>
      </c>
      <c r="I374" s="16">
        <v>1</v>
      </c>
      <c r="L374" s="16">
        <v>0</v>
      </c>
    </row>
    <row r="375" spans="1:12" s="16" customFormat="1">
      <c r="A375" s="26"/>
      <c r="B375" s="16" t="str">
        <f t="shared" si="37"/>
        <v>0x6A12</v>
      </c>
      <c r="D375" s="16">
        <f t="shared" si="38"/>
        <v>27154</v>
      </c>
      <c r="F375" s="1" t="s">
        <v>990</v>
      </c>
      <c r="G375" s="16" t="s">
        <v>639</v>
      </c>
      <c r="H375" s="16" t="s">
        <v>430</v>
      </c>
      <c r="I375" s="16">
        <v>1</v>
      </c>
      <c r="L375" s="16">
        <v>0</v>
      </c>
    </row>
    <row r="376" spans="1:12" s="16" customFormat="1">
      <c r="A376" s="26"/>
      <c r="B376" s="16" t="str">
        <f t="shared" si="37"/>
        <v>0x6A13</v>
      </c>
      <c r="D376" s="16">
        <f t="shared" si="38"/>
        <v>27155</v>
      </c>
      <c r="F376" s="1" t="s">
        <v>991</v>
      </c>
      <c r="G376" s="16" t="s">
        <v>639</v>
      </c>
      <c r="H376" s="16" t="s">
        <v>430</v>
      </c>
      <c r="I376" s="16">
        <v>1</v>
      </c>
      <c r="L376" s="16">
        <v>0</v>
      </c>
    </row>
    <row r="377" spans="1:12" s="16" customFormat="1">
      <c r="A377" s="26"/>
      <c r="B377" s="16" t="str">
        <f t="shared" si="37"/>
        <v>0x6A14</v>
      </c>
      <c r="D377" s="16">
        <f t="shared" si="38"/>
        <v>27156</v>
      </c>
      <c r="F377" s="1" t="s">
        <v>992</v>
      </c>
      <c r="G377" s="16" t="s">
        <v>639</v>
      </c>
      <c r="H377" s="16" t="s">
        <v>430</v>
      </c>
      <c r="I377" s="16">
        <v>1</v>
      </c>
      <c r="L377" s="16">
        <v>0</v>
      </c>
    </row>
    <row r="378" spans="1:12" s="16" customFormat="1">
      <c r="A378" s="26"/>
      <c r="B378" s="16" t="str">
        <f t="shared" si="37"/>
        <v>0x6A15</v>
      </c>
      <c r="D378" s="16">
        <f t="shared" si="38"/>
        <v>27157</v>
      </c>
      <c r="F378" s="1" t="s">
        <v>993</v>
      </c>
      <c r="G378" s="16" t="s">
        <v>639</v>
      </c>
      <c r="H378" s="16" t="s">
        <v>430</v>
      </c>
      <c r="I378" s="16">
        <v>1</v>
      </c>
      <c r="L378" s="16">
        <v>0</v>
      </c>
    </row>
    <row r="379" spans="1:12" s="16" customFormat="1">
      <c r="A379" s="26"/>
      <c r="B379" s="16" t="str">
        <f t="shared" si="37"/>
        <v>0x6A16</v>
      </c>
      <c r="D379" s="16">
        <f t="shared" si="38"/>
        <v>27158</v>
      </c>
      <c r="F379" s="1" t="s">
        <v>994</v>
      </c>
      <c r="G379" s="16" t="s">
        <v>639</v>
      </c>
      <c r="H379" s="16" t="s">
        <v>430</v>
      </c>
      <c r="I379" s="16">
        <v>1</v>
      </c>
      <c r="L379" s="16">
        <v>0</v>
      </c>
    </row>
    <row r="380" spans="1:12" s="16" customFormat="1">
      <c r="A380" s="26"/>
      <c r="B380" s="16" t="str">
        <f t="shared" si="37"/>
        <v>0x6A17</v>
      </c>
      <c r="D380" s="16">
        <f t="shared" si="38"/>
        <v>27159</v>
      </c>
      <c r="F380" s="1" t="s">
        <v>995</v>
      </c>
      <c r="G380" s="16" t="s">
        <v>639</v>
      </c>
      <c r="H380" s="16" t="s">
        <v>430</v>
      </c>
      <c r="I380" s="16">
        <v>1</v>
      </c>
      <c r="L380" s="16">
        <v>0</v>
      </c>
    </row>
    <row r="381" spans="1:12" s="16" customFormat="1">
      <c r="A381" s="26"/>
      <c r="B381" s="16" t="str">
        <f t="shared" si="37"/>
        <v>0x6A18</v>
      </c>
      <c r="D381" s="16">
        <f t="shared" si="38"/>
        <v>27160</v>
      </c>
      <c r="F381" s="1" t="s">
        <v>996</v>
      </c>
      <c r="G381" s="16" t="s">
        <v>639</v>
      </c>
      <c r="H381" s="16" t="s">
        <v>430</v>
      </c>
      <c r="I381" s="16">
        <v>1</v>
      </c>
      <c r="L381" s="16">
        <v>0</v>
      </c>
    </row>
    <row r="382" spans="1:12" s="16" customFormat="1">
      <c r="A382" s="26"/>
      <c r="B382" s="16" t="str">
        <f t="shared" si="37"/>
        <v>0x6A19</v>
      </c>
      <c r="D382" s="16">
        <f t="shared" si="38"/>
        <v>27161</v>
      </c>
      <c r="F382" s="1" t="s">
        <v>997</v>
      </c>
      <c r="G382" s="16" t="s">
        <v>639</v>
      </c>
      <c r="H382" s="16" t="s">
        <v>430</v>
      </c>
      <c r="I382" s="16">
        <v>1</v>
      </c>
      <c r="L382" s="16">
        <v>0</v>
      </c>
    </row>
    <row r="383" spans="1:12" s="16" customFormat="1">
      <c r="A383" s="26"/>
      <c r="B383" s="16" t="str">
        <f t="shared" si="37"/>
        <v>0x6A1A</v>
      </c>
      <c r="D383" s="16">
        <f t="shared" si="38"/>
        <v>27162</v>
      </c>
      <c r="F383" s="1" t="s">
        <v>998</v>
      </c>
      <c r="G383" s="16" t="s">
        <v>639</v>
      </c>
      <c r="H383" s="16" t="s">
        <v>430</v>
      </c>
      <c r="I383" s="16">
        <v>1</v>
      </c>
      <c r="L383" s="16">
        <v>0</v>
      </c>
    </row>
    <row r="384" spans="1:12" s="16" customFormat="1">
      <c r="A384" s="26"/>
      <c r="B384" s="16" t="str">
        <f t="shared" si="37"/>
        <v>0x6A1B</v>
      </c>
      <c r="D384" s="16">
        <f t="shared" si="38"/>
        <v>27163</v>
      </c>
      <c r="F384" s="1" t="s">
        <v>999</v>
      </c>
      <c r="G384" s="16" t="s">
        <v>639</v>
      </c>
      <c r="H384" s="16" t="s">
        <v>430</v>
      </c>
      <c r="I384" s="16">
        <v>1</v>
      </c>
      <c r="L384" s="16">
        <v>0</v>
      </c>
    </row>
    <row r="385" spans="1:12" s="16" customFormat="1">
      <c r="A385" s="26"/>
      <c r="B385" s="16" t="str">
        <f t="shared" si="37"/>
        <v>0x6A1C</v>
      </c>
      <c r="D385" s="16">
        <f t="shared" si="38"/>
        <v>27164</v>
      </c>
      <c r="F385" s="1" t="s">
        <v>1000</v>
      </c>
      <c r="G385" s="16" t="s">
        <v>639</v>
      </c>
      <c r="H385" s="16" t="s">
        <v>430</v>
      </c>
      <c r="I385" s="16">
        <v>1</v>
      </c>
      <c r="L385" s="16">
        <v>0</v>
      </c>
    </row>
    <row r="386" spans="1:12" s="16" customFormat="1">
      <c r="A386" s="26"/>
      <c r="B386" s="16" t="str">
        <f t="shared" si="37"/>
        <v>0x6A1D</v>
      </c>
      <c r="D386" s="16">
        <f t="shared" si="38"/>
        <v>27165</v>
      </c>
      <c r="F386" s="1" t="s">
        <v>1001</v>
      </c>
      <c r="G386" s="16" t="s">
        <v>639</v>
      </c>
      <c r="H386" s="16" t="s">
        <v>430</v>
      </c>
      <c r="I386" s="16">
        <v>1</v>
      </c>
      <c r="L386" s="16">
        <v>0</v>
      </c>
    </row>
    <row r="387" spans="1:12" s="16" customFormat="1">
      <c r="A387" s="26"/>
      <c r="B387" s="16" t="str">
        <f t="shared" si="37"/>
        <v>0x6A1E</v>
      </c>
      <c r="D387" s="16">
        <f t="shared" si="38"/>
        <v>27166</v>
      </c>
      <c r="F387" s="1" t="s">
        <v>1002</v>
      </c>
      <c r="G387" s="16" t="s">
        <v>639</v>
      </c>
      <c r="H387" s="16" t="s">
        <v>430</v>
      </c>
      <c r="I387" s="16">
        <v>1</v>
      </c>
      <c r="L387" s="16">
        <v>0</v>
      </c>
    </row>
    <row r="388" spans="1:12" s="16" customFormat="1">
      <c r="A388" s="26"/>
      <c r="B388" s="16" t="str">
        <f t="shared" si="37"/>
        <v>0x6A1F</v>
      </c>
      <c r="D388" s="16">
        <f t="shared" si="38"/>
        <v>27167</v>
      </c>
      <c r="F388" s="1" t="s">
        <v>1003</v>
      </c>
      <c r="G388" s="16" t="s">
        <v>639</v>
      </c>
      <c r="H388" s="16" t="s">
        <v>430</v>
      </c>
      <c r="I388" s="16">
        <v>1</v>
      </c>
      <c r="L388" s="16">
        <v>0</v>
      </c>
    </row>
    <row r="389" spans="1:12" s="16" customFormat="1">
      <c r="A389" s="26"/>
      <c r="B389" s="16" t="str">
        <f t="shared" ref="B389:B448" si="39">"0x"&amp;DEC2HEX(D389,4)</f>
        <v>0x6A20</v>
      </c>
      <c r="D389" s="16">
        <f t="shared" si="38"/>
        <v>27168</v>
      </c>
      <c r="F389" s="1" t="s">
        <v>2916</v>
      </c>
      <c r="G389" s="16" t="s">
        <v>639</v>
      </c>
      <c r="H389" s="16" t="s">
        <v>430</v>
      </c>
      <c r="I389" s="16">
        <v>1</v>
      </c>
      <c r="L389" s="16">
        <v>0</v>
      </c>
    </row>
    <row r="390" spans="1:12" s="16" customFormat="1">
      <c r="A390" s="26"/>
      <c r="B390" s="16" t="str">
        <f t="shared" si="39"/>
        <v>0x6A21</v>
      </c>
      <c r="D390" s="16">
        <f t="shared" si="38"/>
        <v>27169</v>
      </c>
      <c r="F390" s="1" t="s">
        <v>2917</v>
      </c>
      <c r="G390" s="16" t="s">
        <v>639</v>
      </c>
      <c r="H390" s="16" t="s">
        <v>430</v>
      </c>
      <c r="I390" s="16">
        <v>1</v>
      </c>
      <c r="L390" s="16">
        <v>0</v>
      </c>
    </row>
    <row r="391" spans="1:12" s="16" customFormat="1">
      <c r="A391" s="26"/>
      <c r="B391" s="16" t="str">
        <f t="shared" si="39"/>
        <v>0x6A22</v>
      </c>
      <c r="D391" s="16">
        <f t="shared" si="38"/>
        <v>27170</v>
      </c>
      <c r="F391" s="1" t="s">
        <v>2918</v>
      </c>
      <c r="G391" s="16" t="s">
        <v>639</v>
      </c>
      <c r="H391" s="16" t="s">
        <v>430</v>
      </c>
      <c r="I391" s="16">
        <v>1</v>
      </c>
      <c r="L391" s="16">
        <v>0</v>
      </c>
    </row>
    <row r="392" spans="1:12" s="16" customFormat="1">
      <c r="A392" s="26"/>
      <c r="B392" s="16" t="str">
        <f t="shared" si="39"/>
        <v>0x6A23</v>
      </c>
      <c r="D392" s="16">
        <f t="shared" si="38"/>
        <v>27171</v>
      </c>
      <c r="F392" s="1" t="s">
        <v>2919</v>
      </c>
      <c r="G392" s="16" t="s">
        <v>639</v>
      </c>
      <c r="H392" s="16" t="s">
        <v>430</v>
      </c>
      <c r="I392" s="16">
        <v>1</v>
      </c>
      <c r="L392" s="16">
        <v>0</v>
      </c>
    </row>
    <row r="393" spans="1:12" s="16" customFormat="1">
      <c r="A393" s="26"/>
      <c r="B393" s="16" t="str">
        <f t="shared" si="39"/>
        <v>0x6A24</v>
      </c>
      <c r="D393" s="16">
        <f t="shared" si="38"/>
        <v>27172</v>
      </c>
      <c r="F393" s="1" t="s">
        <v>2920</v>
      </c>
      <c r="G393" s="16" t="s">
        <v>639</v>
      </c>
      <c r="H393" s="16" t="s">
        <v>430</v>
      </c>
      <c r="I393" s="16">
        <v>1</v>
      </c>
      <c r="L393" s="16">
        <v>0</v>
      </c>
    </row>
    <row r="394" spans="1:12" s="16" customFormat="1">
      <c r="A394" s="26"/>
      <c r="B394" s="16" t="str">
        <f t="shared" si="39"/>
        <v>0x6A25</v>
      </c>
      <c r="D394" s="16">
        <f t="shared" si="38"/>
        <v>27173</v>
      </c>
      <c r="F394" s="1" t="s">
        <v>2921</v>
      </c>
      <c r="G394" s="16" t="s">
        <v>639</v>
      </c>
      <c r="H394" s="16" t="s">
        <v>430</v>
      </c>
      <c r="I394" s="16">
        <v>1</v>
      </c>
      <c r="L394" s="16">
        <v>0</v>
      </c>
    </row>
    <row r="395" spans="1:12" s="16" customFormat="1">
      <c r="A395" s="26"/>
      <c r="B395" s="16" t="str">
        <f t="shared" si="39"/>
        <v>0x6A26</v>
      </c>
      <c r="D395" s="16">
        <f t="shared" si="38"/>
        <v>27174</v>
      </c>
      <c r="F395" s="1" t="s">
        <v>2922</v>
      </c>
      <c r="G395" s="16" t="s">
        <v>639</v>
      </c>
      <c r="H395" s="16" t="s">
        <v>430</v>
      </c>
      <c r="I395" s="16">
        <v>1</v>
      </c>
      <c r="L395" s="16">
        <v>0</v>
      </c>
    </row>
    <row r="396" spans="1:12" s="16" customFormat="1">
      <c r="A396" s="26"/>
      <c r="B396" s="16" t="str">
        <f t="shared" si="39"/>
        <v>0x6A27</v>
      </c>
      <c r="D396" s="16">
        <f t="shared" si="38"/>
        <v>27175</v>
      </c>
      <c r="F396" s="1" t="s">
        <v>2923</v>
      </c>
      <c r="G396" s="16" t="s">
        <v>639</v>
      </c>
      <c r="H396" s="16" t="s">
        <v>430</v>
      </c>
      <c r="I396" s="16">
        <v>1</v>
      </c>
      <c r="L396" s="16">
        <v>0</v>
      </c>
    </row>
    <row r="397" spans="1:12" s="16" customFormat="1">
      <c r="A397" s="26"/>
      <c r="B397" s="16" t="str">
        <f t="shared" si="39"/>
        <v>0x6A28</v>
      </c>
      <c r="D397" s="16">
        <f t="shared" si="38"/>
        <v>27176</v>
      </c>
      <c r="F397" s="1" t="s">
        <v>2924</v>
      </c>
      <c r="G397" s="16" t="s">
        <v>639</v>
      </c>
      <c r="H397" s="16" t="s">
        <v>430</v>
      </c>
      <c r="I397" s="16">
        <v>1</v>
      </c>
      <c r="L397" s="16">
        <v>0</v>
      </c>
    </row>
    <row r="398" spans="1:12" s="16" customFormat="1">
      <c r="A398" s="26"/>
      <c r="B398" s="16" t="str">
        <f t="shared" si="39"/>
        <v>0x6A29</v>
      </c>
      <c r="D398" s="16">
        <f t="shared" si="38"/>
        <v>27177</v>
      </c>
      <c r="F398" s="1" t="s">
        <v>2925</v>
      </c>
      <c r="G398" s="16" t="s">
        <v>639</v>
      </c>
      <c r="H398" s="16" t="s">
        <v>430</v>
      </c>
      <c r="I398" s="16">
        <v>1</v>
      </c>
      <c r="L398" s="16">
        <v>0</v>
      </c>
    </row>
    <row r="399" spans="1:12" s="16" customFormat="1">
      <c r="A399" s="26"/>
      <c r="B399" s="16" t="str">
        <f t="shared" si="39"/>
        <v>0x6A2A</v>
      </c>
      <c r="D399" s="16">
        <f t="shared" si="38"/>
        <v>27178</v>
      </c>
      <c r="F399" s="1" t="s">
        <v>2926</v>
      </c>
      <c r="G399" s="16" t="s">
        <v>639</v>
      </c>
      <c r="H399" s="16" t="s">
        <v>430</v>
      </c>
      <c r="I399" s="16">
        <v>1</v>
      </c>
      <c r="L399" s="16">
        <v>0</v>
      </c>
    </row>
    <row r="400" spans="1:12" s="16" customFormat="1">
      <c r="A400" s="26"/>
      <c r="B400" s="16" t="str">
        <f t="shared" si="39"/>
        <v>0x6A2B</v>
      </c>
      <c r="D400" s="16">
        <f t="shared" si="38"/>
        <v>27179</v>
      </c>
      <c r="F400" s="1" t="s">
        <v>2927</v>
      </c>
      <c r="G400" s="16" t="s">
        <v>639</v>
      </c>
      <c r="H400" s="16" t="s">
        <v>430</v>
      </c>
      <c r="I400" s="16">
        <v>1</v>
      </c>
      <c r="L400" s="16">
        <v>0</v>
      </c>
    </row>
    <row r="401" spans="1:12" s="16" customFormat="1">
      <c r="A401" s="26"/>
      <c r="B401" s="16" t="str">
        <f t="shared" si="39"/>
        <v>0x6A2C</v>
      </c>
      <c r="D401" s="16">
        <f t="shared" si="38"/>
        <v>27180</v>
      </c>
      <c r="F401" s="1" t="s">
        <v>2928</v>
      </c>
      <c r="G401" s="16" t="s">
        <v>639</v>
      </c>
      <c r="H401" s="16" t="s">
        <v>430</v>
      </c>
      <c r="I401" s="16">
        <v>1</v>
      </c>
      <c r="L401" s="16">
        <v>0</v>
      </c>
    </row>
    <row r="402" spans="1:12" s="16" customFormat="1" ht="15" customHeight="1">
      <c r="A402" s="26"/>
      <c r="B402" s="16" t="str">
        <f t="shared" si="39"/>
        <v>0x6A2D</v>
      </c>
      <c r="D402" s="16">
        <f t="shared" si="38"/>
        <v>27181</v>
      </c>
      <c r="F402" s="1" t="s">
        <v>2929</v>
      </c>
      <c r="G402" s="16" t="s">
        <v>639</v>
      </c>
      <c r="H402" s="16" t="s">
        <v>430</v>
      </c>
      <c r="I402" s="16">
        <v>1</v>
      </c>
      <c r="L402" s="16">
        <v>0</v>
      </c>
    </row>
    <row r="403" spans="1:12" s="16" customFormat="1">
      <c r="A403" s="26"/>
      <c r="B403" s="16" t="str">
        <f t="shared" si="39"/>
        <v>0x6A2E</v>
      </c>
      <c r="D403" s="16">
        <f t="shared" si="38"/>
        <v>27182</v>
      </c>
      <c r="F403" s="1" t="s">
        <v>2930</v>
      </c>
      <c r="G403" s="16" t="s">
        <v>639</v>
      </c>
      <c r="H403" s="16" t="s">
        <v>430</v>
      </c>
      <c r="I403" s="16">
        <v>1</v>
      </c>
      <c r="L403" s="16">
        <v>0</v>
      </c>
    </row>
    <row r="404" spans="1:12" s="16" customFormat="1">
      <c r="A404" s="26"/>
      <c r="B404" s="16" t="str">
        <f t="shared" si="39"/>
        <v>0x6A2F</v>
      </c>
      <c r="D404" s="16">
        <f t="shared" si="38"/>
        <v>27183</v>
      </c>
      <c r="F404" s="1" t="s">
        <v>2931</v>
      </c>
      <c r="G404" s="16" t="s">
        <v>639</v>
      </c>
      <c r="H404" s="16" t="s">
        <v>430</v>
      </c>
      <c r="I404" s="16">
        <v>1</v>
      </c>
      <c r="L404" s="16">
        <v>0</v>
      </c>
    </row>
    <row r="405" spans="1:12" s="16" customFormat="1">
      <c r="A405" s="26"/>
      <c r="B405" s="16" t="str">
        <f t="shared" si="39"/>
        <v>0x6A30</v>
      </c>
      <c r="D405" s="16">
        <f t="shared" si="38"/>
        <v>27184</v>
      </c>
      <c r="F405" s="1" t="s">
        <v>2932</v>
      </c>
      <c r="G405" s="16" t="s">
        <v>639</v>
      </c>
      <c r="H405" s="16" t="s">
        <v>430</v>
      </c>
      <c r="I405" s="16">
        <v>1</v>
      </c>
      <c r="L405" s="16">
        <v>0</v>
      </c>
    </row>
    <row r="406" spans="1:12" s="16" customFormat="1">
      <c r="A406" s="26"/>
      <c r="B406" s="16" t="str">
        <f t="shared" si="39"/>
        <v>0x6A31</v>
      </c>
      <c r="D406" s="16">
        <f t="shared" si="38"/>
        <v>27185</v>
      </c>
      <c r="F406" s="1" t="s">
        <v>2933</v>
      </c>
      <c r="G406" s="16" t="s">
        <v>639</v>
      </c>
      <c r="H406" s="16" t="s">
        <v>430</v>
      </c>
      <c r="I406" s="16">
        <v>1</v>
      </c>
      <c r="L406" s="16">
        <v>0</v>
      </c>
    </row>
    <row r="407" spans="1:12" s="16" customFormat="1">
      <c r="A407" s="26"/>
      <c r="B407" s="16" t="str">
        <f t="shared" si="39"/>
        <v>0x6A32</v>
      </c>
      <c r="D407" s="16">
        <f t="shared" si="38"/>
        <v>27186</v>
      </c>
      <c r="F407" s="1" t="s">
        <v>2934</v>
      </c>
      <c r="G407" s="16" t="s">
        <v>639</v>
      </c>
      <c r="H407" s="16" t="s">
        <v>430</v>
      </c>
      <c r="I407" s="16">
        <v>1</v>
      </c>
      <c r="L407" s="16">
        <v>0</v>
      </c>
    </row>
    <row r="408" spans="1:12" s="16" customFormat="1">
      <c r="A408" s="26"/>
      <c r="B408" s="16" t="str">
        <f t="shared" si="39"/>
        <v>0x6A33</v>
      </c>
      <c r="D408" s="16">
        <f t="shared" si="38"/>
        <v>27187</v>
      </c>
      <c r="F408" s="1" t="s">
        <v>2935</v>
      </c>
      <c r="G408" s="16" t="s">
        <v>639</v>
      </c>
      <c r="H408" s="16" t="s">
        <v>430</v>
      </c>
      <c r="I408" s="16">
        <v>1</v>
      </c>
      <c r="L408" s="16">
        <v>0</v>
      </c>
    </row>
    <row r="409" spans="1:12" s="16" customFormat="1">
      <c r="A409" s="26"/>
      <c r="B409" s="16" t="str">
        <f t="shared" si="39"/>
        <v>0x6A34</v>
      </c>
      <c r="D409" s="16">
        <f t="shared" si="38"/>
        <v>27188</v>
      </c>
      <c r="F409" s="1" t="s">
        <v>2936</v>
      </c>
      <c r="G409" s="16" t="s">
        <v>639</v>
      </c>
      <c r="H409" s="16" t="s">
        <v>430</v>
      </c>
      <c r="I409" s="16">
        <v>1</v>
      </c>
      <c r="L409" s="16">
        <v>0</v>
      </c>
    </row>
    <row r="410" spans="1:12" s="16" customFormat="1">
      <c r="A410" s="26"/>
      <c r="B410" s="16" t="str">
        <f t="shared" si="39"/>
        <v>0x6A35</v>
      </c>
      <c r="D410" s="16">
        <f t="shared" si="38"/>
        <v>27189</v>
      </c>
      <c r="F410" s="1" t="s">
        <v>2937</v>
      </c>
      <c r="G410" s="16" t="s">
        <v>639</v>
      </c>
      <c r="H410" s="16" t="s">
        <v>430</v>
      </c>
      <c r="I410" s="16">
        <v>1</v>
      </c>
      <c r="L410" s="16">
        <v>0</v>
      </c>
    </row>
    <row r="411" spans="1:12" s="16" customFormat="1">
      <c r="A411" s="26"/>
      <c r="B411" s="16" t="str">
        <f t="shared" si="39"/>
        <v>0x6A36</v>
      </c>
      <c r="D411" s="16">
        <f t="shared" si="38"/>
        <v>27190</v>
      </c>
      <c r="F411" s="1" t="s">
        <v>2938</v>
      </c>
      <c r="G411" s="16" t="s">
        <v>639</v>
      </c>
      <c r="H411" s="16" t="s">
        <v>430</v>
      </c>
      <c r="I411" s="16">
        <v>1</v>
      </c>
      <c r="L411" s="16">
        <v>0</v>
      </c>
    </row>
    <row r="412" spans="1:12" s="16" customFormat="1">
      <c r="A412" s="26"/>
      <c r="B412" s="16" t="str">
        <f t="shared" si="39"/>
        <v>0x6A37</v>
      </c>
      <c r="D412" s="16">
        <f t="shared" si="38"/>
        <v>27191</v>
      </c>
      <c r="F412" s="1" t="s">
        <v>2939</v>
      </c>
      <c r="G412" s="16" t="s">
        <v>639</v>
      </c>
      <c r="H412" s="16" t="s">
        <v>430</v>
      </c>
      <c r="I412" s="16">
        <v>1</v>
      </c>
      <c r="L412" s="16">
        <v>0</v>
      </c>
    </row>
    <row r="413" spans="1:12" s="16" customFormat="1">
      <c r="A413" s="26"/>
      <c r="B413" s="16" t="str">
        <f t="shared" si="39"/>
        <v>0x6A38</v>
      </c>
      <c r="D413" s="16">
        <f t="shared" si="38"/>
        <v>27192</v>
      </c>
      <c r="F413" s="1" t="s">
        <v>2940</v>
      </c>
      <c r="G413" s="16" t="s">
        <v>639</v>
      </c>
      <c r="H413" s="16" t="s">
        <v>430</v>
      </c>
      <c r="I413" s="16">
        <v>1</v>
      </c>
      <c r="L413" s="16">
        <v>0</v>
      </c>
    </row>
    <row r="414" spans="1:12" s="16" customFormat="1">
      <c r="A414" s="26"/>
      <c r="B414" s="16" t="str">
        <f t="shared" si="39"/>
        <v>0x6A39</v>
      </c>
      <c r="D414" s="16">
        <f t="shared" si="38"/>
        <v>27193</v>
      </c>
      <c r="F414" s="1" t="s">
        <v>2941</v>
      </c>
      <c r="G414" s="16" t="s">
        <v>639</v>
      </c>
      <c r="H414" s="16" t="s">
        <v>430</v>
      </c>
      <c r="I414" s="16">
        <v>1</v>
      </c>
      <c r="L414" s="16">
        <v>0</v>
      </c>
    </row>
    <row r="415" spans="1:12" s="16" customFormat="1">
      <c r="A415" s="26"/>
      <c r="B415" s="16" t="str">
        <f t="shared" si="39"/>
        <v>0x6A3A</v>
      </c>
      <c r="D415" s="16">
        <f t="shared" si="38"/>
        <v>27194</v>
      </c>
      <c r="F415" s="1" t="s">
        <v>2942</v>
      </c>
      <c r="G415" s="16" t="s">
        <v>639</v>
      </c>
      <c r="H415" s="16" t="s">
        <v>430</v>
      </c>
      <c r="I415" s="16">
        <v>1</v>
      </c>
      <c r="L415" s="16">
        <v>0</v>
      </c>
    </row>
    <row r="416" spans="1:12" s="16" customFormat="1">
      <c r="A416" s="26"/>
      <c r="B416" s="16" t="str">
        <f t="shared" si="39"/>
        <v>0x6A3B</v>
      </c>
      <c r="D416" s="16">
        <f t="shared" si="38"/>
        <v>27195</v>
      </c>
      <c r="F416" s="1" t="s">
        <v>2943</v>
      </c>
      <c r="G416" s="16" t="s">
        <v>639</v>
      </c>
      <c r="H416" s="16" t="s">
        <v>430</v>
      </c>
      <c r="I416" s="16">
        <v>1</v>
      </c>
      <c r="L416" s="16">
        <v>0</v>
      </c>
    </row>
    <row r="417" spans="1:12" s="16" customFormat="1">
      <c r="A417" s="26"/>
      <c r="B417" s="16" t="str">
        <f t="shared" si="39"/>
        <v>0x6A3C</v>
      </c>
      <c r="D417" s="16">
        <f t="shared" si="38"/>
        <v>27196</v>
      </c>
      <c r="F417" s="1" t="s">
        <v>2944</v>
      </c>
      <c r="G417" s="16" t="s">
        <v>639</v>
      </c>
      <c r="H417" s="16" t="s">
        <v>430</v>
      </c>
      <c r="I417" s="16">
        <v>1</v>
      </c>
      <c r="L417" s="16">
        <v>0</v>
      </c>
    </row>
    <row r="418" spans="1:12" s="16" customFormat="1">
      <c r="A418" s="26"/>
      <c r="B418" s="16" t="str">
        <f t="shared" si="39"/>
        <v>0x6A3D</v>
      </c>
      <c r="D418" s="16">
        <f t="shared" si="38"/>
        <v>27197</v>
      </c>
      <c r="F418" s="1" t="s">
        <v>2945</v>
      </c>
      <c r="G418" s="16" t="s">
        <v>639</v>
      </c>
      <c r="H418" s="16" t="s">
        <v>430</v>
      </c>
      <c r="I418" s="16">
        <v>1</v>
      </c>
      <c r="L418" s="16">
        <v>0</v>
      </c>
    </row>
    <row r="419" spans="1:12" s="16" customFormat="1">
      <c r="A419" s="26"/>
      <c r="B419" s="16" t="str">
        <f t="shared" si="39"/>
        <v>0x6A3E</v>
      </c>
      <c r="D419" s="16">
        <f t="shared" si="38"/>
        <v>27198</v>
      </c>
      <c r="F419" s="1" t="s">
        <v>2946</v>
      </c>
      <c r="G419" s="16" t="s">
        <v>639</v>
      </c>
      <c r="H419" s="16" t="s">
        <v>430</v>
      </c>
      <c r="I419" s="16">
        <v>1</v>
      </c>
      <c r="L419" s="16">
        <v>0</v>
      </c>
    </row>
    <row r="420" spans="1:12" s="16" customFormat="1">
      <c r="A420" s="26"/>
      <c r="B420" s="16" t="str">
        <f t="shared" si="39"/>
        <v>0x6A3F</v>
      </c>
      <c r="D420" s="16">
        <f t="shared" si="38"/>
        <v>27199</v>
      </c>
      <c r="F420" s="1" t="s">
        <v>2947</v>
      </c>
      <c r="G420" s="16" t="s">
        <v>639</v>
      </c>
      <c r="H420" s="16" t="s">
        <v>430</v>
      </c>
      <c r="I420" s="16">
        <v>1</v>
      </c>
      <c r="L420" s="16">
        <v>0</v>
      </c>
    </row>
    <row r="421" spans="1:12" s="16" customFormat="1">
      <c r="A421" s="26"/>
      <c r="B421" s="16" t="str">
        <f t="shared" si="39"/>
        <v>0x6A40</v>
      </c>
      <c r="D421" s="16">
        <f t="shared" si="38"/>
        <v>27200</v>
      </c>
      <c r="F421" s="1" t="s">
        <v>2948</v>
      </c>
      <c r="G421" s="16" t="s">
        <v>639</v>
      </c>
      <c r="H421" s="16" t="s">
        <v>430</v>
      </c>
      <c r="I421" s="16">
        <v>1</v>
      </c>
      <c r="L421" s="16">
        <v>0</v>
      </c>
    </row>
    <row r="422" spans="1:12" s="16" customFormat="1">
      <c r="A422" s="26"/>
      <c r="B422" s="16" t="str">
        <f t="shared" si="39"/>
        <v>0x6A41</v>
      </c>
      <c r="D422" s="16">
        <f t="shared" ref="D422:D476" si="40">D421+I421</f>
        <v>27201</v>
      </c>
      <c r="F422" s="1" t="s">
        <v>2949</v>
      </c>
      <c r="G422" s="16" t="s">
        <v>639</v>
      </c>
      <c r="H422" s="16" t="s">
        <v>430</v>
      </c>
      <c r="I422" s="16">
        <v>1</v>
      </c>
      <c r="L422" s="16">
        <v>0</v>
      </c>
    </row>
    <row r="423" spans="1:12" s="16" customFormat="1">
      <c r="A423" s="26"/>
      <c r="B423" s="16" t="str">
        <f t="shared" si="39"/>
        <v>0x6A42</v>
      </c>
      <c r="D423" s="16">
        <f t="shared" si="40"/>
        <v>27202</v>
      </c>
      <c r="F423" s="1" t="s">
        <v>2950</v>
      </c>
      <c r="G423" s="16" t="s">
        <v>639</v>
      </c>
      <c r="H423" s="16" t="s">
        <v>430</v>
      </c>
      <c r="I423" s="16">
        <v>1</v>
      </c>
      <c r="L423" s="16">
        <v>0</v>
      </c>
    </row>
    <row r="424" spans="1:12" s="16" customFormat="1">
      <c r="A424" s="26"/>
      <c r="B424" s="16" t="str">
        <f t="shared" si="39"/>
        <v>0x6A43</v>
      </c>
      <c r="D424" s="16">
        <f t="shared" si="40"/>
        <v>27203</v>
      </c>
      <c r="F424" s="1" t="s">
        <v>2951</v>
      </c>
      <c r="G424" s="16" t="s">
        <v>639</v>
      </c>
      <c r="H424" s="16" t="s">
        <v>430</v>
      </c>
      <c r="I424" s="16">
        <v>1</v>
      </c>
      <c r="L424" s="16">
        <v>0</v>
      </c>
    </row>
    <row r="425" spans="1:12" s="16" customFormat="1">
      <c r="A425" s="26"/>
      <c r="B425" s="16" t="str">
        <f t="shared" si="39"/>
        <v>0x6A44</v>
      </c>
      <c r="D425" s="16">
        <f t="shared" si="40"/>
        <v>27204</v>
      </c>
      <c r="F425" s="1" t="s">
        <v>2952</v>
      </c>
      <c r="G425" s="16" t="s">
        <v>639</v>
      </c>
      <c r="H425" s="16" t="s">
        <v>430</v>
      </c>
      <c r="I425" s="16">
        <v>1</v>
      </c>
      <c r="L425" s="16">
        <v>0</v>
      </c>
    </row>
    <row r="426" spans="1:12" s="16" customFormat="1">
      <c r="A426" s="26"/>
      <c r="B426" s="16" t="str">
        <f t="shared" si="39"/>
        <v>0x6A45</v>
      </c>
      <c r="D426" s="16">
        <f t="shared" si="40"/>
        <v>27205</v>
      </c>
      <c r="F426" s="1" t="s">
        <v>2953</v>
      </c>
      <c r="G426" s="16" t="s">
        <v>639</v>
      </c>
      <c r="H426" s="16" t="s">
        <v>430</v>
      </c>
      <c r="I426" s="16">
        <v>1</v>
      </c>
      <c r="L426" s="16">
        <v>0</v>
      </c>
    </row>
    <row r="427" spans="1:12" s="16" customFormat="1">
      <c r="A427" s="26"/>
      <c r="B427" s="16" t="str">
        <f t="shared" si="39"/>
        <v>0x6A46</v>
      </c>
      <c r="D427" s="16">
        <f t="shared" si="40"/>
        <v>27206</v>
      </c>
      <c r="F427" s="1" t="s">
        <v>2954</v>
      </c>
      <c r="G427" s="16" t="s">
        <v>639</v>
      </c>
      <c r="H427" s="16" t="s">
        <v>430</v>
      </c>
      <c r="I427" s="16">
        <v>1</v>
      </c>
      <c r="L427" s="16">
        <v>0</v>
      </c>
    </row>
    <row r="428" spans="1:12" s="16" customFormat="1">
      <c r="A428" s="26"/>
      <c r="B428" s="16" t="str">
        <f t="shared" si="39"/>
        <v>0x6A47</v>
      </c>
      <c r="D428" s="16">
        <f t="shared" si="40"/>
        <v>27207</v>
      </c>
      <c r="F428" s="1" t="s">
        <v>2954</v>
      </c>
      <c r="G428" s="16" t="s">
        <v>639</v>
      </c>
      <c r="H428" s="16" t="s">
        <v>430</v>
      </c>
      <c r="I428" s="16">
        <v>1</v>
      </c>
      <c r="L428" s="16">
        <v>0</v>
      </c>
    </row>
    <row r="429" spans="1:12" s="16" customFormat="1">
      <c r="A429" s="26"/>
      <c r="B429" s="16" t="str">
        <f t="shared" si="39"/>
        <v>0x6A48</v>
      </c>
      <c r="D429" s="16">
        <f t="shared" si="40"/>
        <v>27208</v>
      </c>
      <c r="F429" s="1" t="s">
        <v>2955</v>
      </c>
      <c r="G429" s="16" t="s">
        <v>639</v>
      </c>
      <c r="H429" s="16" t="s">
        <v>430</v>
      </c>
      <c r="I429" s="16">
        <v>1</v>
      </c>
      <c r="L429" s="16">
        <v>0</v>
      </c>
    </row>
    <row r="430" spans="1:12" s="16" customFormat="1" ht="15" customHeight="1">
      <c r="A430" s="26"/>
      <c r="B430" s="16" t="str">
        <f t="shared" si="39"/>
        <v>0x6A49</v>
      </c>
      <c r="D430" s="16">
        <f t="shared" si="40"/>
        <v>27209</v>
      </c>
      <c r="F430" s="1" t="s">
        <v>2956</v>
      </c>
      <c r="G430" s="16" t="s">
        <v>639</v>
      </c>
      <c r="H430" s="16" t="s">
        <v>430</v>
      </c>
      <c r="I430" s="16">
        <v>1</v>
      </c>
      <c r="L430" s="16">
        <v>0</v>
      </c>
    </row>
    <row r="431" spans="1:12" s="16" customFormat="1">
      <c r="A431" s="26"/>
      <c r="B431" s="16" t="str">
        <f t="shared" si="39"/>
        <v>0x6A4A</v>
      </c>
      <c r="D431" s="16">
        <f t="shared" si="40"/>
        <v>27210</v>
      </c>
      <c r="F431" s="1" t="s">
        <v>2957</v>
      </c>
      <c r="G431" s="16" t="s">
        <v>639</v>
      </c>
      <c r="H431" s="16" t="s">
        <v>430</v>
      </c>
      <c r="I431" s="16">
        <v>1</v>
      </c>
      <c r="L431" s="16">
        <v>0</v>
      </c>
    </row>
    <row r="432" spans="1:12" s="16" customFormat="1">
      <c r="A432" s="26"/>
      <c r="B432" s="16" t="str">
        <f t="shared" si="39"/>
        <v>0x6A4B</v>
      </c>
      <c r="D432" s="16">
        <f t="shared" si="40"/>
        <v>27211</v>
      </c>
      <c r="F432" s="1" t="s">
        <v>2958</v>
      </c>
      <c r="G432" s="16" t="s">
        <v>639</v>
      </c>
      <c r="H432" s="16" t="s">
        <v>430</v>
      </c>
      <c r="I432" s="16">
        <v>1</v>
      </c>
      <c r="L432" s="16">
        <v>0</v>
      </c>
    </row>
    <row r="433" spans="1:12" s="16" customFormat="1">
      <c r="A433" s="26"/>
      <c r="B433" s="16" t="str">
        <f t="shared" si="39"/>
        <v>0x6A4C</v>
      </c>
      <c r="D433" s="16">
        <f t="shared" si="40"/>
        <v>27212</v>
      </c>
      <c r="F433" s="1" t="s">
        <v>2959</v>
      </c>
      <c r="G433" s="16" t="s">
        <v>639</v>
      </c>
      <c r="H433" s="16" t="s">
        <v>430</v>
      </c>
      <c r="I433" s="16">
        <v>1</v>
      </c>
      <c r="L433" s="16">
        <v>0</v>
      </c>
    </row>
    <row r="434" spans="1:12" s="16" customFormat="1">
      <c r="A434" s="26"/>
      <c r="B434" s="16" t="str">
        <f t="shared" si="39"/>
        <v>0x6A4D</v>
      </c>
      <c r="D434" s="16">
        <f t="shared" si="40"/>
        <v>27213</v>
      </c>
      <c r="F434" s="1" t="s">
        <v>2960</v>
      </c>
      <c r="G434" s="16" t="s">
        <v>639</v>
      </c>
      <c r="H434" s="16" t="s">
        <v>430</v>
      </c>
      <c r="I434" s="16">
        <v>1</v>
      </c>
      <c r="L434" s="16">
        <v>0</v>
      </c>
    </row>
    <row r="435" spans="1:12" s="16" customFormat="1">
      <c r="A435" s="26"/>
      <c r="B435" s="16" t="str">
        <f t="shared" si="39"/>
        <v>0x6A4E</v>
      </c>
      <c r="D435" s="16">
        <f t="shared" si="40"/>
        <v>27214</v>
      </c>
      <c r="F435" s="1" t="s">
        <v>2961</v>
      </c>
      <c r="G435" s="16" t="s">
        <v>639</v>
      </c>
      <c r="H435" s="16" t="s">
        <v>430</v>
      </c>
      <c r="I435" s="16">
        <v>1</v>
      </c>
      <c r="L435" s="16">
        <v>0</v>
      </c>
    </row>
    <row r="436" spans="1:12" s="16" customFormat="1">
      <c r="A436" s="26"/>
      <c r="B436" s="16" t="str">
        <f t="shared" si="39"/>
        <v>0x6A4F</v>
      </c>
      <c r="D436" s="16">
        <f t="shared" si="40"/>
        <v>27215</v>
      </c>
      <c r="F436" s="1" t="s">
        <v>2962</v>
      </c>
      <c r="G436" s="16" t="s">
        <v>639</v>
      </c>
      <c r="H436" s="16" t="s">
        <v>430</v>
      </c>
      <c r="I436" s="16">
        <v>1</v>
      </c>
      <c r="L436" s="16">
        <v>0</v>
      </c>
    </row>
    <row r="437" spans="1:12" s="16" customFormat="1">
      <c r="A437" s="26"/>
      <c r="B437" s="16" t="str">
        <f t="shared" si="39"/>
        <v>0x6A50</v>
      </c>
      <c r="D437" s="16">
        <f t="shared" si="40"/>
        <v>27216</v>
      </c>
      <c r="F437" s="1" t="s">
        <v>2963</v>
      </c>
      <c r="G437" s="16" t="s">
        <v>639</v>
      </c>
      <c r="H437" s="16" t="s">
        <v>430</v>
      </c>
      <c r="I437" s="16">
        <v>1</v>
      </c>
      <c r="L437" s="16">
        <v>0</v>
      </c>
    </row>
    <row r="438" spans="1:12" s="16" customFormat="1">
      <c r="A438" s="26"/>
      <c r="B438" s="16" t="str">
        <f t="shared" si="39"/>
        <v>0x6A51</v>
      </c>
      <c r="D438" s="16">
        <f t="shared" si="40"/>
        <v>27217</v>
      </c>
      <c r="F438" s="1" t="s">
        <v>2964</v>
      </c>
      <c r="G438" s="16" t="s">
        <v>639</v>
      </c>
      <c r="H438" s="16" t="s">
        <v>430</v>
      </c>
      <c r="I438" s="16">
        <v>1</v>
      </c>
      <c r="L438" s="16">
        <v>0</v>
      </c>
    </row>
    <row r="439" spans="1:12" s="16" customFormat="1">
      <c r="A439" s="26"/>
      <c r="B439" s="16" t="str">
        <f t="shared" si="39"/>
        <v>0x6A52</v>
      </c>
      <c r="D439" s="16">
        <f t="shared" si="40"/>
        <v>27218</v>
      </c>
      <c r="F439" s="1" t="s">
        <v>2965</v>
      </c>
      <c r="G439" s="16" t="s">
        <v>639</v>
      </c>
      <c r="H439" s="16" t="s">
        <v>430</v>
      </c>
      <c r="I439" s="16">
        <v>1</v>
      </c>
      <c r="L439" s="16">
        <v>0</v>
      </c>
    </row>
    <row r="440" spans="1:12" s="16" customFormat="1">
      <c r="A440" s="26"/>
      <c r="B440" s="16" t="str">
        <f t="shared" si="39"/>
        <v>0x6A53</v>
      </c>
      <c r="D440" s="16">
        <f t="shared" si="40"/>
        <v>27219</v>
      </c>
      <c r="F440" s="1" t="s">
        <v>2966</v>
      </c>
      <c r="G440" s="16" t="s">
        <v>639</v>
      </c>
      <c r="H440" s="16" t="s">
        <v>430</v>
      </c>
      <c r="I440" s="16">
        <v>1</v>
      </c>
      <c r="L440" s="16">
        <v>0</v>
      </c>
    </row>
    <row r="441" spans="1:12" s="16" customFormat="1">
      <c r="A441" s="26"/>
      <c r="B441" s="16" t="str">
        <f t="shared" si="39"/>
        <v>0x6A54</v>
      </c>
      <c r="D441" s="16">
        <f t="shared" si="40"/>
        <v>27220</v>
      </c>
      <c r="F441" s="1" t="s">
        <v>2967</v>
      </c>
      <c r="G441" s="16" t="s">
        <v>639</v>
      </c>
      <c r="H441" s="16" t="s">
        <v>430</v>
      </c>
      <c r="I441" s="16">
        <v>1</v>
      </c>
      <c r="L441" s="16">
        <v>0</v>
      </c>
    </row>
    <row r="442" spans="1:12" s="16" customFormat="1">
      <c r="A442" s="26"/>
      <c r="B442" s="16" t="str">
        <f t="shared" si="39"/>
        <v>0x6A55</v>
      </c>
      <c r="D442" s="16">
        <f t="shared" si="40"/>
        <v>27221</v>
      </c>
      <c r="F442" s="1" t="s">
        <v>2968</v>
      </c>
      <c r="G442" s="16" t="s">
        <v>639</v>
      </c>
      <c r="H442" s="16" t="s">
        <v>430</v>
      </c>
      <c r="I442" s="16">
        <v>1</v>
      </c>
      <c r="L442" s="16">
        <v>0</v>
      </c>
    </row>
    <row r="443" spans="1:12" s="16" customFormat="1">
      <c r="A443" s="26"/>
      <c r="B443" s="16" t="str">
        <f t="shared" si="39"/>
        <v>0x6A56</v>
      </c>
      <c r="D443" s="16">
        <f t="shared" si="40"/>
        <v>27222</v>
      </c>
      <c r="F443" s="1" t="s">
        <v>2969</v>
      </c>
      <c r="G443" s="16" t="s">
        <v>639</v>
      </c>
      <c r="H443" s="16" t="s">
        <v>430</v>
      </c>
      <c r="I443" s="16">
        <v>1</v>
      </c>
      <c r="L443" s="16">
        <v>0</v>
      </c>
    </row>
    <row r="444" spans="1:12" s="16" customFormat="1">
      <c r="A444" s="26"/>
      <c r="B444" s="16" t="str">
        <f t="shared" si="39"/>
        <v>0x6A57</v>
      </c>
      <c r="D444" s="16">
        <f t="shared" si="40"/>
        <v>27223</v>
      </c>
      <c r="F444" s="1" t="s">
        <v>2970</v>
      </c>
      <c r="G444" s="16" t="s">
        <v>639</v>
      </c>
      <c r="H444" s="16" t="s">
        <v>430</v>
      </c>
      <c r="I444" s="16">
        <v>1</v>
      </c>
      <c r="L444" s="16">
        <v>0</v>
      </c>
    </row>
    <row r="445" spans="1:12" s="16" customFormat="1">
      <c r="A445" s="26"/>
      <c r="B445" s="16" t="str">
        <f t="shared" si="39"/>
        <v>0x6A58</v>
      </c>
      <c r="D445" s="16">
        <f t="shared" si="40"/>
        <v>27224</v>
      </c>
      <c r="F445" s="1" t="s">
        <v>2971</v>
      </c>
      <c r="G445" s="16" t="s">
        <v>639</v>
      </c>
      <c r="H445" s="16" t="s">
        <v>430</v>
      </c>
      <c r="I445" s="16">
        <v>1</v>
      </c>
      <c r="L445" s="16">
        <v>0</v>
      </c>
    </row>
    <row r="446" spans="1:12" s="16" customFormat="1">
      <c r="A446" s="26"/>
      <c r="B446" s="16" t="str">
        <f t="shared" si="39"/>
        <v>0x6A59</v>
      </c>
      <c r="D446" s="16">
        <f t="shared" si="40"/>
        <v>27225</v>
      </c>
      <c r="F446" s="1" t="s">
        <v>2972</v>
      </c>
      <c r="G446" s="16" t="s">
        <v>639</v>
      </c>
      <c r="H446" s="16" t="s">
        <v>430</v>
      </c>
      <c r="I446" s="16">
        <v>1</v>
      </c>
      <c r="L446" s="16">
        <v>0</v>
      </c>
    </row>
    <row r="447" spans="1:12" s="16" customFormat="1">
      <c r="A447" s="26"/>
      <c r="B447" s="16" t="str">
        <f t="shared" si="39"/>
        <v>0x6A5A</v>
      </c>
      <c r="D447" s="16">
        <f t="shared" si="40"/>
        <v>27226</v>
      </c>
      <c r="F447" s="1" t="s">
        <v>2973</v>
      </c>
      <c r="G447" s="16" t="s">
        <v>639</v>
      </c>
      <c r="H447" s="16" t="s">
        <v>430</v>
      </c>
      <c r="I447" s="16">
        <v>1</v>
      </c>
      <c r="L447" s="16">
        <v>0</v>
      </c>
    </row>
    <row r="448" spans="1:12" s="16" customFormat="1">
      <c r="A448" s="26"/>
      <c r="B448" s="16" t="str">
        <f t="shared" si="39"/>
        <v>0x6A5B</v>
      </c>
      <c r="D448" s="16">
        <f t="shared" si="40"/>
        <v>27227</v>
      </c>
      <c r="F448" s="1" t="s">
        <v>2974</v>
      </c>
      <c r="G448" s="16" t="s">
        <v>639</v>
      </c>
      <c r="H448" s="16" t="s">
        <v>430</v>
      </c>
      <c r="I448" s="16">
        <v>1</v>
      </c>
      <c r="L448" s="16">
        <v>0</v>
      </c>
    </row>
    <row r="449" spans="1:12" s="16" customFormat="1">
      <c r="A449" s="26"/>
      <c r="B449" s="16" t="str">
        <f t="shared" ref="B449:B476" si="41">"0x"&amp;DEC2HEX(D449,4)</f>
        <v>0x6A5C</v>
      </c>
      <c r="D449" s="16">
        <f t="shared" si="40"/>
        <v>27228</v>
      </c>
      <c r="F449" s="1" t="s">
        <v>2975</v>
      </c>
      <c r="G449" s="16" t="s">
        <v>639</v>
      </c>
      <c r="H449" s="16" t="s">
        <v>430</v>
      </c>
      <c r="I449" s="16">
        <v>1</v>
      </c>
      <c r="L449" s="16">
        <v>0</v>
      </c>
    </row>
    <row r="450" spans="1:12" s="16" customFormat="1">
      <c r="A450" s="26"/>
      <c r="B450" s="16" t="str">
        <f t="shared" si="41"/>
        <v>0x6A5D</v>
      </c>
      <c r="D450" s="16">
        <f t="shared" si="40"/>
        <v>27229</v>
      </c>
      <c r="F450" s="1" t="s">
        <v>2976</v>
      </c>
      <c r="G450" s="16" t="s">
        <v>639</v>
      </c>
      <c r="H450" s="16" t="s">
        <v>430</v>
      </c>
      <c r="I450" s="16">
        <v>1</v>
      </c>
      <c r="L450" s="16">
        <v>0</v>
      </c>
    </row>
    <row r="451" spans="1:12" s="16" customFormat="1">
      <c r="A451" s="26"/>
      <c r="B451" s="16" t="str">
        <f t="shared" si="41"/>
        <v>0x6A5E</v>
      </c>
      <c r="D451" s="16">
        <f t="shared" si="40"/>
        <v>27230</v>
      </c>
      <c r="F451" s="1" t="s">
        <v>2977</v>
      </c>
      <c r="G451" s="16" t="s">
        <v>639</v>
      </c>
      <c r="H451" s="16" t="s">
        <v>430</v>
      </c>
      <c r="I451" s="16">
        <v>1</v>
      </c>
      <c r="L451" s="16">
        <v>0</v>
      </c>
    </row>
    <row r="452" spans="1:12" s="16" customFormat="1">
      <c r="A452" s="26"/>
      <c r="B452" s="16" t="str">
        <f t="shared" si="41"/>
        <v>0x6A5F</v>
      </c>
      <c r="D452" s="16">
        <f t="shared" si="40"/>
        <v>27231</v>
      </c>
      <c r="F452" s="1" t="s">
        <v>2978</v>
      </c>
      <c r="G452" s="16" t="s">
        <v>639</v>
      </c>
      <c r="H452" s="16" t="s">
        <v>430</v>
      </c>
      <c r="I452" s="16">
        <v>1</v>
      </c>
      <c r="L452" s="16">
        <v>0</v>
      </c>
    </row>
    <row r="453" spans="1:12" s="16" customFormat="1">
      <c r="A453" s="26"/>
      <c r="B453" s="16" t="str">
        <f t="shared" si="41"/>
        <v>0x6A60</v>
      </c>
      <c r="D453" s="16">
        <f t="shared" si="40"/>
        <v>27232</v>
      </c>
      <c r="F453" s="1" t="s">
        <v>2979</v>
      </c>
      <c r="G453" s="16" t="s">
        <v>639</v>
      </c>
      <c r="H453" s="16" t="s">
        <v>430</v>
      </c>
      <c r="I453" s="16">
        <v>1</v>
      </c>
      <c r="L453" s="16">
        <v>0</v>
      </c>
    </row>
    <row r="454" spans="1:12" s="16" customFormat="1">
      <c r="A454" s="26"/>
      <c r="B454" s="16" t="str">
        <f t="shared" si="41"/>
        <v>0x6A61</v>
      </c>
      <c r="D454" s="16">
        <f t="shared" si="40"/>
        <v>27233</v>
      </c>
      <c r="F454" s="1" t="s">
        <v>2980</v>
      </c>
      <c r="G454" s="16" t="s">
        <v>639</v>
      </c>
      <c r="H454" s="16" t="s">
        <v>430</v>
      </c>
      <c r="I454" s="16">
        <v>1</v>
      </c>
      <c r="L454" s="16">
        <v>0</v>
      </c>
    </row>
    <row r="455" spans="1:12" s="16" customFormat="1">
      <c r="A455" s="26"/>
      <c r="B455" s="16" t="str">
        <f t="shared" si="41"/>
        <v>0x6A62</v>
      </c>
      <c r="D455" s="16">
        <f t="shared" si="40"/>
        <v>27234</v>
      </c>
      <c r="F455" s="1" t="s">
        <v>2981</v>
      </c>
      <c r="G455" s="16" t="s">
        <v>639</v>
      </c>
      <c r="H455" s="16" t="s">
        <v>430</v>
      </c>
      <c r="I455" s="16">
        <v>1</v>
      </c>
      <c r="L455" s="16">
        <v>0</v>
      </c>
    </row>
    <row r="456" spans="1:12" s="16" customFormat="1">
      <c r="A456" s="26"/>
      <c r="B456" s="16" t="str">
        <f t="shared" si="41"/>
        <v>0x6A63</v>
      </c>
      <c r="D456" s="16">
        <f t="shared" si="40"/>
        <v>27235</v>
      </c>
      <c r="F456" s="1" t="s">
        <v>2982</v>
      </c>
      <c r="G456" s="16" t="s">
        <v>639</v>
      </c>
      <c r="H456" s="16" t="s">
        <v>430</v>
      </c>
      <c r="I456" s="16">
        <v>1</v>
      </c>
      <c r="L456" s="16">
        <v>0</v>
      </c>
    </row>
    <row r="457" spans="1:12" s="16" customFormat="1">
      <c r="A457" s="26"/>
      <c r="B457" s="16" t="str">
        <f t="shared" si="41"/>
        <v>0x6A64</v>
      </c>
      <c r="D457" s="16">
        <f t="shared" si="40"/>
        <v>27236</v>
      </c>
      <c r="F457" s="1" t="s">
        <v>2983</v>
      </c>
      <c r="G457" s="16" t="s">
        <v>639</v>
      </c>
      <c r="H457" s="16" t="s">
        <v>430</v>
      </c>
      <c r="I457" s="16">
        <v>1</v>
      </c>
      <c r="L457" s="16">
        <v>0</v>
      </c>
    </row>
    <row r="458" spans="1:12" s="16" customFormat="1">
      <c r="A458" s="26"/>
      <c r="B458" s="16" t="str">
        <f t="shared" si="41"/>
        <v>0x6A65</v>
      </c>
      <c r="D458" s="16">
        <f t="shared" si="40"/>
        <v>27237</v>
      </c>
      <c r="F458" s="1" t="s">
        <v>2984</v>
      </c>
      <c r="G458" s="16" t="s">
        <v>639</v>
      </c>
      <c r="H458" s="16" t="s">
        <v>430</v>
      </c>
      <c r="I458" s="16">
        <v>1</v>
      </c>
      <c r="L458" s="16">
        <v>0</v>
      </c>
    </row>
    <row r="459" spans="1:12" s="16" customFormat="1">
      <c r="A459" s="26"/>
      <c r="B459" s="16" t="str">
        <f t="shared" si="41"/>
        <v>0x6A66</v>
      </c>
      <c r="D459" s="16">
        <f t="shared" si="40"/>
        <v>27238</v>
      </c>
      <c r="F459" s="1" t="s">
        <v>2985</v>
      </c>
      <c r="G459" s="16" t="s">
        <v>639</v>
      </c>
      <c r="H459" s="16" t="s">
        <v>430</v>
      </c>
      <c r="I459" s="16">
        <v>1</v>
      </c>
      <c r="L459" s="16">
        <v>0</v>
      </c>
    </row>
    <row r="460" spans="1:12" s="16" customFormat="1">
      <c r="A460" s="26"/>
      <c r="B460" s="16" t="str">
        <f t="shared" si="41"/>
        <v>0x6A67</v>
      </c>
      <c r="D460" s="16">
        <f t="shared" si="40"/>
        <v>27239</v>
      </c>
      <c r="F460" s="1" t="s">
        <v>2986</v>
      </c>
      <c r="G460" s="16" t="s">
        <v>639</v>
      </c>
      <c r="H460" s="16" t="s">
        <v>430</v>
      </c>
      <c r="I460" s="16">
        <v>1</v>
      </c>
      <c r="L460" s="16">
        <v>0</v>
      </c>
    </row>
    <row r="461" spans="1:12" s="16" customFormat="1">
      <c r="A461" s="26"/>
      <c r="B461" s="16" t="str">
        <f t="shared" si="41"/>
        <v>0x6A68</v>
      </c>
      <c r="D461" s="16">
        <f t="shared" si="40"/>
        <v>27240</v>
      </c>
      <c r="F461" s="1" t="s">
        <v>2987</v>
      </c>
      <c r="G461" s="16" t="s">
        <v>639</v>
      </c>
      <c r="H461" s="16" t="s">
        <v>430</v>
      </c>
      <c r="I461" s="16">
        <v>1</v>
      </c>
      <c r="L461" s="16">
        <v>0</v>
      </c>
    </row>
    <row r="462" spans="1:12" s="16" customFormat="1" ht="15" customHeight="1">
      <c r="A462" s="26"/>
      <c r="B462" s="16" t="str">
        <f t="shared" si="41"/>
        <v>0x6A69</v>
      </c>
      <c r="D462" s="16">
        <f t="shared" si="40"/>
        <v>27241</v>
      </c>
      <c r="F462" s="1" t="s">
        <v>2988</v>
      </c>
      <c r="G462" s="16" t="s">
        <v>639</v>
      </c>
      <c r="H462" s="16" t="s">
        <v>430</v>
      </c>
      <c r="I462" s="16">
        <v>1</v>
      </c>
      <c r="L462" s="16">
        <v>0</v>
      </c>
    </row>
    <row r="463" spans="1:12" s="16" customFormat="1">
      <c r="A463" s="26"/>
      <c r="B463" s="16" t="str">
        <f t="shared" si="41"/>
        <v>0x6A6A</v>
      </c>
      <c r="D463" s="16">
        <f t="shared" si="40"/>
        <v>27242</v>
      </c>
      <c r="F463" s="1" t="s">
        <v>2989</v>
      </c>
      <c r="G463" s="16" t="s">
        <v>639</v>
      </c>
      <c r="H463" s="16" t="s">
        <v>430</v>
      </c>
      <c r="I463" s="16">
        <v>1</v>
      </c>
      <c r="L463" s="16">
        <v>0</v>
      </c>
    </row>
    <row r="464" spans="1:12" s="16" customFormat="1">
      <c r="A464" s="26"/>
      <c r="B464" s="16" t="str">
        <f t="shared" si="41"/>
        <v>0x6A6B</v>
      </c>
      <c r="D464" s="16">
        <f t="shared" si="40"/>
        <v>27243</v>
      </c>
      <c r="F464" s="1" t="s">
        <v>2990</v>
      </c>
      <c r="G464" s="16" t="s">
        <v>639</v>
      </c>
      <c r="H464" s="16" t="s">
        <v>430</v>
      </c>
      <c r="I464" s="16">
        <v>1</v>
      </c>
      <c r="L464" s="16">
        <v>0</v>
      </c>
    </row>
    <row r="465" spans="1:12" s="16" customFormat="1">
      <c r="A465" s="26"/>
      <c r="B465" s="16" t="str">
        <f t="shared" si="41"/>
        <v>0x6A6C</v>
      </c>
      <c r="D465" s="16">
        <f t="shared" si="40"/>
        <v>27244</v>
      </c>
      <c r="F465" s="1" t="s">
        <v>2991</v>
      </c>
      <c r="G465" s="16" t="s">
        <v>639</v>
      </c>
      <c r="H465" s="16" t="s">
        <v>430</v>
      </c>
      <c r="I465" s="16">
        <v>1</v>
      </c>
      <c r="L465" s="16">
        <v>0</v>
      </c>
    </row>
    <row r="466" spans="1:12" s="16" customFormat="1">
      <c r="A466" s="26"/>
      <c r="B466" s="16" t="str">
        <f t="shared" si="41"/>
        <v>0x6A6D</v>
      </c>
      <c r="D466" s="16">
        <f t="shared" si="40"/>
        <v>27245</v>
      </c>
      <c r="F466" s="1" t="s">
        <v>2992</v>
      </c>
      <c r="G466" s="16" t="s">
        <v>639</v>
      </c>
      <c r="H466" s="16" t="s">
        <v>430</v>
      </c>
      <c r="I466" s="16">
        <v>1</v>
      </c>
      <c r="L466" s="16">
        <v>0</v>
      </c>
    </row>
    <row r="467" spans="1:12" s="16" customFormat="1">
      <c r="A467" s="26"/>
      <c r="B467" s="16" t="str">
        <f t="shared" si="41"/>
        <v>0x6A6E</v>
      </c>
      <c r="D467" s="16">
        <f t="shared" si="40"/>
        <v>27246</v>
      </c>
      <c r="F467" s="1" t="s">
        <v>2993</v>
      </c>
      <c r="G467" s="16" t="s">
        <v>639</v>
      </c>
      <c r="H467" s="16" t="s">
        <v>430</v>
      </c>
      <c r="I467" s="16">
        <v>1</v>
      </c>
      <c r="L467" s="16">
        <v>0</v>
      </c>
    </row>
    <row r="468" spans="1:12" s="16" customFormat="1">
      <c r="A468" s="26"/>
      <c r="B468" s="16" t="str">
        <f t="shared" si="41"/>
        <v>0x6A6F</v>
      </c>
      <c r="D468" s="16">
        <f t="shared" si="40"/>
        <v>27247</v>
      </c>
      <c r="F468" s="1" t="s">
        <v>2994</v>
      </c>
      <c r="G468" s="16" t="s">
        <v>639</v>
      </c>
      <c r="H468" s="16" t="s">
        <v>430</v>
      </c>
      <c r="I468" s="16">
        <v>1</v>
      </c>
      <c r="L468" s="16">
        <v>0</v>
      </c>
    </row>
    <row r="469" spans="1:12" s="16" customFormat="1">
      <c r="A469" s="26"/>
      <c r="B469" s="16" t="str">
        <f t="shared" si="41"/>
        <v>0x6A70</v>
      </c>
      <c r="D469" s="16">
        <f t="shared" si="40"/>
        <v>27248</v>
      </c>
      <c r="F469" s="1" t="s">
        <v>2995</v>
      </c>
      <c r="G469" s="16" t="s">
        <v>639</v>
      </c>
      <c r="H469" s="16" t="s">
        <v>430</v>
      </c>
      <c r="I469" s="16">
        <v>1</v>
      </c>
      <c r="L469" s="16">
        <v>0</v>
      </c>
    </row>
    <row r="470" spans="1:12" s="16" customFormat="1">
      <c r="A470" s="26"/>
      <c r="B470" s="16" t="str">
        <f t="shared" si="41"/>
        <v>0x6A71</v>
      </c>
      <c r="D470" s="16">
        <f t="shared" si="40"/>
        <v>27249</v>
      </c>
      <c r="F470" s="1" t="s">
        <v>2996</v>
      </c>
      <c r="G470" s="16" t="s">
        <v>639</v>
      </c>
      <c r="H470" s="16" t="s">
        <v>430</v>
      </c>
      <c r="I470" s="16">
        <v>1</v>
      </c>
      <c r="L470" s="16">
        <v>0</v>
      </c>
    </row>
    <row r="471" spans="1:12" s="16" customFormat="1">
      <c r="A471" s="26"/>
      <c r="B471" s="16" t="str">
        <f t="shared" si="41"/>
        <v>0x6A72</v>
      </c>
      <c r="D471" s="16">
        <f t="shared" si="40"/>
        <v>27250</v>
      </c>
      <c r="F471" s="1" t="s">
        <v>2997</v>
      </c>
      <c r="G471" s="16" t="s">
        <v>639</v>
      </c>
      <c r="H471" s="16" t="s">
        <v>430</v>
      </c>
      <c r="I471" s="16">
        <v>1</v>
      </c>
      <c r="L471" s="16">
        <v>0</v>
      </c>
    </row>
    <row r="472" spans="1:12" s="16" customFormat="1">
      <c r="A472" s="26"/>
      <c r="B472" s="16" t="str">
        <f t="shared" si="41"/>
        <v>0x6A73</v>
      </c>
      <c r="D472" s="16">
        <f t="shared" si="40"/>
        <v>27251</v>
      </c>
      <c r="F472" s="1" t="s">
        <v>2998</v>
      </c>
      <c r="G472" s="16" t="s">
        <v>639</v>
      </c>
      <c r="H472" s="16" t="s">
        <v>430</v>
      </c>
      <c r="I472" s="16">
        <v>1</v>
      </c>
      <c r="L472" s="16">
        <v>0</v>
      </c>
    </row>
    <row r="473" spans="1:12" s="16" customFormat="1">
      <c r="A473" s="26"/>
      <c r="B473" s="16" t="str">
        <f t="shared" si="41"/>
        <v>0x6A74</v>
      </c>
      <c r="D473" s="16">
        <f t="shared" si="40"/>
        <v>27252</v>
      </c>
      <c r="F473" s="1" t="s">
        <v>2999</v>
      </c>
      <c r="G473" s="16" t="s">
        <v>639</v>
      </c>
      <c r="H473" s="16" t="s">
        <v>430</v>
      </c>
      <c r="I473" s="16">
        <v>1</v>
      </c>
      <c r="L473" s="16">
        <v>0</v>
      </c>
    </row>
    <row r="474" spans="1:12" s="16" customFormat="1">
      <c r="A474" s="26"/>
      <c r="B474" s="16" t="str">
        <f t="shared" si="41"/>
        <v>0x6A75</v>
      </c>
      <c r="D474" s="16">
        <f t="shared" si="40"/>
        <v>27253</v>
      </c>
      <c r="F474" s="1" t="s">
        <v>3000</v>
      </c>
      <c r="G474" s="16" t="s">
        <v>639</v>
      </c>
      <c r="H474" s="16" t="s">
        <v>430</v>
      </c>
      <c r="I474" s="16">
        <v>1</v>
      </c>
      <c r="L474" s="16">
        <v>0</v>
      </c>
    </row>
    <row r="475" spans="1:12" s="16" customFormat="1">
      <c r="A475" s="26"/>
      <c r="B475" s="16" t="str">
        <f t="shared" si="41"/>
        <v>0x6A76</v>
      </c>
      <c r="D475" s="16">
        <f t="shared" si="40"/>
        <v>27254</v>
      </c>
      <c r="F475" s="1" t="s">
        <v>3001</v>
      </c>
      <c r="G475" s="16" t="s">
        <v>639</v>
      </c>
      <c r="H475" s="16" t="s">
        <v>430</v>
      </c>
      <c r="I475" s="16">
        <v>1</v>
      </c>
      <c r="L475" s="16">
        <v>0</v>
      </c>
    </row>
    <row r="476" spans="1:12" s="16" customFormat="1">
      <c r="A476" s="26"/>
      <c r="B476" s="16" t="str">
        <f t="shared" si="41"/>
        <v>0x6A77</v>
      </c>
      <c r="D476" s="16">
        <f t="shared" si="40"/>
        <v>27255</v>
      </c>
      <c r="F476" s="1" t="s">
        <v>3002</v>
      </c>
      <c r="G476" s="16" t="s">
        <v>639</v>
      </c>
      <c r="H476" s="16" t="s">
        <v>430</v>
      </c>
      <c r="I476" s="16">
        <v>1</v>
      </c>
      <c r="L476" s="16">
        <v>0</v>
      </c>
    </row>
    <row r="477" spans="1:12" s="16" customFormat="1">
      <c r="A477" s="26"/>
      <c r="F477" s="1"/>
    </row>
    <row r="478" spans="1:12" s="16" customFormat="1">
      <c r="A478" s="26"/>
      <c r="F478" s="1"/>
    </row>
    <row r="479" spans="1:12" s="16" customFormat="1">
      <c r="A479" s="26"/>
      <c r="F479" s="1"/>
    </row>
    <row r="480" spans="1:12" s="16" customFormat="1">
      <c r="A480" s="26"/>
      <c r="F480" s="1"/>
    </row>
    <row r="482" spans="1:10" ht="31.5" customHeight="1">
      <c r="A482" s="8" t="s">
        <v>2879</v>
      </c>
      <c r="B482" s="16" t="str">
        <f t="shared" si="37"/>
        <v>0xF003</v>
      </c>
      <c r="D482" s="9">
        <v>61443</v>
      </c>
      <c r="F482" s="9" t="s">
        <v>2877</v>
      </c>
      <c r="G482" s="16" t="s">
        <v>639</v>
      </c>
      <c r="H482" s="16" t="s">
        <v>2859</v>
      </c>
      <c r="I482" s="16">
        <v>1</v>
      </c>
      <c r="J482" s="7" t="s">
        <v>2878</v>
      </c>
    </row>
    <row r="483" spans="1:10" s="3" customFormat="1">
      <c r="A483" s="72"/>
      <c r="B483" s="3" t="str">
        <f t="shared" si="37"/>
        <v>0xF081</v>
      </c>
      <c r="D483" s="3">
        <v>61569</v>
      </c>
      <c r="F483" s="3" t="s">
        <v>2895</v>
      </c>
      <c r="G483" s="3" t="s">
        <v>639</v>
      </c>
      <c r="H483" s="3" t="s">
        <v>2896</v>
      </c>
      <c r="J483" s="3" t="s">
        <v>3388</v>
      </c>
    </row>
  </sheetData>
  <mergeCells count="8">
    <mergeCell ref="B231:E231"/>
    <mergeCell ref="N104:U104"/>
    <mergeCell ref="J11:J12"/>
    <mergeCell ref="B159:L159"/>
    <mergeCell ref="J160:J163"/>
    <mergeCell ref="J179:J182"/>
    <mergeCell ref="J195:J198"/>
    <mergeCell ref="J192:J194"/>
  </mergeCells>
  <phoneticPr fontId="4" type="noConversion"/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70"/>
  <sheetViews>
    <sheetView workbookViewId="0">
      <pane ySplit="1" topLeftCell="A49" activePane="bottomLeft" state="frozen"/>
      <selection pane="bottomLeft" activeCell="G66" sqref="G66"/>
    </sheetView>
  </sheetViews>
  <sheetFormatPr defaultColWidth="9" defaultRowHeight="12.75"/>
  <cols>
    <col min="1" max="1" width="24.42578125" style="9" customWidth="1"/>
    <col min="2" max="2" width="10.85546875" style="9" customWidth="1"/>
    <col min="3" max="3" width="9.85546875" style="9" customWidth="1"/>
    <col min="4" max="4" width="12.42578125" style="9" customWidth="1"/>
    <col min="5" max="5" width="11.5703125" style="9" customWidth="1"/>
    <col min="6" max="6" width="56.140625" style="9" customWidth="1"/>
    <col min="7" max="7" width="11.42578125" style="9" customWidth="1"/>
    <col min="8" max="9" width="9" style="9"/>
    <col min="10" max="10" width="26.85546875" style="9" customWidth="1"/>
    <col min="11" max="11" width="21.140625" style="9" customWidth="1"/>
    <col min="12" max="12" width="14.5703125" style="9" customWidth="1"/>
    <col min="13" max="13" width="28.7109375" style="9" customWidth="1"/>
    <col min="14" max="16384" width="9" style="9"/>
  </cols>
  <sheetData>
    <row r="1" spans="1:12" s="14" customFormat="1">
      <c r="A1" s="14" t="s">
        <v>27</v>
      </c>
      <c r="B1" s="14" t="s">
        <v>414</v>
      </c>
      <c r="C1" s="14" t="s">
        <v>415</v>
      </c>
      <c r="D1" s="14" t="s">
        <v>416</v>
      </c>
      <c r="E1" s="14" t="s">
        <v>417</v>
      </c>
      <c r="F1" s="14" t="s">
        <v>418</v>
      </c>
      <c r="G1" s="14" t="s">
        <v>419</v>
      </c>
      <c r="H1" s="14" t="s">
        <v>421</v>
      </c>
      <c r="I1" s="14" t="s">
        <v>420</v>
      </c>
      <c r="J1" s="14" t="s">
        <v>422</v>
      </c>
      <c r="K1" s="14" t="s">
        <v>480</v>
      </c>
      <c r="L1" s="14" t="s">
        <v>659</v>
      </c>
    </row>
    <row r="2" spans="1:12" s="8" customFormat="1">
      <c r="A2" s="8" t="s">
        <v>1004</v>
      </c>
    </row>
    <row r="3" spans="1:12">
      <c r="B3" s="9" t="str">
        <f t="shared" ref="B3:B17" si="0">"0x"&amp;DEC2HEX(D3,4)</f>
        <v>0x0100</v>
      </c>
      <c r="D3" s="9">
        <v>256</v>
      </c>
      <c r="F3" s="9" t="s">
        <v>1005</v>
      </c>
      <c r="G3" s="9" t="s">
        <v>474</v>
      </c>
      <c r="H3" s="9" t="s">
        <v>471</v>
      </c>
      <c r="I3" s="9">
        <v>1</v>
      </c>
    </row>
    <row r="4" spans="1:12">
      <c r="B4" s="9" t="str">
        <f t="shared" si="0"/>
        <v>0x0101</v>
      </c>
      <c r="D4" s="9">
        <v>257</v>
      </c>
      <c r="F4" s="9" t="s">
        <v>1006</v>
      </c>
      <c r="G4" s="9" t="s">
        <v>474</v>
      </c>
      <c r="H4" s="9" t="s">
        <v>471</v>
      </c>
      <c r="I4" s="9">
        <v>1</v>
      </c>
    </row>
    <row r="5" spans="1:12" ht="25.5">
      <c r="B5" s="9" t="str">
        <f t="shared" si="0"/>
        <v>0x0102</v>
      </c>
      <c r="D5" s="9">
        <v>258</v>
      </c>
      <c r="F5" s="9" t="s">
        <v>1007</v>
      </c>
      <c r="G5" s="9" t="s">
        <v>474</v>
      </c>
      <c r="H5" s="9" t="s">
        <v>471</v>
      </c>
      <c r="I5" s="9">
        <v>1</v>
      </c>
      <c r="J5" s="7" t="s">
        <v>1008</v>
      </c>
      <c r="L5" s="7" t="s">
        <v>1009</v>
      </c>
    </row>
    <row r="6" spans="1:12">
      <c r="B6" s="9" t="str">
        <f t="shared" si="0"/>
        <v>0x0103</v>
      </c>
      <c r="D6" s="9">
        <v>259</v>
      </c>
      <c r="F6" s="7" t="s">
        <v>1010</v>
      </c>
      <c r="G6" s="9" t="s">
        <v>474</v>
      </c>
      <c r="H6" s="9" t="s">
        <v>471</v>
      </c>
      <c r="I6" s="9">
        <v>1</v>
      </c>
    </row>
    <row r="7" spans="1:12">
      <c r="B7" s="9" t="str">
        <f t="shared" si="0"/>
        <v>0x0104</v>
      </c>
      <c r="D7" s="9">
        <v>260</v>
      </c>
      <c r="F7" s="7" t="s">
        <v>1011</v>
      </c>
      <c r="G7" s="9" t="s">
        <v>474</v>
      </c>
      <c r="H7" s="9" t="s">
        <v>471</v>
      </c>
      <c r="I7" s="9">
        <v>1</v>
      </c>
    </row>
    <row r="8" spans="1:12">
      <c r="B8" s="9" t="str">
        <f t="shared" si="0"/>
        <v>0x0105</v>
      </c>
      <c r="D8" s="9">
        <v>261</v>
      </c>
      <c r="F8" s="7" t="s">
        <v>1012</v>
      </c>
      <c r="G8" s="9" t="s">
        <v>474</v>
      </c>
      <c r="H8" s="9" t="s">
        <v>471</v>
      </c>
      <c r="I8" s="9">
        <v>1</v>
      </c>
    </row>
    <row r="9" spans="1:12">
      <c r="B9" s="9" t="str">
        <f t="shared" si="0"/>
        <v>0x0106</v>
      </c>
      <c r="D9" s="9">
        <v>262</v>
      </c>
      <c r="F9" s="7" t="s">
        <v>1013</v>
      </c>
      <c r="G9" s="9" t="s">
        <v>474</v>
      </c>
      <c r="H9" s="9" t="s">
        <v>471</v>
      </c>
      <c r="I9" s="9">
        <v>1</v>
      </c>
    </row>
    <row r="10" spans="1:12">
      <c r="B10" s="9" t="str">
        <f t="shared" si="0"/>
        <v>0x0107</v>
      </c>
      <c r="D10" s="9">
        <v>263</v>
      </c>
      <c r="F10" s="7" t="s">
        <v>1014</v>
      </c>
      <c r="G10" s="9" t="s">
        <v>474</v>
      </c>
      <c r="H10" s="9" t="s">
        <v>471</v>
      </c>
      <c r="I10" s="9">
        <v>1</v>
      </c>
    </row>
    <row r="11" spans="1:12">
      <c r="B11" s="9" t="str">
        <f t="shared" si="0"/>
        <v>0x0108</v>
      </c>
      <c r="D11" s="9">
        <v>264</v>
      </c>
      <c r="F11" s="7" t="s">
        <v>1015</v>
      </c>
      <c r="G11" s="9" t="s">
        <v>474</v>
      </c>
      <c r="H11" s="9" t="s">
        <v>471</v>
      </c>
      <c r="I11" s="9">
        <v>1</v>
      </c>
    </row>
    <row r="12" spans="1:12">
      <c r="B12" s="9" t="str">
        <f t="shared" si="0"/>
        <v>0x0109</v>
      </c>
      <c r="D12" s="9">
        <v>265</v>
      </c>
      <c r="F12" s="7" t="s">
        <v>1016</v>
      </c>
      <c r="G12" s="9" t="s">
        <v>474</v>
      </c>
      <c r="H12" s="9" t="s">
        <v>471</v>
      </c>
      <c r="I12" s="9">
        <v>1</v>
      </c>
    </row>
    <row r="13" spans="1:12">
      <c r="B13" s="9" t="str">
        <f t="shared" si="0"/>
        <v>0x010A</v>
      </c>
      <c r="D13" s="9">
        <v>266</v>
      </c>
      <c r="F13" s="7" t="s">
        <v>1017</v>
      </c>
      <c r="G13" s="9" t="s">
        <v>474</v>
      </c>
      <c r="H13" s="9" t="s">
        <v>471</v>
      </c>
      <c r="I13" s="9">
        <v>1</v>
      </c>
    </row>
    <row r="14" spans="1:12">
      <c r="B14" s="9" t="str">
        <f t="shared" si="0"/>
        <v>0x010B</v>
      </c>
      <c r="D14" s="9">
        <f>D13+I13</f>
        <v>267</v>
      </c>
      <c r="F14" s="7" t="s">
        <v>1018</v>
      </c>
      <c r="G14" s="9" t="s">
        <v>474</v>
      </c>
      <c r="H14" s="9" t="s">
        <v>471</v>
      </c>
      <c r="I14" s="9">
        <v>1</v>
      </c>
    </row>
    <row r="15" spans="1:12">
      <c r="B15" s="9" t="str">
        <f t="shared" si="0"/>
        <v>0x010C</v>
      </c>
      <c r="D15" s="9">
        <f>D14+I14</f>
        <v>268</v>
      </c>
      <c r="F15" s="7" t="s">
        <v>1019</v>
      </c>
      <c r="G15" s="9" t="s">
        <v>474</v>
      </c>
      <c r="H15" s="9" t="s">
        <v>471</v>
      </c>
      <c r="I15" s="9">
        <v>1</v>
      </c>
    </row>
    <row r="16" spans="1:12">
      <c r="B16" s="9" t="str">
        <f t="shared" si="0"/>
        <v>0x010D</v>
      </c>
      <c r="D16" s="9">
        <f>D15+I15</f>
        <v>269</v>
      </c>
      <c r="F16" s="9" t="s">
        <v>1020</v>
      </c>
      <c r="G16" s="9" t="s">
        <v>474</v>
      </c>
      <c r="H16" s="9" t="s">
        <v>471</v>
      </c>
      <c r="I16" s="9">
        <v>1</v>
      </c>
    </row>
    <row r="17" spans="2:12">
      <c r="B17" s="9" t="str">
        <f t="shared" si="0"/>
        <v>0x010E</v>
      </c>
      <c r="D17" s="9">
        <f>D16+I16</f>
        <v>270</v>
      </c>
      <c r="F17" s="9" t="s">
        <v>1021</v>
      </c>
      <c r="G17" s="9" t="s">
        <v>474</v>
      </c>
      <c r="H17" s="9" t="s">
        <v>471</v>
      </c>
      <c r="I17" s="9">
        <v>1</v>
      </c>
    </row>
    <row r="18" spans="2:12" s="3" customFormat="1" ht="25.5">
      <c r="B18" s="3" t="str">
        <f t="shared" ref="B18:B24" si="1">"0x"&amp;DEC2HEX(D18,4)</f>
        <v>0x010F</v>
      </c>
      <c r="D18" s="3">
        <v>271</v>
      </c>
      <c r="F18" s="3" t="s">
        <v>2882</v>
      </c>
      <c r="G18" s="3" t="s">
        <v>474</v>
      </c>
      <c r="H18" s="3" t="s">
        <v>471</v>
      </c>
      <c r="I18" s="3">
        <v>1</v>
      </c>
      <c r="J18" s="4" t="s">
        <v>1008</v>
      </c>
      <c r="L18" s="4" t="s">
        <v>1009</v>
      </c>
    </row>
    <row r="19" spans="2:12" s="3" customFormat="1">
      <c r="B19" s="3" t="str">
        <f t="shared" si="1"/>
        <v>0x0110</v>
      </c>
      <c r="D19" s="3">
        <v>272</v>
      </c>
      <c r="F19" s="4" t="s">
        <v>2883</v>
      </c>
      <c r="G19" s="3" t="s">
        <v>474</v>
      </c>
      <c r="H19" s="3" t="s">
        <v>471</v>
      </c>
      <c r="I19" s="3">
        <v>1</v>
      </c>
    </row>
    <row r="20" spans="2:12" s="3" customFormat="1">
      <c r="B20" s="3" t="str">
        <f t="shared" si="1"/>
        <v>0x0111</v>
      </c>
      <c r="D20" s="3">
        <v>273</v>
      </c>
      <c r="F20" s="4" t="s">
        <v>2884</v>
      </c>
      <c r="G20" s="3" t="s">
        <v>474</v>
      </c>
      <c r="H20" s="3" t="s">
        <v>471</v>
      </c>
      <c r="I20" s="3">
        <v>1</v>
      </c>
    </row>
    <row r="21" spans="2:12" s="3" customFormat="1">
      <c r="B21" s="3" t="str">
        <f t="shared" si="1"/>
        <v>0x0112</v>
      </c>
      <c r="D21" s="3">
        <v>274</v>
      </c>
      <c r="F21" s="4" t="s">
        <v>2885</v>
      </c>
      <c r="G21" s="3" t="s">
        <v>474</v>
      </c>
      <c r="H21" s="3" t="s">
        <v>471</v>
      </c>
      <c r="I21" s="3">
        <v>1</v>
      </c>
    </row>
    <row r="22" spans="2:12" s="3" customFormat="1">
      <c r="B22" s="3" t="str">
        <f t="shared" si="1"/>
        <v>0x0113</v>
      </c>
      <c r="D22" s="3">
        <v>275</v>
      </c>
      <c r="F22" s="4" t="s">
        <v>2886</v>
      </c>
      <c r="G22" s="3" t="s">
        <v>474</v>
      </c>
      <c r="H22" s="3" t="s">
        <v>471</v>
      </c>
      <c r="I22" s="3">
        <v>1</v>
      </c>
    </row>
    <row r="23" spans="2:12" s="3" customFormat="1">
      <c r="B23" s="3" t="str">
        <f t="shared" si="1"/>
        <v>0x0114</v>
      </c>
      <c r="D23" s="3">
        <v>276</v>
      </c>
      <c r="F23" s="4" t="s">
        <v>2887</v>
      </c>
      <c r="G23" s="3" t="s">
        <v>474</v>
      </c>
      <c r="H23" s="3" t="s">
        <v>471</v>
      </c>
      <c r="I23" s="3">
        <v>1</v>
      </c>
    </row>
    <row r="24" spans="2:12" s="3" customFormat="1">
      <c r="B24" s="3" t="str">
        <f t="shared" si="1"/>
        <v>0x0115</v>
      </c>
      <c r="D24" s="3">
        <v>277</v>
      </c>
      <c r="F24" s="4" t="s">
        <v>2888</v>
      </c>
      <c r="G24" s="3" t="s">
        <v>474</v>
      </c>
      <c r="H24" s="3" t="s">
        <v>471</v>
      </c>
      <c r="I24" s="3">
        <v>1</v>
      </c>
    </row>
    <row r="26" spans="2:12">
      <c r="B26" s="9" t="str">
        <f>"0x"&amp;DEC2HEX(D26,4)</f>
        <v>0x0200</v>
      </c>
      <c r="C26" s="9" t="str">
        <f>"0x"&amp;DEC2HEX(E26,4)</f>
        <v>0x020E</v>
      </c>
      <c r="D26" s="9">
        <v>512</v>
      </c>
      <c r="E26" s="9">
        <v>526</v>
      </c>
      <c r="F26" s="9" t="s">
        <v>1022</v>
      </c>
      <c r="G26" s="9" t="s">
        <v>517</v>
      </c>
      <c r="H26" s="9" t="s">
        <v>527</v>
      </c>
      <c r="I26" s="9">
        <v>15</v>
      </c>
    </row>
    <row r="28" spans="2:12">
      <c r="B28" s="9" t="str">
        <f>"0x"&amp;DEC2HEX(D28,4)</f>
        <v>0x0216</v>
      </c>
      <c r="C28" s="9" t="str">
        <f>"0x"&amp;DEC2HEX(E28,4)</f>
        <v>0x0235</v>
      </c>
      <c r="D28" s="9">
        <v>534</v>
      </c>
      <c r="E28" s="9">
        <f>D28+I28-1</f>
        <v>565</v>
      </c>
      <c r="F28" s="9" t="s">
        <v>1023</v>
      </c>
      <c r="G28" s="9" t="s">
        <v>474</v>
      </c>
      <c r="H28" s="9" t="s">
        <v>471</v>
      </c>
      <c r="I28" s="9">
        <v>32</v>
      </c>
    </row>
    <row r="30" spans="2:12">
      <c r="B30" s="9" t="str">
        <f>"0x"&amp;DEC2HEX(D30,4)</f>
        <v>0x0240</v>
      </c>
      <c r="C30" s="9" t="str">
        <f>"0x"&amp;DEC2HEX(E30,4)</f>
        <v>0x025F</v>
      </c>
      <c r="D30" s="9">
        <v>576</v>
      </c>
      <c r="E30" s="9">
        <f>D30+I30-1</f>
        <v>607</v>
      </c>
      <c r="F30" s="9" t="s">
        <v>1024</v>
      </c>
      <c r="G30" s="9" t="s">
        <v>474</v>
      </c>
      <c r="H30" s="9" t="s">
        <v>527</v>
      </c>
      <c r="I30" s="9">
        <v>32</v>
      </c>
    </row>
    <row r="31" spans="2:12" s="11" customFormat="1">
      <c r="B31" s="9"/>
      <c r="C31" s="9"/>
      <c r="D31" s="9"/>
      <c r="E31" s="9"/>
      <c r="F31" s="9"/>
      <c r="G31" s="9"/>
      <c r="H31" s="9"/>
      <c r="I31" s="9"/>
    </row>
    <row r="32" spans="2:12" ht="18.75" customHeight="1">
      <c r="B32" s="9" t="str">
        <f>"0x"&amp;DEC2HEX(D32,4)</f>
        <v>0x02B0</v>
      </c>
      <c r="C32" s="9" t="str">
        <f>"0x"&amp;DEC2HEX(E32,4)</f>
        <v>0x02B1</v>
      </c>
      <c r="D32" s="9">
        <v>688</v>
      </c>
      <c r="E32" s="9">
        <f>D32+I32-1</f>
        <v>689</v>
      </c>
      <c r="F32" s="16" t="s">
        <v>1025</v>
      </c>
      <c r="G32" s="9" t="s">
        <v>474</v>
      </c>
      <c r="H32" s="9" t="s">
        <v>471</v>
      </c>
      <c r="I32" s="9">
        <v>2</v>
      </c>
    </row>
    <row r="33" spans="1:9" ht="18" customHeight="1">
      <c r="B33" s="9" t="str">
        <f>"0x"&amp;DEC2HEX(D33,4)</f>
        <v>0x02B2</v>
      </c>
      <c r="C33" s="9" t="str">
        <f>"0x"&amp;DEC2HEX(E33,4)</f>
        <v>0x02B3</v>
      </c>
      <c r="D33" s="9">
        <f>D32+I33</f>
        <v>690</v>
      </c>
      <c r="E33" s="9">
        <f>D33+I33-1</f>
        <v>691</v>
      </c>
      <c r="F33" s="16" t="s">
        <v>1026</v>
      </c>
      <c r="G33" s="9" t="s">
        <v>474</v>
      </c>
      <c r="H33" s="9" t="s">
        <v>471</v>
      </c>
      <c r="I33" s="9">
        <v>2</v>
      </c>
    </row>
    <row r="34" spans="1:9" ht="12" customHeight="1">
      <c r="F34" s="3"/>
    </row>
    <row r="35" spans="1:9">
      <c r="B35" s="9" t="str">
        <f>"0x"&amp;DEC2HEX(D35,4)</f>
        <v>0x0300</v>
      </c>
      <c r="C35" s="9" t="str">
        <f>"0x"&amp;DEC2HEX(E35,4)</f>
        <v>0x0303</v>
      </c>
      <c r="D35" s="9">
        <v>768</v>
      </c>
      <c r="E35" s="9">
        <f>D35+I35-1</f>
        <v>771</v>
      </c>
      <c r="F35" s="16" t="s">
        <v>1027</v>
      </c>
      <c r="G35" s="9" t="s">
        <v>474</v>
      </c>
      <c r="H35" s="9" t="s">
        <v>471</v>
      </c>
      <c r="I35" s="9">
        <v>4</v>
      </c>
    </row>
    <row r="36" spans="1:9" ht="17.25" customHeight="1">
      <c r="F36" s="3"/>
    </row>
    <row r="37" spans="1:9">
      <c r="F37" s="3"/>
    </row>
    <row r="38" spans="1:9">
      <c r="F38" s="3"/>
    </row>
    <row r="40" spans="1:9" s="12" customFormat="1">
      <c r="A40" s="38" t="s">
        <v>1028</v>
      </c>
    </row>
    <row r="41" spans="1:9" s="12" customFormat="1">
      <c r="B41" s="12" t="str">
        <f t="shared" ref="B41:B60" si="2">"0x"&amp;DEC2HEX(D41,4)</f>
        <v>0x0400</v>
      </c>
      <c r="D41" s="12">
        <v>1024</v>
      </c>
      <c r="F41" s="12" t="s">
        <v>1007</v>
      </c>
      <c r="G41" s="12" t="s">
        <v>474</v>
      </c>
      <c r="H41" s="12" t="s">
        <v>471</v>
      </c>
      <c r="I41" s="12">
        <v>1</v>
      </c>
    </row>
    <row r="42" spans="1:9" s="12" customFormat="1">
      <c r="B42" s="12" t="str">
        <f t="shared" si="2"/>
        <v>0x0401</v>
      </c>
      <c r="D42" s="12">
        <v>1025</v>
      </c>
      <c r="F42" s="13" t="s">
        <v>1010</v>
      </c>
      <c r="G42" s="12" t="s">
        <v>474</v>
      </c>
      <c r="H42" s="12" t="s">
        <v>471</v>
      </c>
      <c r="I42" s="12">
        <v>1</v>
      </c>
    </row>
    <row r="43" spans="1:9" s="12" customFormat="1">
      <c r="B43" s="12" t="str">
        <f t="shared" si="2"/>
        <v>0x0402</v>
      </c>
      <c r="D43" s="12">
        <v>1026</v>
      </c>
      <c r="F43" s="13" t="s">
        <v>1011</v>
      </c>
      <c r="G43" s="12" t="s">
        <v>474</v>
      </c>
      <c r="H43" s="12" t="s">
        <v>471</v>
      </c>
      <c r="I43" s="12">
        <v>1</v>
      </c>
    </row>
    <row r="44" spans="1:9" s="12" customFormat="1">
      <c r="B44" s="12" t="str">
        <f t="shared" si="2"/>
        <v>0x0403</v>
      </c>
      <c r="D44" s="12">
        <v>1027</v>
      </c>
      <c r="F44" s="13" t="s">
        <v>1012</v>
      </c>
      <c r="G44" s="12" t="s">
        <v>474</v>
      </c>
      <c r="H44" s="12" t="s">
        <v>471</v>
      </c>
      <c r="I44" s="12">
        <v>1</v>
      </c>
    </row>
    <row r="45" spans="1:9" s="12" customFormat="1">
      <c r="B45" s="12" t="str">
        <f t="shared" si="2"/>
        <v>0x0404</v>
      </c>
      <c r="D45" s="12">
        <v>1028</v>
      </c>
      <c r="F45" s="13" t="s">
        <v>1013</v>
      </c>
      <c r="G45" s="12" t="s">
        <v>474</v>
      </c>
      <c r="H45" s="12" t="s">
        <v>471</v>
      </c>
      <c r="I45" s="12">
        <v>1</v>
      </c>
    </row>
    <row r="46" spans="1:9" s="12" customFormat="1">
      <c r="B46" s="12" t="str">
        <f t="shared" si="2"/>
        <v>0x0405</v>
      </c>
      <c r="D46" s="12">
        <v>1029</v>
      </c>
      <c r="F46" s="13" t="s">
        <v>1014</v>
      </c>
      <c r="G46" s="12" t="s">
        <v>474</v>
      </c>
      <c r="H46" s="12" t="s">
        <v>471</v>
      </c>
      <c r="I46" s="12">
        <v>1</v>
      </c>
    </row>
    <row r="47" spans="1:9" s="12" customFormat="1">
      <c r="B47" s="12" t="str">
        <f t="shared" si="2"/>
        <v>0x0406</v>
      </c>
      <c r="D47" s="12">
        <v>1030</v>
      </c>
      <c r="F47" s="13" t="s">
        <v>1015</v>
      </c>
      <c r="G47" s="12" t="s">
        <v>474</v>
      </c>
      <c r="H47" s="12" t="s">
        <v>471</v>
      </c>
      <c r="I47" s="12">
        <v>1</v>
      </c>
    </row>
    <row r="48" spans="1:9" s="12" customFormat="1">
      <c r="B48" s="12" t="str">
        <f t="shared" si="2"/>
        <v>0x0407</v>
      </c>
      <c r="D48" s="12">
        <v>1031</v>
      </c>
      <c r="F48" s="13" t="s">
        <v>1016</v>
      </c>
      <c r="G48" s="12" t="s">
        <v>474</v>
      </c>
      <c r="H48" s="12" t="s">
        <v>471</v>
      </c>
      <c r="I48" s="12">
        <v>1</v>
      </c>
    </row>
    <row r="49" spans="2:11" s="12" customFormat="1">
      <c r="B49" s="12" t="str">
        <f t="shared" si="2"/>
        <v>0x0408</v>
      </c>
      <c r="D49" s="12">
        <v>1032</v>
      </c>
      <c r="F49" s="13" t="s">
        <v>1017</v>
      </c>
      <c r="G49" s="12" t="s">
        <v>474</v>
      </c>
      <c r="H49" s="12" t="s">
        <v>471</v>
      </c>
      <c r="I49" s="12">
        <v>1</v>
      </c>
    </row>
    <row r="50" spans="2:11" s="12" customFormat="1">
      <c r="B50" s="12" t="str">
        <f t="shared" si="2"/>
        <v>0x0409</v>
      </c>
      <c r="D50" s="12">
        <v>1033</v>
      </c>
      <c r="F50" s="13" t="s">
        <v>1018</v>
      </c>
      <c r="G50" s="12" t="s">
        <v>474</v>
      </c>
      <c r="H50" s="12" t="s">
        <v>471</v>
      </c>
      <c r="I50" s="12">
        <v>1</v>
      </c>
    </row>
    <row r="51" spans="2:11" s="12" customFormat="1">
      <c r="B51" s="12" t="str">
        <f t="shared" si="2"/>
        <v>0x040A</v>
      </c>
      <c r="D51" s="12">
        <v>1034</v>
      </c>
      <c r="F51" s="13" t="s">
        <v>1019</v>
      </c>
      <c r="G51" s="12" t="s">
        <v>474</v>
      </c>
      <c r="H51" s="12" t="s">
        <v>471</v>
      </c>
      <c r="I51" s="12">
        <v>1</v>
      </c>
    </row>
    <row r="52" spans="2:11" s="12" customFormat="1">
      <c r="B52" s="12" t="str">
        <f t="shared" si="2"/>
        <v>0x040B</v>
      </c>
      <c r="D52" s="12">
        <v>1035</v>
      </c>
      <c r="F52" s="12" t="s">
        <v>1029</v>
      </c>
      <c r="G52" s="12" t="s">
        <v>474</v>
      </c>
      <c r="H52" s="12" t="s">
        <v>471</v>
      </c>
      <c r="I52" s="12">
        <v>1</v>
      </c>
    </row>
    <row r="53" spans="2:11" s="12" customFormat="1">
      <c r="B53" s="12" t="str">
        <f t="shared" si="2"/>
        <v>0x040C</v>
      </c>
      <c r="D53" s="12">
        <v>1036</v>
      </c>
      <c r="F53" s="12" t="s">
        <v>1030</v>
      </c>
      <c r="G53" s="12" t="s">
        <v>474</v>
      </c>
      <c r="H53" s="12" t="s">
        <v>471</v>
      </c>
      <c r="I53" s="12">
        <v>1</v>
      </c>
      <c r="K53" s="12" t="s">
        <v>1031</v>
      </c>
    </row>
    <row r="54" spans="2:11" s="12" customFormat="1">
      <c r="B54" s="12" t="str">
        <f t="shared" si="2"/>
        <v>0x040D</v>
      </c>
      <c r="D54" s="12">
        <v>1037</v>
      </c>
      <c r="F54" s="12" t="s">
        <v>1032</v>
      </c>
      <c r="G54" s="12" t="s">
        <v>474</v>
      </c>
      <c r="H54" s="12" t="s">
        <v>471</v>
      </c>
      <c r="I54" s="12">
        <v>1</v>
      </c>
    </row>
    <row r="55" spans="2:11" s="12" customFormat="1">
      <c r="B55" s="12" t="str">
        <f t="shared" si="2"/>
        <v>0x040E</v>
      </c>
      <c r="D55" s="12">
        <v>1038</v>
      </c>
      <c r="F55" s="12" t="s">
        <v>1033</v>
      </c>
      <c r="G55" s="12" t="s">
        <v>474</v>
      </c>
      <c r="H55" s="12" t="s">
        <v>471</v>
      </c>
      <c r="I55" s="12">
        <v>1</v>
      </c>
    </row>
    <row r="56" spans="2:11" s="12" customFormat="1">
      <c r="B56" s="12" t="str">
        <f t="shared" si="2"/>
        <v>0x040F</v>
      </c>
      <c r="D56" s="12">
        <v>1039</v>
      </c>
      <c r="F56" s="12" t="s">
        <v>1034</v>
      </c>
      <c r="G56" s="12" t="s">
        <v>474</v>
      </c>
      <c r="H56" s="12" t="s">
        <v>471</v>
      </c>
      <c r="I56" s="12">
        <v>1</v>
      </c>
    </row>
    <row r="57" spans="2:11" s="12" customFormat="1" ht="25.5">
      <c r="B57" s="12" t="str">
        <f t="shared" si="2"/>
        <v>0x0410</v>
      </c>
      <c r="D57" s="12">
        <v>1040</v>
      </c>
      <c r="F57" s="13" t="s">
        <v>1035</v>
      </c>
      <c r="G57" s="12" t="s">
        <v>474</v>
      </c>
      <c r="H57" s="12" t="s">
        <v>471</v>
      </c>
      <c r="I57" s="12">
        <v>1</v>
      </c>
    </row>
    <row r="58" spans="2:11" s="12" customFormat="1" ht="25.5">
      <c r="B58" s="12" t="str">
        <f t="shared" si="2"/>
        <v>0x0411</v>
      </c>
      <c r="D58" s="12">
        <v>1041</v>
      </c>
      <c r="F58" s="13" t="s">
        <v>1036</v>
      </c>
      <c r="G58" s="12" t="s">
        <v>474</v>
      </c>
      <c r="H58" s="12" t="s">
        <v>427</v>
      </c>
      <c r="I58" s="12">
        <v>1</v>
      </c>
    </row>
    <row r="59" spans="2:11" s="12" customFormat="1" ht="25.5">
      <c r="B59" s="12" t="str">
        <f t="shared" si="2"/>
        <v>0x0412</v>
      </c>
      <c r="D59" s="12">
        <v>1042</v>
      </c>
      <c r="F59" s="13" t="s">
        <v>1037</v>
      </c>
      <c r="G59" s="12" t="s">
        <v>474</v>
      </c>
      <c r="H59" s="12" t="s">
        <v>427</v>
      </c>
      <c r="I59" s="12">
        <v>1</v>
      </c>
    </row>
    <row r="60" spans="2:11" s="12" customFormat="1" ht="25.5">
      <c r="B60" s="12" t="str">
        <f t="shared" si="2"/>
        <v>0x0413</v>
      </c>
      <c r="D60" s="12">
        <v>1043</v>
      </c>
      <c r="F60" s="13" t="s">
        <v>1038</v>
      </c>
      <c r="G60" s="12" t="s">
        <v>474</v>
      </c>
      <c r="H60" s="12" t="s">
        <v>427</v>
      </c>
      <c r="I60" s="12">
        <v>1</v>
      </c>
    </row>
    <row r="61" spans="2:11" s="12" customFormat="1">
      <c r="F61" s="12" t="s">
        <v>1039</v>
      </c>
      <c r="I61" s="12">
        <v>12</v>
      </c>
    </row>
    <row r="65" spans="1:11">
      <c r="A65" s="8" t="s">
        <v>217</v>
      </c>
    </row>
    <row r="66" spans="1:11" ht="35.25" customHeight="1">
      <c r="B66" s="9" t="str">
        <f>"0x"&amp;DEC2HEX(D66,4)</f>
        <v>0x4F00</v>
      </c>
      <c r="D66" s="9">
        <v>20224</v>
      </c>
      <c r="F66" s="9" t="s">
        <v>1040</v>
      </c>
      <c r="G66" s="9" t="s">
        <v>639</v>
      </c>
      <c r="H66" s="9" t="s">
        <v>427</v>
      </c>
      <c r="I66" s="9">
        <v>1</v>
      </c>
      <c r="K66" s="9" t="s">
        <v>1041</v>
      </c>
    </row>
    <row r="67" spans="1:11" ht="31.5" customHeight="1">
      <c r="B67" s="9" t="str">
        <f>"0x"&amp;DEC2HEX(D67,4)</f>
        <v>0x4F01</v>
      </c>
      <c r="D67" s="9">
        <f>D66+I66</f>
        <v>20225</v>
      </c>
      <c r="F67" s="9" t="s">
        <v>1042</v>
      </c>
      <c r="G67" s="9" t="s">
        <v>639</v>
      </c>
      <c r="H67" s="9" t="s">
        <v>427</v>
      </c>
      <c r="I67" s="9">
        <v>1</v>
      </c>
      <c r="K67" s="9" t="s">
        <v>1041</v>
      </c>
    </row>
    <row r="68" spans="1:11" ht="60" customHeight="1">
      <c r="B68" s="9" t="str">
        <f>"0x"&amp;DEC2HEX(D68,4)</f>
        <v>0x4F02</v>
      </c>
      <c r="D68" s="9">
        <f>D67+I67</f>
        <v>20226</v>
      </c>
      <c r="F68" s="9" t="s">
        <v>1043</v>
      </c>
      <c r="G68" s="9" t="s">
        <v>639</v>
      </c>
      <c r="H68" s="9" t="s">
        <v>427</v>
      </c>
      <c r="I68" s="9">
        <v>1</v>
      </c>
      <c r="K68" s="7" t="s">
        <v>1044</v>
      </c>
    </row>
    <row r="69" spans="1:11" ht="39.75" customHeight="1">
      <c r="B69" s="9" t="str">
        <f>"0x"&amp;DEC2HEX(D69,4)</f>
        <v>0x4F03</v>
      </c>
      <c r="C69" s="9" t="str">
        <f>"0x"&amp;DEC2HEX(E69,4)</f>
        <v>0x4F0A</v>
      </c>
      <c r="D69" s="9">
        <f>D68+I68</f>
        <v>20227</v>
      </c>
      <c r="E69" s="9">
        <f>D69+I69-1</f>
        <v>20234</v>
      </c>
      <c r="F69" s="9" t="s">
        <v>1045</v>
      </c>
      <c r="G69" s="9" t="s">
        <v>639</v>
      </c>
      <c r="H69" s="9" t="s">
        <v>427</v>
      </c>
      <c r="I69" s="9">
        <v>8</v>
      </c>
      <c r="K69" s="9" t="s">
        <v>1046</v>
      </c>
    </row>
    <row r="70" spans="1:11" ht="36" customHeight="1">
      <c r="B70" s="9" t="str">
        <f>"0x"&amp;DEC2HEX(D70,4)</f>
        <v>0x4F0B</v>
      </c>
      <c r="C70" s="9" t="str">
        <f>"0x"&amp;DEC2HEX(E70,4)</f>
        <v>0x4F14</v>
      </c>
      <c r="D70" s="9">
        <f>D69+I69</f>
        <v>20235</v>
      </c>
      <c r="E70" s="9">
        <f>D70+I70-1</f>
        <v>20244</v>
      </c>
      <c r="F70" s="9" t="s">
        <v>1047</v>
      </c>
      <c r="G70" s="9" t="s">
        <v>639</v>
      </c>
      <c r="H70" s="9" t="s">
        <v>427</v>
      </c>
      <c r="I70" s="9">
        <v>10</v>
      </c>
      <c r="K70" s="9" t="s">
        <v>1048</v>
      </c>
    </row>
  </sheetData>
  <phoneticPr fontId="4" type="noConversion"/>
  <pageMargins left="0.7" right="0.7" top="0.75" bottom="0.75" header="0.3" footer="0.3"/>
  <pageSetup paperSize="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389"/>
  <sheetViews>
    <sheetView zoomScaleNormal="100" workbookViewId="0">
      <pane ySplit="1" topLeftCell="A356" activePane="bottomLeft" state="frozen"/>
      <selection pane="bottomLeft" activeCell="J353" sqref="J353"/>
    </sheetView>
  </sheetViews>
  <sheetFormatPr defaultColWidth="9" defaultRowHeight="12.75"/>
  <cols>
    <col min="1" max="1" width="37.85546875" style="26" customWidth="1"/>
    <col min="2" max="2" width="10.42578125" style="16" customWidth="1"/>
    <col min="3" max="5" width="9" style="16"/>
    <col min="6" max="6" width="50.7109375" style="16" customWidth="1"/>
    <col min="7" max="7" width="13.85546875" style="16" customWidth="1"/>
    <col min="8" max="9" width="9" style="16"/>
    <col min="10" max="10" width="16.28515625" style="16" customWidth="1"/>
    <col min="11" max="11" width="25.7109375" style="16" customWidth="1"/>
    <col min="12" max="16384" width="9" style="16"/>
  </cols>
  <sheetData>
    <row r="1" spans="1:12" s="39" customFormat="1">
      <c r="A1" s="39" t="s">
        <v>27</v>
      </c>
      <c r="B1" s="39" t="s">
        <v>414</v>
      </c>
      <c r="C1" s="39" t="s">
        <v>415</v>
      </c>
      <c r="D1" s="39" t="s">
        <v>416</v>
      </c>
      <c r="E1" s="39" t="s">
        <v>417</v>
      </c>
      <c r="F1" s="39" t="s">
        <v>418</v>
      </c>
      <c r="G1" s="39" t="s">
        <v>419</v>
      </c>
      <c r="H1" s="39" t="s">
        <v>421</v>
      </c>
      <c r="I1" s="39" t="s">
        <v>420</v>
      </c>
      <c r="J1" s="39" t="s">
        <v>422</v>
      </c>
      <c r="K1" s="39" t="s">
        <v>480</v>
      </c>
      <c r="L1" s="39" t="s">
        <v>659</v>
      </c>
    </row>
    <row r="2" spans="1:12">
      <c r="A2" s="26" t="s">
        <v>1049</v>
      </c>
    </row>
    <row r="3" spans="1:12">
      <c r="B3" s="16" t="str">
        <f>"0x"&amp;DEC2HEX(D3,4)</f>
        <v>0x1FFE</v>
      </c>
      <c r="C3" s="16" t="str">
        <f t="shared" ref="C3:C37" si="0">"0x"&amp;DEC2HEX(E3,4)</f>
        <v>0x1FFF</v>
      </c>
      <c r="D3" s="16">
        <v>8190</v>
      </c>
      <c r="E3" s="16">
        <f t="shared" ref="E3:E37" si="1">D3+I3-1</f>
        <v>8191</v>
      </c>
      <c r="F3" s="16" t="s">
        <v>1050</v>
      </c>
      <c r="G3" s="16" t="s">
        <v>1051</v>
      </c>
      <c r="H3" s="16" t="s">
        <v>427</v>
      </c>
      <c r="I3" s="16">
        <v>2</v>
      </c>
      <c r="K3" s="16" t="s">
        <v>1052</v>
      </c>
    </row>
    <row r="4" spans="1:12">
      <c r="B4" s="16" t="str">
        <f t="shared" ref="B4:B37" si="2">"0x"&amp;DEC2HEX(D4,4)</f>
        <v>0x2000</v>
      </c>
      <c r="C4" s="16" t="str">
        <f t="shared" si="0"/>
        <v>0x2000</v>
      </c>
      <c r="D4" s="16">
        <f t="shared" ref="D4:D37" si="3">D3+I3</f>
        <v>8192</v>
      </c>
      <c r="E4" s="16">
        <f t="shared" si="1"/>
        <v>8192</v>
      </c>
      <c r="F4" s="16" t="s">
        <v>1053</v>
      </c>
      <c r="G4" s="16" t="s">
        <v>1054</v>
      </c>
      <c r="H4" s="16" t="s">
        <v>427</v>
      </c>
      <c r="I4" s="16">
        <v>1</v>
      </c>
    </row>
    <row r="5" spans="1:12">
      <c r="B5" s="16" t="str">
        <f t="shared" si="2"/>
        <v>0x2001</v>
      </c>
      <c r="C5" s="16" t="str">
        <f t="shared" si="0"/>
        <v>0x2001</v>
      </c>
      <c r="D5" s="16">
        <f t="shared" si="3"/>
        <v>8193</v>
      </c>
      <c r="E5" s="16">
        <f t="shared" si="1"/>
        <v>8193</v>
      </c>
      <c r="F5" s="16" t="s">
        <v>1055</v>
      </c>
      <c r="G5" s="16" t="s">
        <v>1054</v>
      </c>
      <c r="H5" s="16" t="s">
        <v>427</v>
      </c>
      <c r="I5" s="16">
        <v>1</v>
      </c>
    </row>
    <row r="6" spans="1:12">
      <c r="B6" s="16" t="str">
        <f t="shared" si="2"/>
        <v>0x2002</v>
      </c>
      <c r="C6" s="16" t="str">
        <f t="shared" si="0"/>
        <v>0x2003</v>
      </c>
      <c r="D6" s="16">
        <f t="shared" si="3"/>
        <v>8194</v>
      </c>
      <c r="E6" s="16">
        <f t="shared" si="1"/>
        <v>8195</v>
      </c>
      <c r="F6" s="16" t="s">
        <v>1056</v>
      </c>
      <c r="G6" s="16" t="s">
        <v>1057</v>
      </c>
      <c r="H6" s="16" t="s">
        <v>427</v>
      </c>
      <c r="I6" s="16">
        <v>2</v>
      </c>
    </row>
    <row r="7" spans="1:12">
      <c r="B7" s="16" t="str">
        <f t="shared" si="2"/>
        <v>0x2004</v>
      </c>
      <c r="C7" s="16" t="str">
        <f t="shared" si="0"/>
        <v>0x2005</v>
      </c>
      <c r="D7" s="16">
        <f t="shared" si="3"/>
        <v>8196</v>
      </c>
      <c r="E7" s="16">
        <f t="shared" si="1"/>
        <v>8197</v>
      </c>
      <c r="F7" s="16" t="s">
        <v>1058</v>
      </c>
      <c r="G7" s="16" t="s">
        <v>1057</v>
      </c>
      <c r="H7" s="16" t="s">
        <v>427</v>
      </c>
      <c r="I7" s="16">
        <v>2</v>
      </c>
    </row>
    <row r="8" spans="1:12">
      <c r="B8" s="16" t="str">
        <f t="shared" si="2"/>
        <v>0x2006</v>
      </c>
      <c r="C8" s="16" t="str">
        <f t="shared" si="0"/>
        <v>0x2007</v>
      </c>
      <c r="D8" s="16">
        <f t="shared" si="3"/>
        <v>8198</v>
      </c>
      <c r="E8" s="16">
        <f t="shared" si="1"/>
        <v>8199</v>
      </c>
      <c r="F8" s="16" t="s">
        <v>1059</v>
      </c>
      <c r="G8" s="16" t="s">
        <v>1057</v>
      </c>
      <c r="H8" s="16" t="s">
        <v>427</v>
      </c>
      <c r="I8" s="16">
        <v>2</v>
      </c>
    </row>
    <row r="9" spans="1:12">
      <c r="B9" s="16" t="str">
        <f t="shared" si="2"/>
        <v>0x2008</v>
      </c>
      <c r="C9" s="16" t="str">
        <f t="shared" si="0"/>
        <v>0x2009</v>
      </c>
      <c r="D9" s="16">
        <f t="shared" si="3"/>
        <v>8200</v>
      </c>
      <c r="E9" s="16">
        <f t="shared" si="1"/>
        <v>8201</v>
      </c>
      <c r="F9" s="16" t="s">
        <v>1060</v>
      </c>
      <c r="G9" s="16" t="s">
        <v>1057</v>
      </c>
      <c r="H9" s="16" t="s">
        <v>427</v>
      </c>
      <c r="I9" s="16">
        <v>2</v>
      </c>
    </row>
    <row r="10" spans="1:12">
      <c r="B10" s="16" t="str">
        <f t="shared" si="2"/>
        <v>0x200A</v>
      </c>
      <c r="C10" s="16" t="str">
        <f t="shared" si="0"/>
        <v>0x200B</v>
      </c>
      <c r="D10" s="16">
        <f t="shared" si="3"/>
        <v>8202</v>
      </c>
      <c r="E10" s="16">
        <f t="shared" si="1"/>
        <v>8203</v>
      </c>
      <c r="F10" s="16" t="s">
        <v>1061</v>
      </c>
      <c r="G10" s="16" t="s">
        <v>1057</v>
      </c>
      <c r="H10" s="16" t="s">
        <v>427</v>
      </c>
      <c r="I10" s="16">
        <v>2</v>
      </c>
    </row>
    <row r="11" spans="1:12">
      <c r="B11" s="16" t="str">
        <f t="shared" si="2"/>
        <v>0x200C</v>
      </c>
      <c r="C11" s="16" t="str">
        <f t="shared" si="0"/>
        <v>0x200D</v>
      </c>
      <c r="D11" s="16">
        <f t="shared" si="3"/>
        <v>8204</v>
      </c>
      <c r="E11" s="16">
        <f t="shared" si="1"/>
        <v>8205</v>
      </c>
      <c r="F11" s="16" t="s">
        <v>1062</v>
      </c>
      <c r="G11" s="16" t="s">
        <v>1057</v>
      </c>
      <c r="H11" s="16" t="s">
        <v>427</v>
      </c>
      <c r="I11" s="16">
        <v>2</v>
      </c>
    </row>
    <row r="12" spans="1:12">
      <c r="B12" s="16" t="str">
        <f t="shared" si="2"/>
        <v>0x200E</v>
      </c>
      <c r="C12" s="16" t="str">
        <f t="shared" si="0"/>
        <v>0x200F</v>
      </c>
      <c r="D12" s="16">
        <f t="shared" si="3"/>
        <v>8206</v>
      </c>
      <c r="E12" s="16">
        <f t="shared" si="1"/>
        <v>8207</v>
      </c>
      <c r="F12" s="16" t="s">
        <v>1063</v>
      </c>
      <c r="G12" s="16" t="s">
        <v>1057</v>
      </c>
      <c r="H12" s="16" t="s">
        <v>427</v>
      </c>
      <c r="I12" s="16">
        <v>2</v>
      </c>
    </row>
    <row r="13" spans="1:12">
      <c r="B13" s="16" t="str">
        <f t="shared" si="2"/>
        <v>0x2010</v>
      </c>
      <c r="C13" s="16" t="str">
        <f t="shared" si="0"/>
        <v>0x2011</v>
      </c>
      <c r="D13" s="16">
        <f t="shared" si="3"/>
        <v>8208</v>
      </c>
      <c r="E13" s="16">
        <f t="shared" si="1"/>
        <v>8209</v>
      </c>
      <c r="F13" s="16" t="s">
        <v>1064</v>
      </c>
      <c r="G13" s="16" t="s">
        <v>1057</v>
      </c>
      <c r="H13" s="16" t="s">
        <v>427</v>
      </c>
      <c r="I13" s="16">
        <v>2</v>
      </c>
    </row>
    <row r="14" spans="1:12">
      <c r="B14" s="16" t="str">
        <f t="shared" si="2"/>
        <v>0x2012</v>
      </c>
      <c r="C14" s="16" t="str">
        <f t="shared" si="0"/>
        <v>0x2013</v>
      </c>
      <c r="D14" s="16">
        <f t="shared" si="3"/>
        <v>8210</v>
      </c>
      <c r="E14" s="16">
        <f t="shared" si="1"/>
        <v>8211</v>
      </c>
      <c r="F14" s="16" t="s">
        <v>1065</v>
      </c>
      <c r="G14" s="16" t="s">
        <v>1057</v>
      </c>
      <c r="H14" s="16" t="s">
        <v>427</v>
      </c>
      <c r="I14" s="16">
        <v>2</v>
      </c>
    </row>
    <row r="15" spans="1:12">
      <c r="B15" s="16" t="str">
        <f t="shared" si="2"/>
        <v>0x2014</v>
      </c>
      <c r="C15" s="16" t="str">
        <f t="shared" si="0"/>
        <v>0x2015</v>
      </c>
      <c r="D15" s="16">
        <f t="shared" si="3"/>
        <v>8212</v>
      </c>
      <c r="E15" s="16">
        <f t="shared" si="1"/>
        <v>8213</v>
      </c>
      <c r="F15" s="16" t="s">
        <v>1066</v>
      </c>
      <c r="G15" s="16" t="s">
        <v>1057</v>
      </c>
      <c r="H15" s="16" t="s">
        <v>427</v>
      </c>
      <c r="I15" s="16">
        <v>2</v>
      </c>
    </row>
    <row r="16" spans="1:12">
      <c r="B16" s="16" t="str">
        <f t="shared" si="2"/>
        <v>0x2016</v>
      </c>
      <c r="C16" s="16" t="str">
        <f t="shared" si="0"/>
        <v>0x2017</v>
      </c>
      <c r="D16" s="16">
        <f t="shared" si="3"/>
        <v>8214</v>
      </c>
      <c r="E16" s="16">
        <f t="shared" si="1"/>
        <v>8215</v>
      </c>
      <c r="F16" s="16" t="s">
        <v>1067</v>
      </c>
      <c r="G16" s="16" t="s">
        <v>1057</v>
      </c>
      <c r="H16" s="16" t="s">
        <v>427</v>
      </c>
      <c r="I16" s="16">
        <v>2</v>
      </c>
    </row>
    <row r="17" spans="2:10">
      <c r="B17" s="16" t="str">
        <f t="shared" si="2"/>
        <v>0x2018</v>
      </c>
      <c r="C17" s="16" t="str">
        <f t="shared" si="0"/>
        <v>0x2019</v>
      </c>
      <c r="D17" s="16">
        <f t="shared" si="3"/>
        <v>8216</v>
      </c>
      <c r="E17" s="16">
        <f t="shared" si="1"/>
        <v>8217</v>
      </c>
      <c r="F17" s="16" t="s">
        <v>1068</v>
      </c>
      <c r="G17" s="16" t="s">
        <v>1057</v>
      </c>
      <c r="H17" s="16" t="s">
        <v>427</v>
      </c>
      <c r="I17" s="16">
        <v>2</v>
      </c>
    </row>
    <row r="18" spans="2:10">
      <c r="B18" s="16" t="str">
        <f t="shared" si="2"/>
        <v>0x201A</v>
      </c>
      <c r="C18" s="16" t="str">
        <f t="shared" si="0"/>
        <v>0x201B</v>
      </c>
      <c r="D18" s="16">
        <f t="shared" si="3"/>
        <v>8218</v>
      </c>
      <c r="E18" s="16">
        <f t="shared" si="1"/>
        <v>8219</v>
      </c>
      <c r="F18" s="16" t="s">
        <v>1069</v>
      </c>
      <c r="G18" s="16" t="s">
        <v>1057</v>
      </c>
      <c r="H18" s="16" t="s">
        <v>427</v>
      </c>
      <c r="I18" s="16">
        <v>2</v>
      </c>
    </row>
    <row r="19" spans="2:10">
      <c r="B19" s="16" t="str">
        <f t="shared" si="2"/>
        <v>0x201C</v>
      </c>
      <c r="C19" s="16" t="str">
        <f t="shared" si="0"/>
        <v>0x201D</v>
      </c>
      <c r="D19" s="16">
        <f t="shared" si="3"/>
        <v>8220</v>
      </c>
      <c r="E19" s="16">
        <f t="shared" si="1"/>
        <v>8221</v>
      </c>
      <c r="F19" s="16" t="s">
        <v>1070</v>
      </c>
      <c r="G19" s="16" t="s">
        <v>1057</v>
      </c>
      <c r="H19" s="16" t="s">
        <v>427</v>
      </c>
      <c r="I19" s="16">
        <v>2</v>
      </c>
    </row>
    <row r="20" spans="2:10">
      <c r="B20" s="16" t="str">
        <f t="shared" si="2"/>
        <v>0x201E</v>
      </c>
      <c r="C20" s="16" t="str">
        <f t="shared" si="0"/>
        <v>0x201F</v>
      </c>
      <c r="D20" s="16">
        <f t="shared" si="3"/>
        <v>8222</v>
      </c>
      <c r="E20" s="16">
        <f t="shared" si="1"/>
        <v>8223</v>
      </c>
      <c r="F20" s="16" t="s">
        <v>1071</v>
      </c>
      <c r="G20" s="16" t="s">
        <v>1057</v>
      </c>
      <c r="H20" s="16" t="s">
        <v>427</v>
      </c>
      <c r="I20" s="16">
        <v>2</v>
      </c>
    </row>
    <row r="21" spans="2:10">
      <c r="B21" s="16" t="str">
        <f t="shared" si="2"/>
        <v>0x2020</v>
      </c>
      <c r="C21" s="16" t="str">
        <f t="shared" si="0"/>
        <v>0x2021</v>
      </c>
      <c r="D21" s="16">
        <f t="shared" si="3"/>
        <v>8224</v>
      </c>
      <c r="E21" s="16">
        <f t="shared" si="1"/>
        <v>8225</v>
      </c>
      <c r="F21" s="16" t="s">
        <v>1072</v>
      </c>
      <c r="G21" s="16" t="s">
        <v>1057</v>
      </c>
      <c r="H21" s="16" t="s">
        <v>427</v>
      </c>
      <c r="I21" s="16">
        <v>2</v>
      </c>
    </row>
    <row r="22" spans="2:10">
      <c r="B22" s="16" t="str">
        <f t="shared" si="2"/>
        <v>0x2022</v>
      </c>
      <c r="C22" s="16" t="str">
        <f t="shared" si="0"/>
        <v>0x2023</v>
      </c>
      <c r="D22" s="16">
        <f t="shared" si="3"/>
        <v>8226</v>
      </c>
      <c r="E22" s="16">
        <f t="shared" si="1"/>
        <v>8227</v>
      </c>
      <c r="F22" s="16" t="s">
        <v>1073</v>
      </c>
      <c r="G22" s="16" t="s">
        <v>1057</v>
      </c>
      <c r="H22" s="16" t="s">
        <v>427</v>
      </c>
      <c r="I22" s="16">
        <v>2</v>
      </c>
    </row>
    <row r="23" spans="2:10">
      <c r="B23" s="16" t="str">
        <f t="shared" si="2"/>
        <v>0x2024</v>
      </c>
      <c r="C23" s="16" t="str">
        <f t="shared" si="0"/>
        <v>0x2025</v>
      </c>
      <c r="D23" s="16">
        <f t="shared" si="3"/>
        <v>8228</v>
      </c>
      <c r="E23" s="16">
        <f t="shared" si="1"/>
        <v>8229</v>
      </c>
      <c r="F23" s="16" t="s">
        <v>1074</v>
      </c>
      <c r="G23" s="16" t="s">
        <v>1057</v>
      </c>
      <c r="H23" s="16" t="s">
        <v>427</v>
      </c>
      <c r="I23" s="16">
        <v>2</v>
      </c>
    </row>
    <row r="24" spans="2:10">
      <c r="B24" s="16" t="str">
        <f t="shared" si="2"/>
        <v>0x2026</v>
      </c>
      <c r="C24" s="16" t="str">
        <f t="shared" si="0"/>
        <v>0x2027</v>
      </c>
      <c r="D24" s="16">
        <f t="shared" si="3"/>
        <v>8230</v>
      </c>
      <c r="E24" s="16">
        <f t="shared" si="1"/>
        <v>8231</v>
      </c>
      <c r="F24" s="16" t="s">
        <v>1075</v>
      </c>
      <c r="G24" s="16" t="s">
        <v>1057</v>
      </c>
      <c r="H24" s="16" t="s">
        <v>427</v>
      </c>
      <c r="I24" s="16">
        <v>2</v>
      </c>
    </row>
    <row r="25" spans="2:10">
      <c r="B25" s="16" t="str">
        <f t="shared" si="2"/>
        <v>0x2028</v>
      </c>
      <c r="C25" s="16" t="str">
        <f t="shared" si="0"/>
        <v>0x2029</v>
      </c>
      <c r="D25" s="16">
        <f t="shared" si="3"/>
        <v>8232</v>
      </c>
      <c r="E25" s="16">
        <f t="shared" si="1"/>
        <v>8233</v>
      </c>
      <c r="F25" s="16" t="s">
        <v>1076</v>
      </c>
      <c r="G25" s="16" t="s">
        <v>1057</v>
      </c>
      <c r="H25" s="16" t="s">
        <v>427</v>
      </c>
      <c r="I25" s="16">
        <v>2</v>
      </c>
    </row>
    <row r="26" spans="2:10">
      <c r="B26" s="16" t="str">
        <f t="shared" si="2"/>
        <v>0x202A</v>
      </c>
      <c r="C26" s="16" t="str">
        <f t="shared" si="0"/>
        <v>0x202B</v>
      </c>
      <c r="D26" s="16">
        <f t="shared" si="3"/>
        <v>8234</v>
      </c>
      <c r="E26" s="16">
        <f t="shared" si="1"/>
        <v>8235</v>
      </c>
      <c r="F26" s="16" t="s">
        <v>1077</v>
      </c>
      <c r="G26" s="16" t="s">
        <v>1057</v>
      </c>
      <c r="H26" s="16" t="s">
        <v>427</v>
      </c>
      <c r="I26" s="16">
        <v>2</v>
      </c>
    </row>
    <row r="27" spans="2:10">
      <c r="B27" s="16" t="str">
        <f t="shared" si="2"/>
        <v>0x202C</v>
      </c>
      <c r="C27" s="16" t="str">
        <f t="shared" si="0"/>
        <v>0x202D</v>
      </c>
      <c r="D27" s="16">
        <f t="shared" si="3"/>
        <v>8236</v>
      </c>
      <c r="E27" s="16">
        <f t="shared" si="1"/>
        <v>8237</v>
      </c>
      <c r="F27" s="16" t="s">
        <v>1078</v>
      </c>
      <c r="G27" s="16" t="s">
        <v>1057</v>
      </c>
      <c r="H27" s="16" t="s">
        <v>427</v>
      </c>
      <c r="I27" s="16">
        <v>2</v>
      </c>
    </row>
    <row r="28" spans="2:10">
      <c r="B28" s="16" t="str">
        <f t="shared" si="2"/>
        <v>0x202E</v>
      </c>
      <c r="C28" s="16" t="str">
        <f t="shared" si="0"/>
        <v>0x202F</v>
      </c>
      <c r="D28" s="16">
        <f t="shared" si="3"/>
        <v>8238</v>
      </c>
      <c r="E28" s="16">
        <f t="shared" si="1"/>
        <v>8239</v>
      </c>
      <c r="F28" s="16" t="s">
        <v>1079</v>
      </c>
      <c r="G28" s="16" t="s">
        <v>1057</v>
      </c>
      <c r="H28" s="16" t="s">
        <v>427</v>
      </c>
      <c r="I28" s="16">
        <v>2</v>
      </c>
    </row>
    <row r="29" spans="2:10">
      <c r="B29" s="16" t="str">
        <f t="shared" si="2"/>
        <v>0x2030</v>
      </c>
      <c r="C29" s="16" t="str">
        <f t="shared" si="0"/>
        <v>0x2031</v>
      </c>
      <c r="D29" s="16">
        <f t="shared" si="3"/>
        <v>8240</v>
      </c>
      <c r="E29" s="16">
        <f t="shared" si="1"/>
        <v>8241</v>
      </c>
      <c r="F29" s="16" t="s">
        <v>1080</v>
      </c>
      <c r="G29" s="16" t="s">
        <v>1057</v>
      </c>
      <c r="H29" s="16" t="s">
        <v>427</v>
      </c>
      <c r="I29" s="16">
        <v>2</v>
      </c>
    </row>
    <row r="30" spans="2:10">
      <c r="B30" s="16" t="str">
        <f t="shared" si="2"/>
        <v>0x2032</v>
      </c>
      <c r="C30" s="16" t="str">
        <f t="shared" si="0"/>
        <v>0x2033</v>
      </c>
      <c r="D30" s="16">
        <f t="shared" si="3"/>
        <v>8242</v>
      </c>
      <c r="E30" s="16">
        <f t="shared" si="1"/>
        <v>8243</v>
      </c>
      <c r="F30" s="16" t="s">
        <v>1081</v>
      </c>
      <c r="G30" s="16" t="s">
        <v>1057</v>
      </c>
      <c r="H30" s="16" t="s">
        <v>427</v>
      </c>
      <c r="I30" s="16">
        <v>2</v>
      </c>
    </row>
    <row r="31" spans="2:10">
      <c r="B31" s="16" t="str">
        <f t="shared" si="2"/>
        <v>0x2034</v>
      </c>
      <c r="C31" s="16" t="str">
        <f t="shared" si="0"/>
        <v>0x2035</v>
      </c>
      <c r="D31" s="16">
        <f t="shared" si="3"/>
        <v>8244</v>
      </c>
      <c r="E31" s="16">
        <f t="shared" si="1"/>
        <v>8245</v>
      </c>
      <c r="F31" s="16" t="s">
        <v>1082</v>
      </c>
      <c r="G31" s="16" t="s">
        <v>1057</v>
      </c>
      <c r="H31" s="16" t="s">
        <v>427</v>
      </c>
      <c r="I31" s="16">
        <v>2</v>
      </c>
    </row>
    <row r="32" spans="2:10" ht="25.5">
      <c r="B32" s="16" t="str">
        <f t="shared" si="2"/>
        <v>0x2036</v>
      </c>
      <c r="C32" s="16" t="str">
        <f t="shared" si="0"/>
        <v>0x2036</v>
      </c>
      <c r="D32" s="16">
        <f t="shared" si="3"/>
        <v>8246</v>
      </c>
      <c r="E32" s="16">
        <f t="shared" si="1"/>
        <v>8246</v>
      </c>
      <c r="F32" s="16" t="s">
        <v>1083</v>
      </c>
      <c r="G32" s="16" t="s">
        <v>1054</v>
      </c>
      <c r="H32" s="16" t="s">
        <v>427</v>
      </c>
      <c r="I32" s="16">
        <v>1</v>
      </c>
      <c r="J32" s="1" t="s">
        <v>1084</v>
      </c>
    </row>
    <row r="33" spans="1:10">
      <c r="B33" s="16" t="str">
        <f t="shared" si="2"/>
        <v>0x2037</v>
      </c>
      <c r="C33" s="16" t="str">
        <f t="shared" si="0"/>
        <v>0x2038</v>
      </c>
      <c r="D33" s="16">
        <f t="shared" si="3"/>
        <v>8247</v>
      </c>
      <c r="E33" s="16">
        <f t="shared" si="1"/>
        <v>8248</v>
      </c>
      <c r="F33" s="16" t="s">
        <v>1085</v>
      </c>
      <c r="G33" s="16" t="s">
        <v>526</v>
      </c>
      <c r="H33" s="16" t="s">
        <v>427</v>
      </c>
      <c r="I33" s="16">
        <v>2</v>
      </c>
    </row>
    <row r="34" spans="1:10" ht="25.5">
      <c r="B34" s="16" t="str">
        <f t="shared" si="2"/>
        <v>0x2039</v>
      </c>
      <c r="C34" s="16" t="str">
        <f t="shared" si="0"/>
        <v>0x2039</v>
      </c>
      <c r="D34" s="16">
        <f t="shared" si="3"/>
        <v>8249</v>
      </c>
      <c r="E34" s="16">
        <f t="shared" si="1"/>
        <v>8249</v>
      </c>
      <c r="F34" s="16" t="s">
        <v>1083</v>
      </c>
      <c r="G34" s="16" t="s">
        <v>1054</v>
      </c>
      <c r="H34" s="16" t="s">
        <v>427</v>
      </c>
      <c r="I34" s="16">
        <v>1</v>
      </c>
      <c r="J34" s="1" t="s">
        <v>1084</v>
      </c>
    </row>
    <row r="35" spans="1:10">
      <c r="B35" s="16" t="str">
        <f t="shared" si="2"/>
        <v>0x203A</v>
      </c>
      <c r="C35" s="16" t="str">
        <f t="shared" si="0"/>
        <v>0x203B</v>
      </c>
      <c r="D35" s="16">
        <f t="shared" si="3"/>
        <v>8250</v>
      </c>
      <c r="E35" s="16">
        <f t="shared" si="1"/>
        <v>8251</v>
      </c>
      <c r="F35" s="16" t="s">
        <v>1086</v>
      </c>
      <c r="G35" s="16" t="s">
        <v>526</v>
      </c>
      <c r="H35" s="16" t="s">
        <v>427</v>
      </c>
      <c r="I35" s="16">
        <v>2</v>
      </c>
    </row>
    <row r="36" spans="1:10" ht="25.5">
      <c r="B36" s="16" t="str">
        <f t="shared" si="2"/>
        <v>0x203C</v>
      </c>
      <c r="C36" s="16" t="str">
        <f t="shared" si="0"/>
        <v>0x203C</v>
      </c>
      <c r="D36" s="16">
        <f t="shared" si="3"/>
        <v>8252</v>
      </c>
      <c r="E36" s="16">
        <f t="shared" si="1"/>
        <v>8252</v>
      </c>
      <c r="F36" s="16" t="s">
        <v>1083</v>
      </c>
      <c r="G36" s="16" t="s">
        <v>1054</v>
      </c>
      <c r="H36" s="16" t="s">
        <v>427</v>
      </c>
      <c r="I36" s="16">
        <v>1</v>
      </c>
      <c r="J36" s="1" t="s">
        <v>1084</v>
      </c>
    </row>
    <row r="37" spans="1:10">
      <c r="B37" s="16" t="str">
        <f t="shared" si="2"/>
        <v>0x203D</v>
      </c>
      <c r="C37" s="16" t="str">
        <f t="shared" si="0"/>
        <v>0x203E</v>
      </c>
      <c r="D37" s="16">
        <f t="shared" si="3"/>
        <v>8253</v>
      </c>
      <c r="E37" s="16">
        <f t="shared" si="1"/>
        <v>8254</v>
      </c>
      <c r="F37" s="16" t="s">
        <v>1087</v>
      </c>
      <c r="G37" s="16" t="s">
        <v>526</v>
      </c>
      <c r="H37" s="16" t="s">
        <v>427</v>
      </c>
      <c r="I37" s="16">
        <v>2</v>
      </c>
    </row>
    <row r="38" spans="1:10" s="27" customFormat="1">
      <c r="B38" s="16"/>
      <c r="C38" s="16"/>
      <c r="D38" s="16"/>
      <c r="E38" s="16"/>
      <c r="F38" s="16"/>
      <c r="G38" s="16"/>
      <c r="H38" s="16"/>
      <c r="I38" s="16"/>
    </row>
    <row r="39" spans="1:10" s="27" customFormat="1">
      <c r="B39" s="16"/>
      <c r="C39" s="16"/>
      <c r="D39" s="16"/>
      <c r="E39" s="16"/>
      <c r="F39" s="16"/>
      <c r="G39" s="16"/>
      <c r="H39" s="16"/>
      <c r="I39" s="16"/>
    </row>
    <row r="41" spans="1:10">
      <c r="A41" s="26" t="s">
        <v>1088</v>
      </c>
    </row>
    <row r="42" spans="1:10">
      <c r="B42" s="16" t="str">
        <f t="shared" ref="B42:B75" si="4">"0x"&amp;DEC2HEX(D42,4)</f>
        <v>0x3000</v>
      </c>
      <c r="C42" s="16" t="str">
        <f t="shared" ref="C42:C75" si="5">"0x"&amp;DEC2HEX(E42,4)</f>
        <v>0x3001</v>
      </c>
      <c r="D42" s="16">
        <v>12288</v>
      </c>
      <c r="E42" s="16">
        <f t="shared" ref="E42:E75" si="6">D42+I42-1</f>
        <v>12289</v>
      </c>
      <c r="F42" s="16" t="s">
        <v>1089</v>
      </c>
      <c r="G42" s="16" t="s">
        <v>541</v>
      </c>
      <c r="H42" s="16" t="s">
        <v>427</v>
      </c>
      <c r="I42" s="16">
        <v>2</v>
      </c>
    </row>
    <row r="43" spans="1:10">
      <c r="B43" s="16" t="str">
        <f t="shared" si="4"/>
        <v>0x3002</v>
      </c>
      <c r="C43" s="16" t="str">
        <f t="shared" si="5"/>
        <v>0x3003</v>
      </c>
      <c r="D43" s="16">
        <f t="shared" ref="D43:D75" si="7">D42+I42</f>
        <v>12290</v>
      </c>
      <c r="E43" s="16">
        <f t="shared" si="6"/>
        <v>12291</v>
      </c>
      <c r="F43" s="16" t="s">
        <v>1090</v>
      </c>
      <c r="G43" s="16" t="s">
        <v>541</v>
      </c>
      <c r="H43" s="16" t="s">
        <v>427</v>
      </c>
      <c r="I43" s="16">
        <v>2</v>
      </c>
    </row>
    <row r="44" spans="1:10">
      <c r="B44" s="16" t="str">
        <f t="shared" si="4"/>
        <v>0x3004</v>
      </c>
      <c r="C44" s="16" t="str">
        <f t="shared" si="5"/>
        <v>0x3005</v>
      </c>
      <c r="D44" s="16">
        <f t="shared" si="7"/>
        <v>12292</v>
      </c>
      <c r="E44" s="16">
        <f t="shared" si="6"/>
        <v>12293</v>
      </c>
      <c r="F44" s="16" t="s">
        <v>1091</v>
      </c>
      <c r="G44" s="16" t="s">
        <v>541</v>
      </c>
      <c r="H44" s="16" t="s">
        <v>427</v>
      </c>
      <c r="I44" s="16">
        <v>2</v>
      </c>
    </row>
    <row r="45" spans="1:10">
      <c r="B45" s="16" t="str">
        <f t="shared" si="4"/>
        <v>0x3006</v>
      </c>
      <c r="C45" s="16" t="str">
        <f t="shared" si="5"/>
        <v>0x3007</v>
      </c>
      <c r="D45" s="16">
        <f t="shared" si="7"/>
        <v>12294</v>
      </c>
      <c r="E45" s="16">
        <f t="shared" si="6"/>
        <v>12295</v>
      </c>
      <c r="F45" s="16" t="s">
        <v>1092</v>
      </c>
      <c r="G45" s="16" t="s">
        <v>541</v>
      </c>
      <c r="H45" s="16" t="s">
        <v>427</v>
      </c>
      <c r="I45" s="16">
        <v>2</v>
      </c>
    </row>
    <row r="46" spans="1:10">
      <c r="B46" s="16" t="str">
        <f t="shared" si="4"/>
        <v>0x3008</v>
      </c>
      <c r="C46" s="16" t="str">
        <f t="shared" si="5"/>
        <v>0x3009</v>
      </c>
      <c r="D46" s="16">
        <f t="shared" si="7"/>
        <v>12296</v>
      </c>
      <c r="E46" s="16">
        <f t="shared" si="6"/>
        <v>12297</v>
      </c>
      <c r="F46" s="16" t="s">
        <v>1093</v>
      </c>
      <c r="G46" s="16" t="s">
        <v>541</v>
      </c>
      <c r="H46" s="16" t="s">
        <v>427</v>
      </c>
      <c r="I46" s="16">
        <v>2</v>
      </c>
    </row>
    <row r="47" spans="1:10">
      <c r="B47" s="16" t="str">
        <f t="shared" si="4"/>
        <v>0x300A</v>
      </c>
      <c r="C47" s="16" t="str">
        <f t="shared" si="5"/>
        <v>0x300B</v>
      </c>
      <c r="D47" s="16">
        <f t="shared" si="7"/>
        <v>12298</v>
      </c>
      <c r="E47" s="16">
        <f t="shared" si="6"/>
        <v>12299</v>
      </c>
      <c r="F47" s="16" t="s">
        <v>1094</v>
      </c>
      <c r="G47" s="16" t="s">
        <v>541</v>
      </c>
      <c r="H47" s="16" t="s">
        <v>427</v>
      </c>
      <c r="I47" s="16">
        <v>2</v>
      </c>
    </row>
    <row r="48" spans="1:10">
      <c r="B48" s="16" t="str">
        <f t="shared" si="4"/>
        <v>0x300C</v>
      </c>
      <c r="C48" s="16" t="str">
        <f t="shared" si="5"/>
        <v>0x300D</v>
      </c>
      <c r="D48" s="16">
        <f t="shared" si="7"/>
        <v>12300</v>
      </c>
      <c r="E48" s="16">
        <f t="shared" si="6"/>
        <v>12301</v>
      </c>
      <c r="F48" s="16" t="s">
        <v>1095</v>
      </c>
      <c r="G48" s="16" t="s">
        <v>541</v>
      </c>
      <c r="H48" s="16" t="s">
        <v>427</v>
      </c>
      <c r="I48" s="16">
        <v>2</v>
      </c>
    </row>
    <row r="49" spans="2:9">
      <c r="B49" s="16" t="str">
        <f t="shared" si="4"/>
        <v>0x300E</v>
      </c>
      <c r="C49" s="16" t="str">
        <f t="shared" si="5"/>
        <v>0x300F</v>
      </c>
      <c r="D49" s="16">
        <f t="shared" si="7"/>
        <v>12302</v>
      </c>
      <c r="E49" s="16">
        <f t="shared" si="6"/>
        <v>12303</v>
      </c>
      <c r="F49" s="16" t="s">
        <v>1096</v>
      </c>
      <c r="G49" s="16" t="s">
        <v>541</v>
      </c>
      <c r="H49" s="16" t="s">
        <v>427</v>
      </c>
      <c r="I49" s="16">
        <v>2</v>
      </c>
    </row>
    <row r="50" spans="2:9">
      <c r="B50" s="16" t="str">
        <f t="shared" si="4"/>
        <v>0x3010</v>
      </c>
      <c r="C50" s="16" t="str">
        <f t="shared" si="5"/>
        <v>0x3011</v>
      </c>
      <c r="D50" s="16">
        <f t="shared" si="7"/>
        <v>12304</v>
      </c>
      <c r="E50" s="16">
        <f t="shared" si="6"/>
        <v>12305</v>
      </c>
      <c r="F50" s="16" t="s">
        <v>1097</v>
      </c>
      <c r="G50" s="16" t="s">
        <v>541</v>
      </c>
      <c r="H50" s="16" t="s">
        <v>427</v>
      </c>
      <c r="I50" s="16">
        <v>2</v>
      </c>
    </row>
    <row r="51" spans="2:9">
      <c r="B51" s="16" t="str">
        <f t="shared" si="4"/>
        <v>0x3012</v>
      </c>
      <c r="C51" s="16" t="str">
        <f t="shared" si="5"/>
        <v>0x3013</v>
      </c>
      <c r="D51" s="16">
        <f t="shared" si="7"/>
        <v>12306</v>
      </c>
      <c r="E51" s="16">
        <f t="shared" si="6"/>
        <v>12307</v>
      </c>
      <c r="F51" s="16" t="s">
        <v>1098</v>
      </c>
      <c r="G51" s="16" t="s">
        <v>541</v>
      </c>
      <c r="H51" s="16" t="s">
        <v>427</v>
      </c>
      <c r="I51" s="16">
        <v>2</v>
      </c>
    </row>
    <row r="52" spans="2:9">
      <c r="B52" s="16" t="str">
        <f t="shared" si="4"/>
        <v>0x3014</v>
      </c>
      <c r="C52" s="16" t="str">
        <f t="shared" si="5"/>
        <v>0x3015</v>
      </c>
      <c r="D52" s="16">
        <f t="shared" si="7"/>
        <v>12308</v>
      </c>
      <c r="E52" s="16">
        <f t="shared" si="6"/>
        <v>12309</v>
      </c>
      <c r="F52" s="16" t="s">
        <v>1099</v>
      </c>
      <c r="G52" s="16" t="s">
        <v>541</v>
      </c>
      <c r="H52" s="16" t="s">
        <v>427</v>
      </c>
      <c r="I52" s="16">
        <v>2</v>
      </c>
    </row>
    <row r="53" spans="2:9">
      <c r="B53" s="16" t="str">
        <f t="shared" si="4"/>
        <v>0x3016</v>
      </c>
      <c r="C53" s="16" t="str">
        <f t="shared" si="5"/>
        <v>0x3017</v>
      </c>
      <c r="D53" s="16">
        <f t="shared" si="7"/>
        <v>12310</v>
      </c>
      <c r="E53" s="16">
        <f t="shared" si="6"/>
        <v>12311</v>
      </c>
      <c r="F53" s="16" t="s">
        <v>1100</v>
      </c>
      <c r="G53" s="16" t="s">
        <v>541</v>
      </c>
      <c r="H53" s="16" t="s">
        <v>427</v>
      </c>
      <c r="I53" s="16">
        <v>2</v>
      </c>
    </row>
    <row r="54" spans="2:9">
      <c r="B54" s="16" t="str">
        <f t="shared" si="4"/>
        <v>0x3018</v>
      </c>
      <c r="C54" s="16" t="str">
        <f t="shared" si="5"/>
        <v>0x3019</v>
      </c>
      <c r="D54" s="16">
        <f t="shared" si="7"/>
        <v>12312</v>
      </c>
      <c r="E54" s="16">
        <f t="shared" si="6"/>
        <v>12313</v>
      </c>
      <c r="F54" s="16" t="s">
        <v>1101</v>
      </c>
      <c r="G54" s="16" t="s">
        <v>541</v>
      </c>
      <c r="H54" s="16" t="s">
        <v>427</v>
      </c>
      <c r="I54" s="16">
        <v>2</v>
      </c>
    </row>
    <row r="55" spans="2:9">
      <c r="B55" s="16" t="str">
        <f t="shared" si="4"/>
        <v>0x301A</v>
      </c>
      <c r="C55" s="16" t="str">
        <f t="shared" si="5"/>
        <v>0x301B</v>
      </c>
      <c r="D55" s="16">
        <f t="shared" si="7"/>
        <v>12314</v>
      </c>
      <c r="E55" s="16">
        <f t="shared" si="6"/>
        <v>12315</v>
      </c>
      <c r="F55" s="16" t="s">
        <v>1102</v>
      </c>
      <c r="G55" s="16" t="s">
        <v>541</v>
      </c>
      <c r="H55" s="16" t="s">
        <v>427</v>
      </c>
      <c r="I55" s="16">
        <v>2</v>
      </c>
    </row>
    <row r="56" spans="2:9">
      <c r="B56" s="16" t="str">
        <f t="shared" si="4"/>
        <v>0x301C</v>
      </c>
      <c r="C56" s="16" t="str">
        <f t="shared" si="5"/>
        <v>0x301D</v>
      </c>
      <c r="D56" s="16">
        <f t="shared" si="7"/>
        <v>12316</v>
      </c>
      <c r="E56" s="16">
        <f t="shared" si="6"/>
        <v>12317</v>
      </c>
      <c r="F56" s="16" t="s">
        <v>1103</v>
      </c>
      <c r="G56" s="16" t="s">
        <v>541</v>
      </c>
      <c r="H56" s="16" t="s">
        <v>427</v>
      </c>
      <c r="I56" s="16">
        <v>2</v>
      </c>
    </row>
    <row r="57" spans="2:9">
      <c r="B57" s="16" t="str">
        <f t="shared" si="4"/>
        <v>0x301E</v>
      </c>
      <c r="C57" s="16" t="str">
        <f t="shared" si="5"/>
        <v>0x301F</v>
      </c>
      <c r="D57" s="16">
        <f t="shared" si="7"/>
        <v>12318</v>
      </c>
      <c r="E57" s="16">
        <f t="shared" si="6"/>
        <v>12319</v>
      </c>
      <c r="F57" s="16" t="s">
        <v>1104</v>
      </c>
      <c r="G57" s="16" t="s">
        <v>541</v>
      </c>
      <c r="H57" s="16" t="s">
        <v>427</v>
      </c>
      <c r="I57" s="16">
        <v>2</v>
      </c>
    </row>
    <row r="58" spans="2:9">
      <c r="B58" s="16" t="str">
        <f t="shared" si="4"/>
        <v>0x3020</v>
      </c>
      <c r="C58" s="16" t="str">
        <f t="shared" si="5"/>
        <v>0x3021</v>
      </c>
      <c r="D58" s="16">
        <f t="shared" si="7"/>
        <v>12320</v>
      </c>
      <c r="E58" s="16">
        <f t="shared" si="6"/>
        <v>12321</v>
      </c>
      <c r="F58" s="16" t="s">
        <v>1105</v>
      </c>
      <c r="G58" s="16" t="s">
        <v>541</v>
      </c>
      <c r="H58" s="16" t="s">
        <v>427</v>
      </c>
      <c r="I58" s="16">
        <v>2</v>
      </c>
    </row>
    <row r="59" spans="2:9">
      <c r="B59" s="16" t="str">
        <f t="shared" si="4"/>
        <v>0x3022</v>
      </c>
      <c r="C59" s="16" t="str">
        <f t="shared" si="5"/>
        <v>0x3023</v>
      </c>
      <c r="D59" s="16">
        <f t="shared" si="7"/>
        <v>12322</v>
      </c>
      <c r="E59" s="16">
        <f t="shared" si="6"/>
        <v>12323</v>
      </c>
      <c r="F59" s="16" t="s">
        <v>1106</v>
      </c>
      <c r="G59" s="16" t="s">
        <v>541</v>
      </c>
      <c r="H59" s="16" t="s">
        <v>427</v>
      </c>
      <c r="I59" s="16">
        <v>2</v>
      </c>
    </row>
    <row r="60" spans="2:9">
      <c r="B60" s="16" t="str">
        <f t="shared" si="4"/>
        <v>0x3024</v>
      </c>
      <c r="C60" s="16" t="str">
        <f t="shared" si="5"/>
        <v>0x3025</v>
      </c>
      <c r="D60" s="16">
        <f t="shared" si="7"/>
        <v>12324</v>
      </c>
      <c r="E60" s="16">
        <f t="shared" si="6"/>
        <v>12325</v>
      </c>
      <c r="F60" s="16" t="s">
        <v>1107</v>
      </c>
      <c r="G60" s="16" t="s">
        <v>541</v>
      </c>
      <c r="H60" s="16" t="s">
        <v>427</v>
      </c>
      <c r="I60" s="16">
        <v>2</v>
      </c>
    </row>
    <row r="61" spans="2:9">
      <c r="B61" s="16" t="str">
        <f t="shared" si="4"/>
        <v>0x3026</v>
      </c>
      <c r="C61" s="16" t="str">
        <f t="shared" si="5"/>
        <v>0x3027</v>
      </c>
      <c r="D61" s="16">
        <f t="shared" si="7"/>
        <v>12326</v>
      </c>
      <c r="E61" s="16">
        <f t="shared" si="6"/>
        <v>12327</v>
      </c>
      <c r="F61" s="16" t="s">
        <v>1108</v>
      </c>
      <c r="G61" s="16" t="s">
        <v>541</v>
      </c>
      <c r="H61" s="16" t="s">
        <v>427</v>
      </c>
      <c r="I61" s="16">
        <v>2</v>
      </c>
    </row>
    <row r="62" spans="2:9">
      <c r="B62" s="16" t="str">
        <f t="shared" si="4"/>
        <v>0x3028</v>
      </c>
      <c r="C62" s="16" t="str">
        <f t="shared" si="5"/>
        <v>0x3029</v>
      </c>
      <c r="D62" s="16">
        <f t="shared" si="7"/>
        <v>12328</v>
      </c>
      <c r="E62" s="16">
        <f t="shared" si="6"/>
        <v>12329</v>
      </c>
      <c r="F62" s="16" t="s">
        <v>1109</v>
      </c>
      <c r="G62" s="16" t="s">
        <v>541</v>
      </c>
      <c r="H62" s="16" t="s">
        <v>427</v>
      </c>
      <c r="I62" s="16">
        <v>2</v>
      </c>
    </row>
    <row r="63" spans="2:9">
      <c r="B63" s="16" t="str">
        <f t="shared" si="4"/>
        <v>0x302A</v>
      </c>
      <c r="C63" s="16" t="str">
        <f t="shared" si="5"/>
        <v>0x302B</v>
      </c>
      <c r="D63" s="16">
        <f t="shared" si="7"/>
        <v>12330</v>
      </c>
      <c r="E63" s="16">
        <f t="shared" si="6"/>
        <v>12331</v>
      </c>
      <c r="F63" s="16" t="s">
        <v>1110</v>
      </c>
      <c r="G63" s="16" t="s">
        <v>541</v>
      </c>
      <c r="H63" s="16" t="s">
        <v>427</v>
      </c>
      <c r="I63" s="16">
        <v>2</v>
      </c>
    </row>
    <row r="64" spans="2:9">
      <c r="B64" s="16" t="str">
        <f t="shared" si="4"/>
        <v>0x302C</v>
      </c>
      <c r="C64" s="16" t="str">
        <f t="shared" si="5"/>
        <v>0x302D</v>
      </c>
      <c r="D64" s="16">
        <f t="shared" si="7"/>
        <v>12332</v>
      </c>
      <c r="E64" s="16">
        <f t="shared" si="6"/>
        <v>12333</v>
      </c>
      <c r="F64" s="16" t="s">
        <v>1111</v>
      </c>
      <c r="G64" s="16" t="s">
        <v>541</v>
      </c>
      <c r="H64" s="16" t="s">
        <v>427</v>
      </c>
      <c r="I64" s="16">
        <v>2</v>
      </c>
    </row>
    <row r="65" spans="1:9">
      <c r="B65" s="16" t="str">
        <f t="shared" si="4"/>
        <v>0x302E</v>
      </c>
      <c r="C65" s="16" t="str">
        <f t="shared" si="5"/>
        <v>0x302F</v>
      </c>
      <c r="D65" s="16">
        <f t="shared" si="7"/>
        <v>12334</v>
      </c>
      <c r="E65" s="16">
        <f t="shared" si="6"/>
        <v>12335</v>
      </c>
      <c r="F65" s="16" t="s">
        <v>1112</v>
      </c>
      <c r="G65" s="16" t="s">
        <v>541</v>
      </c>
      <c r="H65" s="16" t="s">
        <v>427</v>
      </c>
      <c r="I65" s="16">
        <v>2</v>
      </c>
    </row>
    <row r="66" spans="1:9">
      <c r="B66" s="16" t="str">
        <f t="shared" si="4"/>
        <v>0x3030</v>
      </c>
      <c r="C66" s="16" t="str">
        <f t="shared" si="5"/>
        <v>0x3031</v>
      </c>
      <c r="D66" s="16">
        <f t="shared" si="7"/>
        <v>12336</v>
      </c>
      <c r="E66" s="16">
        <f t="shared" si="6"/>
        <v>12337</v>
      </c>
      <c r="F66" s="16" t="s">
        <v>1113</v>
      </c>
      <c r="G66" s="16" t="s">
        <v>541</v>
      </c>
      <c r="H66" s="16" t="s">
        <v>427</v>
      </c>
      <c r="I66" s="16">
        <v>2</v>
      </c>
    </row>
    <row r="67" spans="1:9">
      <c r="B67" s="16" t="str">
        <f t="shared" si="4"/>
        <v>0x3032</v>
      </c>
      <c r="C67" s="16" t="str">
        <f t="shared" si="5"/>
        <v>0x3033</v>
      </c>
      <c r="D67" s="16">
        <f t="shared" si="7"/>
        <v>12338</v>
      </c>
      <c r="E67" s="16">
        <f t="shared" si="6"/>
        <v>12339</v>
      </c>
      <c r="F67" s="16" t="s">
        <v>1114</v>
      </c>
      <c r="G67" s="16" t="s">
        <v>541</v>
      </c>
      <c r="H67" s="16" t="s">
        <v>427</v>
      </c>
      <c r="I67" s="16">
        <v>2</v>
      </c>
    </row>
    <row r="68" spans="1:9">
      <c r="B68" s="16" t="str">
        <f t="shared" si="4"/>
        <v>0x3034</v>
      </c>
      <c r="C68" s="16" t="str">
        <f t="shared" si="5"/>
        <v>0x3035</v>
      </c>
      <c r="D68" s="16">
        <f t="shared" si="7"/>
        <v>12340</v>
      </c>
      <c r="E68" s="16">
        <f t="shared" si="6"/>
        <v>12341</v>
      </c>
      <c r="F68" s="16" t="s">
        <v>1115</v>
      </c>
      <c r="G68" s="16" t="s">
        <v>541</v>
      </c>
      <c r="H68" s="16" t="s">
        <v>427</v>
      </c>
      <c r="I68" s="16">
        <v>2</v>
      </c>
    </row>
    <row r="69" spans="1:9">
      <c r="B69" s="16" t="str">
        <f t="shared" si="4"/>
        <v>0x3036</v>
      </c>
      <c r="C69" s="16" t="str">
        <f t="shared" si="5"/>
        <v>0x3037</v>
      </c>
      <c r="D69" s="16">
        <f t="shared" si="7"/>
        <v>12342</v>
      </c>
      <c r="E69" s="16">
        <f t="shared" si="6"/>
        <v>12343</v>
      </c>
      <c r="F69" s="16" t="s">
        <v>1116</v>
      </c>
      <c r="G69" s="16" t="s">
        <v>541</v>
      </c>
      <c r="H69" s="16" t="s">
        <v>427</v>
      </c>
      <c r="I69" s="16">
        <v>2</v>
      </c>
    </row>
    <row r="70" spans="1:9">
      <c r="B70" s="16" t="str">
        <f t="shared" si="4"/>
        <v>0x3038</v>
      </c>
      <c r="C70" s="16" t="str">
        <f t="shared" si="5"/>
        <v>0x3039</v>
      </c>
      <c r="D70" s="16">
        <f t="shared" si="7"/>
        <v>12344</v>
      </c>
      <c r="E70" s="16">
        <f t="shared" si="6"/>
        <v>12345</v>
      </c>
      <c r="F70" s="16" t="s">
        <v>1117</v>
      </c>
      <c r="G70" s="16" t="s">
        <v>541</v>
      </c>
      <c r="H70" s="16" t="s">
        <v>427</v>
      </c>
      <c r="I70" s="16">
        <v>2</v>
      </c>
    </row>
    <row r="71" spans="1:9">
      <c r="B71" s="16" t="str">
        <f t="shared" si="4"/>
        <v>0x303A</v>
      </c>
      <c r="C71" s="16" t="str">
        <f t="shared" si="5"/>
        <v>0x303B</v>
      </c>
      <c r="D71" s="16">
        <f t="shared" si="7"/>
        <v>12346</v>
      </c>
      <c r="E71" s="16">
        <f t="shared" si="6"/>
        <v>12347</v>
      </c>
      <c r="F71" s="16" t="s">
        <v>1118</v>
      </c>
      <c r="G71" s="16" t="s">
        <v>541</v>
      </c>
      <c r="H71" s="16" t="s">
        <v>427</v>
      </c>
      <c r="I71" s="16">
        <v>2</v>
      </c>
    </row>
    <row r="72" spans="1:9">
      <c r="B72" s="16" t="str">
        <f t="shared" si="4"/>
        <v>0x303C</v>
      </c>
      <c r="C72" s="16" t="str">
        <f t="shared" si="5"/>
        <v>0x303D</v>
      </c>
      <c r="D72" s="16">
        <f t="shared" si="7"/>
        <v>12348</v>
      </c>
      <c r="E72" s="16">
        <f t="shared" si="6"/>
        <v>12349</v>
      </c>
      <c r="F72" s="16" t="s">
        <v>2844</v>
      </c>
      <c r="G72" s="16" t="s">
        <v>541</v>
      </c>
      <c r="H72" s="16" t="s">
        <v>427</v>
      </c>
      <c r="I72" s="16">
        <v>2</v>
      </c>
    </row>
    <row r="73" spans="1:9">
      <c r="B73" s="16" t="str">
        <f t="shared" si="4"/>
        <v>0x303E</v>
      </c>
      <c r="C73" s="16" t="str">
        <f t="shared" si="5"/>
        <v>0x303F</v>
      </c>
      <c r="D73" s="16">
        <f t="shared" si="7"/>
        <v>12350</v>
      </c>
      <c r="E73" s="16">
        <f t="shared" si="6"/>
        <v>12351</v>
      </c>
      <c r="F73" s="16" t="s">
        <v>2845</v>
      </c>
      <c r="G73" s="16" t="s">
        <v>541</v>
      </c>
      <c r="H73" s="16" t="s">
        <v>427</v>
      </c>
      <c r="I73" s="16">
        <v>2</v>
      </c>
    </row>
    <row r="74" spans="1:9">
      <c r="B74" s="16" t="str">
        <f t="shared" si="4"/>
        <v>0x3040</v>
      </c>
      <c r="C74" s="16" t="str">
        <f t="shared" si="5"/>
        <v>0x3041</v>
      </c>
      <c r="D74" s="16">
        <f t="shared" si="7"/>
        <v>12352</v>
      </c>
      <c r="E74" s="16">
        <f t="shared" si="6"/>
        <v>12353</v>
      </c>
      <c r="F74" s="16" t="s">
        <v>2846</v>
      </c>
      <c r="G74" s="16" t="s">
        <v>541</v>
      </c>
      <c r="H74" s="16" t="s">
        <v>427</v>
      </c>
      <c r="I74" s="16">
        <v>2</v>
      </c>
    </row>
    <row r="75" spans="1:9">
      <c r="B75" s="16" t="str">
        <f t="shared" si="4"/>
        <v>0x3042</v>
      </c>
      <c r="C75" s="16" t="str">
        <f t="shared" si="5"/>
        <v>0x3043</v>
      </c>
      <c r="D75" s="16">
        <f t="shared" si="7"/>
        <v>12354</v>
      </c>
      <c r="E75" s="16">
        <f t="shared" si="6"/>
        <v>12355</v>
      </c>
      <c r="F75" s="16" t="s">
        <v>2847</v>
      </c>
      <c r="G75" s="16" t="s">
        <v>541</v>
      </c>
      <c r="H75" s="16" t="s">
        <v>427</v>
      </c>
      <c r="I75" s="16">
        <v>2</v>
      </c>
    </row>
    <row r="76" spans="1:9" s="26" customFormat="1"/>
    <row r="77" spans="1:9">
      <c r="A77" s="26" t="s">
        <v>1119</v>
      </c>
    </row>
    <row r="78" spans="1:9">
      <c r="B78" s="16" t="str">
        <f t="shared" ref="B78:B116" si="8">"0x"&amp;DEC2HEX(D78,4)</f>
        <v>0x3200</v>
      </c>
      <c r="C78" s="16" t="str">
        <f t="shared" ref="C78:C116" si="9">"0x"&amp;DEC2HEX(E78,4)</f>
        <v>0x3200</v>
      </c>
      <c r="D78" s="16">
        <v>12800</v>
      </c>
      <c r="E78" s="16">
        <f t="shared" ref="E78:E116" si="10">D78+I78-1</f>
        <v>12800</v>
      </c>
      <c r="F78" s="16" t="s">
        <v>1089</v>
      </c>
      <c r="G78" s="16" t="s">
        <v>802</v>
      </c>
      <c r="H78" s="16" t="s">
        <v>427</v>
      </c>
      <c r="I78" s="16">
        <v>1</v>
      </c>
    </row>
    <row r="79" spans="1:9">
      <c r="B79" s="16" t="str">
        <f t="shared" si="8"/>
        <v>0x3201</v>
      </c>
      <c r="C79" s="16" t="str">
        <f t="shared" si="9"/>
        <v>0x3201</v>
      </c>
      <c r="D79" s="16">
        <f t="shared" ref="D79:D116" si="11">D78+I78</f>
        <v>12801</v>
      </c>
      <c r="E79" s="16">
        <f t="shared" si="10"/>
        <v>12801</v>
      </c>
      <c r="F79" s="16" t="s">
        <v>1090</v>
      </c>
      <c r="G79" s="16" t="s">
        <v>802</v>
      </c>
      <c r="H79" s="16" t="s">
        <v>427</v>
      </c>
      <c r="I79" s="16">
        <v>1</v>
      </c>
    </row>
    <row r="80" spans="1:9">
      <c r="B80" s="16" t="str">
        <f t="shared" si="8"/>
        <v>0x3202</v>
      </c>
      <c r="C80" s="16" t="str">
        <f t="shared" si="9"/>
        <v>0x3202</v>
      </c>
      <c r="D80" s="16">
        <f t="shared" si="11"/>
        <v>12802</v>
      </c>
      <c r="E80" s="16">
        <f t="shared" si="10"/>
        <v>12802</v>
      </c>
      <c r="F80" s="16" t="s">
        <v>1091</v>
      </c>
      <c r="G80" s="16" t="s">
        <v>802</v>
      </c>
      <c r="H80" s="16" t="s">
        <v>427</v>
      </c>
      <c r="I80" s="16">
        <v>1</v>
      </c>
    </row>
    <row r="81" spans="2:9">
      <c r="B81" s="16" t="str">
        <f t="shared" si="8"/>
        <v>0x3203</v>
      </c>
      <c r="C81" s="16" t="str">
        <f t="shared" si="9"/>
        <v>0x3203</v>
      </c>
      <c r="D81" s="16">
        <f t="shared" si="11"/>
        <v>12803</v>
      </c>
      <c r="E81" s="16">
        <f t="shared" si="10"/>
        <v>12803</v>
      </c>
      <c r="F81" s="16" t="s">
        <v>1092</v>
      </c>
      <c r="G81" s="16" t="s">
        <v>802</v>
      </c>
      <c r="H81" s="16" t="s">
        <v>427</v>
      </c>
      <c r="I81" s="16">
        <v>1</v>
      </c>
    </row>
    <row r="82" spans="2:9">
      <c r="B82" s="16" t="str">
        <f t="shared" si="8"/>
        <v>0x3204</v>
      </c>
      <c r="C82" s="16" t="str">
        <f t="shared" si="9"/>
        <v>0x3204</v>
      </c>
      <c r="D82" s="16">
        <f t="shared" si="11"/>
        <v>12804</v>
      </c>
      <c r="E82" s="16">
        <f t="shared" si="10"/>
        <v>12804</v>
      </c>
      <c r="F82" s="16" t="s">
        <v>1093</v>
      </c>
      <c r="G82" s="16" t="s">
        <v>802</v>
      </c>
      <c r="H82" s="16" t="s">
        <v>427</v>
      </c>
      <c r="I82" s="16">
        <v>1</v>
      </c>
    </row>
    <row r="83" spans="2:9">
      <c r="B83" s="16" t="str">
        <f t="shared" si="8"/>
        <v>0x3205</v>
      </c>
      <c r="C83" s="16" t="str">
        <f t="shared" si="9"/>
        <v>0x3205</v>
      </c>
      <c r="D83" s="16">
        <f t="shared" si="11"/>
        <v>12805</v>
      </c>
      <c r="E83" s="16">
        <f t="shared" si="10"/>
        <v>12805</v>
      </c>
      <c r="F83" s="16" t="s">
        <v>1094</v>
      </c>
      <c r="G83" s="16" t="s">
        <v>802</v>
      </c>
      <c r="H83" s="16" t="s">
        <v>427</v>
      </c>
      <c r="I83" s="16">
        <v>1</v>
      </c>
    </row>
    <row r="84" spans="2:9">
      <c r="B84" s="16" t="str">
        <f t="shared" si="8"/>
        <v>0x3206</v>
      </c>
      <c r="C84" s="16" t="str">
        <f t="shared" si="9"/>
        <v>0x3206</v>
      </c>
      <c r="D84" s="16">
        <f t="shared" si="11"/>
        <v>12806</v>
      </c>
      <c r="E84" s="16">
        <f t="shared" si="10"/>
        <v>12806</v>
      </c>
      <c r="F84" s="16" t="s">
        <v>1095</v>
      </c>
      <c r="G84" s="16" t="s">
        <v>802</v>
      </c>
      <c r="H84" s="16" t="s">
        <v>427</v>
      </c>
      <c r="I84" s="16">
        <v>1</v>
      </c>
    </row>
    <row r="85" spans="2:9">
      <c r="B85" s="16" t="str">
        <f t="shared" si="8"/>
        <v>0x3207</v>
      </c>
      <c r="C85" s="16" t="str">
        <f t="shared" si="9"/>
        <v>0x3207</v>
      </c>
      <c r="D85" s="16">
        <f t="shared" si="11"/>
        <v>12807</v>
      </c>
      <c r="E85" s="16">
        <f t="shared" si="10"/>
        <v>12807</v>
      </c>
      <c r="F85" s="16" t="s">
        <v>1096</v>
      </c>
      <c r="G85" s="16" t="s">
        <v>802</v>
      </c>
      <c r="H85" s="16" t="s">
        <v>427</v>
      </c>
      <c r="I85" s="16">
        <v>1</v>
      </c>
    </row>
    <row r="86" spans="2:9">
      <c r="B86" s="16" t="str">
        <f t="shared" si="8"/>
        <v>0x3208</v>
      </c>
      <c r="C86" s="16" t="str">
        <f t="shared" si="9"/>
        <v>0x3208</v>
      </c>
      <c r="D86" s="16">
        <f t="shared" si="11"/>
        <v>12808</v>
      </c>
      <c r="E86" s="16">
        <f t="shared" si="10"/>
        <v>12808</v>
      </c>
      <c r="F86" s="16" t="s">
        <v>1097</v>
      </c>
      <c r="G86" s="16" t="s">
        <v>802</v>
      </c>
      <c r="H86" s="16" t="s">
        <v>427</v>
      </c>
      <c r="I86" s="16">
        <v>1</v>
      </c>
    </row>
    <row r="87" spans="2:9">
      <c r="B87" s="16" t="str">
        <f t="shared" si="8"/>
        <v>0x3209</v>
      </c>
      <c r="C87" s="16" t="str">
        <f t="shared" si="9"/>
        <v>0x3209</v>
      </c>
      <c r="D87" s="16">
        <f t="shared" si="11"/>
        <v>12809</v>
      </c>
      <c r="E87" s="16">
        <f t="shared" si="10"/>
        <v>12809</v>
      </c>
      <c r="F87" s="16" t="s">
        <v>1098</v>
      </c>
      <c r="G87" s="16" t="s">
        <v>802</v>
      </c>
      <c r="H87" s="16" t="s">
        <v>427</v>
      </c>
      <c r="I87" s="16">
        <v>1</v>
      </c>
    </row>
    <row r="88" spans="2:9">
      <c r="B88" s="16" t="str">
        <f t="shared" si="8"/>
        <v>0x320A</v>
      </c>
      <c r="C88" s="16" t="str">
        <f t="shared" si="9"/>
        <v>0x320A</v>
      </c>
      <c r="D88" s="16">
        <f t="shared" si="11"/>
        <v>12810</v>
      </c>
      <c r="E88" s="16">
        <f t="shared" si="10"/>
        <v>12810</v>
      </c>
      <c r="F88" s="16" t="s">
        <v>1099</v>
      </c>
      <c r="G88" s="16" t="s">
        <v>802</v>
      </c>
      <c r="H88" s="16" t="s">
        <v>427</v>
      </c>
      <c r="I88" s="16">
        <v>1</v>
      </c>
    </row>
    <row r="89" spans="2:9">
      <c r="B89" s="16" t="str">
        <f t="shared" si="8"/>
        <v>0x320B</v>
      </c>
      <c r="C89" s="16" t="str">
        <f t="shared" si="9"/>
        <v>0x320B</v>
      </c>
      <c r="D89" s="16">
        <f t="shared" si="11"/>
        <v>12811</v>
      </c>
      <c r="E89" s="16">
        <f t="shared" si="10"/>
        <v>12811</v>
      </c>
      <c r="F89" s="16" t="s">
        <v>1100</v>
      </c>
      <c r="G89" s="16" t="s">
        <v>802</v>
      </c>
      <c r="H89" s="16" t="s">
        <v>427</v>
      </c>
      <c r="I89" s="16">
        <v>1</v>
      </c>
    </row>
    <row r="90" spans="2:9">
      <c r="B90" s="16" t="str">
        <f t="shared" si="8"/>
        <v>0x320C</v>
      </c>
      <c r="C90" s="16" t="str">
        <f t="shared" si="9"/>
        <v>0x320C</v>
      </c>
      <c r="D90" s="16">
        <f t="shared" si="11"/>
        <v>12812</v>
      </c>
      <c r="E90" s="16">
        <f t="shared" si="10"/>
        <v>12812</v>
      </c>
      <c r="F90" s="16" t="s">
        <v>1101</v>
      </c>
      <c r="G90" s="16" t="s">
        <v>802</v>
      </c>
      <c r="H90" s="16" t="s">
        <v>427</v>
      </c>
      <c r="I90" s="16">
        <v>1</v>
      </c>
    </row>
    <row r="91" spans="2:9">
      <c r="B91" s="16" t="str">
        <f t="shared" si="8"/>
        <v>0x320D</v>
      </c>
      <c r="C91" s="16" t="str">
        <f t="shared" si="9"/>
        <v>0x320D</v>
      </c>
      <c r="D91" s="16">
        <f t="shared" si="11"/>
        <v>12813</v>
      </c>
      <c r="E91" s="16">
        <f t="shared" si="10"/>
        <v>12813</v>
      </c>
      <c r="F91" s="16" t="s">
        <v>1102</v>
      </c>
      <c r="G91" s="16" t="s">
        <v>802</v>
      </c>
      <c r="H91" s="16" t="s">
        <v>427</v>
      </c>
      <c r="I91" s="16">
        <v>1</v>
      </c>
    </row>
    <row r="92" spans="2:9">
      <c r="B92" s="16" t="str">
        <f t="shared" si="8"/>
        <v>0x320E</v>
      </c>
      <c r="C92" s="16" t="str">
        <f t="shared" si="9"/>
        <v>0x320E</v>
      </c>
      <c r="D92" s="16">
        <f t="shared" si="11"/>
        <v>12814</v>
      </c>
      <c r="E92" s="16">
        <f t="shared" si="10"/>
        <v>12814</v>
      </c>
      <c r="F92" s="16" t="s">
        <v>1103</v>
      </c>
      <c r="G92" s="16" t="s">
        <v>802</v>
      </c>
      <c r="H92" s="16" t="s">
        <v>427</v>
      </c>
      <c r="I92" s="16">
        <v>1</v>
      </c>
    </row>
    <row r="93" spans="2:9">
      <c r="B93" s="16" t="str">
        <f t="shared" si="8"/>
        <v>0x320F</v>
      </c>
      <c r="C93" s="16" t="str">
        <f t="shared" si="9"/>
        <v>0x320F</v>
      </c>
      <c r="D93" s="16">
        <f t="shared" si="11"/>
        <v>12815</v>
      </c>
      <c r="E93" s="16">
        <f t="shared" si="10"/>
        <v>12815</v>
      </c>
      <c r="F93" s="16" t="s">
        <v>1104</v>
      </c>
      <c r="G93" s="16" t="s">
        <v>802</v>
      </c>
      <c r="H93" s="16" t="s">
        <v>427</v>
      </c>
      <c r="I93" s="16">
        <v>1</v>
      </c>
    </row>
    <row r="94" spans="2:9">
      <c r="B94" s="16" t="str">
        <f t="shared" si="8"/>
        <v>0x3210</v>
      </c>
      <c r="C94" s="16" t="str">
        <f t="shared" si="9"/>
        <v>0x3210</v>
      </c>
      <c r="D94" s="16">
        <f t="shared" si="11"/>
        <v>12816</v>
      </c>
      <c r="E94" s="16">
        <f t="shared" si="10"/>
        <v>12816</v>
      </c>
      <c r="F94" s="16" t="s">
        <v>1105</v>
      </c>
      <c r="G94" s="16" t="s">
        <v>802</v>
      </c>
      <c r="H94" s="16" t="s">
        <v>427</v>
      </c>
      <c r="I94" s="16">
        <v>1</v>
      </c>
    </row>
    <row r="95" spans="2:9">
      <c r="B95" s="16" t="str">
        <f t="shared" si="8"/>
        <v>0x3211</v>
      </c>
      <c r="C95" s="16" t="str">
        <f t="shared" si="9"/>
        <v>0x3211</v>
      </c>
      <c r="D95" s="16">
        <f t="shared" si="11"/>
        <v>12817</v>
      </c>
      <c r="E95" s="16">
        <f t="shared" si="10"/>
        <v>12817</v>
      </c>
      <c r="F95" s="16" t="s">
        <v>1106</v>
      </c>
      <c r="G95" s="16" t="s">
        <v>802</v>
      </c>
      <c r="H95" s="16" t="s">
        <v>427</v>
      </c>
      <c r="I95" s="16">
        <v>1</v>
      </c>
    </row>
    <row r="96" spans="2:9">
      <c r="B96" s="16" t="str">
        <f t="shared" si="8"/>
        <v>0x3212</v>
      </c>
      <c r="C96" s="16" t="str">
        <f t="shared" si="9"/>
        <v>0x3212</v>
      </c>
      <c r="D96" s="16">
        <f t="shared" si="11"/>
        <v>12818</v>
      </c>
      <c r="E96" s="16">
        <f t="shared" si="10"/>
        <v>12818</v>
      </c>
      <c r="F96" s="16" t="s">
        <v>1107</v>
      </c>
      <c r="G96" s="16" t="s">
        <v>802</v>
      </c>
      <c r="H96" s="16" t="s">
        <v>427</v>
      </c>
      <c r="I96" s="16">
        <v>1</v>
      </c>
    </row>
    <row r="97" spans="2:9">
      <c r="B97" s="16" t="str">
        <f t="shared" si="8"/>
        <v>0x3213</v>
      </c>
      <c r="C97" s="16" t="str">
        <f t="shared" si="9"/>
        <v>0x3213</v>
      </c>
      <c r="D97" s="16">
        <f t="shared" si="11"/>
        <v>12819</v>
      </c>
      <c r="E97" s="16">
        <f t="shared" si="10"/>
        <v>12819</v>
      </c>
      <c r="F97" s="16" t="s">
        <v>1108</v>
      </c>
      <c r="G97" s="16" t="s">
        <v>802</v>
      </c>
      <c r="H97" s="16" t="s">
        <v>427</v>
      </c>
      <c r="I97" s="16">
        <v>1</v>
      </c>
    </row>
    <row r="98" spans="2:9">
      <c r="B98" s="16" t="str">
        <f t="shared" si="8"/>
        <v>0x3214</v>
      </c>
      <c r="C98" s="16" t="str">
        <f t="shared" si="9"/>
        <v>0x3214</v>
      </c>
      <c r="D98" s="16">
        <f t="shared" si="11"/>
        <v>12820</v>
      </c>
      <c r="E98" s="16">
        <f t="shared" si="10"/>
        <v>12820</v>
      </c>
      <c r="F98" s="16" t="s">
        <v>1109</v>
      </c>
      <c r="G98" s="16" t="s">
        <v>802</v>
      </c>
      <c r="H98" s="16" t="s">
        <v>427</v>
      </c>
      <c r="I98" s="16">
        <v>1</v>
      </c>
    </row>
    <row r="99" spans="2:9">
      <c r="B99" s="16" t="str">
        <f t="shared" si="8"/>
        <v>0x3215</v>
      </c>
      <c r="C99" s="16" t="str">
        <f t="shared" si="9"/>
        <v>0x3215</v>
      </c>
      <c r="D99" s="16">
        <f t="shared" si="11"/>
        <v>12821</v>
      </c>
      <c r="E99" s="16">
        <f t="shared" si="10"/>
        <v>12821</v>
      </c>
      <c r="F99" s="16" t="s">
        <v>1110</v>
      </c>
      <c r="G99" s="16" t="s">
        <v>802</v>
      </c>
      <c r="H99" s="16" t="s">
        <v>427</v>
      </c>
      <c r="I99" s="16">
        <v>1</v>
      </c>
    </row>
    <row r="100" spans="2:9">
      <c r="B100" s="16" t="str">
        <f t="shared" si="8"/>
        <v>0x3216</v>
      </c>
      <c r="C100" s="16" t="str">
        <f t="shared" si="9"/>
        <v>0x3216</v>
      </c>
      <c r="D100" s="16">
        <f t="shared" si="11"/>
        <v>12822</v>
      </c>
      <c r="E100" s="16">
        <f t="shared" si="10"/>
        <v>12822</v>
      </c>
      <c r="F100" s="16" t="s">
        <v>1111</v>
      </c>
      <c r="G100" s="16" t="s">
        <v>802</v>
      </c>
      <c r="H100" s="16" t="s">
        <v>427</v>
      </c>
      <c r="I100" s="16">
        <v>1</v>
      </c>
    </row>
    <row r="101" spans="2:9">
      <c r="B101" s="16" t="str">
        <f t="shared" si="8"/>
        <v>0x3217</v>
      </c>
      <c r="C101" s="16" t="str">
        <f t="shared" si="9"/>
        <v>0x3217</v>
      </c>
      <c r="D101" s="16">
        <f t="shared" si="11"/>
        <v>12823</v>
      </c>
      <c r="E101" s="16">
        <f t="shared" si="10"/>
        <v>12823</v>
      </c>
      <c r="F101" s="16" t="s">
        <v>1112</v>
      </c>
      <c r="G101" s="16" t="s">
        <v>802</v>
      </c>
      <c r="H101" s="16" t="s">
        <v>427</v>
      </c>
      <c r="I101" s="16">
        <v>1</v>
      </c>
    </row>
    <row r="102" spans="2:9">
      <c r="B102" s="16" t="str">
        <f t="shared" si="8"/>
        <v>0x3218</v>
      </c>
      <c r="C102" s="16" t="str">
        <f t="shared" si="9"/>
        <v>0x3218</v>
      </c>
      <c r="D102" s="16">
        <f t="shared" si="11"/>
        <v>12824</v>
      </c>
      <c r="E102" s="16">
        <f t="shared" si="10"/>
        <v>12824</v>
      </c>
      <c r="F102" s="16" t="s">
        <v>1113</v>
      </c>
      <c r="G102" s="16" t="s">
        <v>802</v>
      </c>
      <c r="H102" s="16" t="s">
        <v>427</v>
      </c>
      <c r="I102" s="16">
        <v>1</v>
      </c>
    </row>
    <row r="103" spans="2:9">
      <c r="B103" s="16" t="str">
        <f t="shared" si="8"/>
        <v>0x3219</v>
      </c>
      <c r="C103" s="16" t="str">
        <f t="shared" si="9"/>
        <v>0x3219</v>
      </c>
      <c r="D103" s="16">
        <f t="shared" si="11"/>
        <v>12825</v>
      </c>
      <c r="E103" s="16">
        <f t="shared" si="10"/>
        <v>12825</v>
      </c>
      <c r="F103" s="16" t="s">
        <v>1114</v>
      </c>
      <c r="G103" s="16" t="s">
        <v>802</v>
      </c>
      <c r="H103" s="16" t="s">
        <v>427</v>
      </c>
      <c r="I103" s="16">
        <v>1</v>
      </c>
    </row>
    <row r="104" spans="2:9">
      <c r="B104" s="16" t="str">
        <f t="shared" si="8"/>
        <v>0x321A</v>
      </c>
      <c r="C104" s="16" t="str">
        <f t="shared" si="9"/>
        <v>0x321A</v>
      </c>
      <c r="D104" s="16">
        <f t="shared" si="11"/>
        <v>12826</v>
      </c>
      <c r="E104" s="16">
        <f t="shared" si="10"/>
        <v>12826</v>
      </c>
      <c r="F104" s="16" t="s">
        <v>1115</v>
      </c>
      <c r="G104" s="16" t="s">
        <v>802</v>
      </c>
      <c r="H104" s="16" t="s">
        <v>427</v>
      </c>
      <c r="I104" s="16">
        <v>1</v>
      </c>
    </row>
    <row r="105" spans="2:9">
      <c r="B105" s="16" t="str">
        <f t="shared" si="8"/>
        <v>0x321B</v>
      </c>
      <c r="C105" s="16" t="str">
        <f t="shared" si="9"/>
        <v>0x321B</v>
      </c>
      <c r="D105" s="16">
        <f t="shared" si="11"/>
        <v>12827</v>
      </c>
      <c r="E105" s="16">
        <f t="shared" si="10"/>
        <v>12827</v>
      </c>
      <c r="F105" s="16" t="s">
        <v>1116</v>
      </c>
      <c r="G105" s="16" t="s">
        <v>802</v>
      </c>
      <c r="H105" s="16" t="s">
        <v>427</v>
      </c>
      <c r="I105" s="16">
        <v>1</v>
      </c>
    </row>
    <row r="106" spans="2:9">
      <c r="B106" s="16" t="str">
        <f t="shared" si="8"/>
        <v>0x321C</v>
      </c>
      <c r="C106" s="16" t="str">
        <f t="shared" si="9"/>
        <v>0x321C</v>
      </c>
      <c r="D106" s="16">
        <f t="shared" si="11"/>
        <v>12828</v>
      </c>
      <c r="E106" s="16">
        <f t="shared" si="10"/>
        <v>12828</v>
      </c>
      <c r="F106" s="16" t="s">
        <v>1117</v>
      </c>
      <c r="G106" s="16" t="s">
        <v>802</v>
      </c>
      <c r="H106" s="16" t="s">
        <v>427</v>
      </c>
      <c r="I106" s="16">
        <v>1</v>
      </c>
    </row>
    <row r="107" spans="2:9">
      <c r="B107" s="16" t="str">
        <f t="shared" si="8"/>
        <v>0x321D</v>
      </c>
      <c r="C107" s="16" t="str">
        <f t="shared" si="9"/>
        <v>0x321D</v>
      </c>
      <c r="D107" s="16">
        <f t="shared" si="11"/>
        <v>12829</v>
      </c>
      <c r="E107" s="16">
        <f t="shared" si="10"/>
        <v>12829</v>
      </c>
      <c r="F107" s="16" t="s">
        <v>1118</v>
      </c>
      <c r="G107" s="16" t="s">
        <v>802</v>
      </c>
      <c r="H107" s="16" t="s">
        <v>427</v>
      </c>
      <c r="I107" s="16">
        <v>1</v>
      </c>
    </row>
    <row r="108" spans="2:9">
      <c r="B108" s="16" t="str">
        <f t="shared" si="8"/>
        <v>0x321E</v>
      </c>
      <c r="C108" s="16" t="str">
        <f t="shared" si="9"/>
        <v>0x321E</v>
      </c>
      <c r="D108" s="16">
        <f t="shared" si="11"/>
        <v>12830</v>
      </c>
      <c r="E108" s="16">
        <f t="shared" si="10"/>
        <v>12830</v>
      </c>
      <c r="F108" s="16" t="s">
        <v>1120</v>
      </c>
      <c r="G108" s="16" t="s">
        <v>802</v>
      </c>
      <c r="H108" s="16" t="s">
        <v>427</v>
      </c>
      <c r="I108" s="16">
        <v>1</v>
      </c>
    </row>
    <row r="109" spans="2:9">
      <c r="B109" s="16" t="str">
        <f t="shared" si="8"/>
        <v>0x321F</v>
      </c>
      <c r="C109" s="16" t="str">
        <f t="shared" si="9"/>
        <v>0x321F</v>
      </c>
      <c r="D109" s="16">
        <f t="shared" si="11"/>
        <v>12831</v>
      </c>
      <c r="E109" s="16">
        <f t="shared" si="10"/>
        <v>12831</v>
      </c>
      <c r="F109" s="16" t="s">
        <v>1121</v>
      </c>
      <c r="G109" s="16" t="s">
        <v>802</v>
      </c>
      <c r="H109" s="16" t="s">
        <v>427</v>
      </c>
      <c r="I109" s="16">
        <v>1</v>
      </c>
    </row>
    <row r="110" spans="2:9">
      <c r="B110" s="16" t="str">
        <f t="shared" si="8"/>
        <v>0x3220</v>
      </c>
      <c r="C110" s="16" t="str">
        <f t="shared" si="9"/>
        <v>0x3220</v>
      </c>
      <c r="D110" s="16">
        <f t="shared" si="11"/>
        <v>12832</v>
      </c>
      <c r="E110" s="16">
        <f t="shared" si="10"/>
        <v>12832</v>
      </c>
      <c r="F110" s="16" t="s">
        <v>1122</v>
      </c>
      <c r="G110" s="16" t="s">
        <v>802</v>
      </c>
      <c r="H110" s="16" t="s">
        <v>427</v>
      </c>
      <c r="I110" s="16">
        <v>1</v>
      </c>
    </row>
    <row r="111" spans="2:9">
      <c r="B111" s="16" t="str">
        <f t="shared" si="8"/>
        <v>0x3221</v>
      </c>
      <c r="C111" s="16" t="str">
        <f t="shared" si="9"/>
        <v>0x3221</v>
      </c>
      <c r="D111" s="16">
        <f t="shared" si="11"/>
        <v>12833</v>
      </c>
      <c r="E111" s="16">
        <f t="shared" si="10"/>
        <v>12833</v>
      </c>
      <c r="F111" s="16" t="s">
        <v>1123</v>
      </c>
      <c r="G111" s="16" t="s">
        <v>802</v>
      </c>
      <c r="H111" s="16" t="s">
        <v>427</v>
      </c>
      <c r="I111" s="16">
        <v>1</v>
      </c>
    </row>
    <row r="112" spans="2:9">
      <c r="B112" s="16" t="str">
        <f t="shared" si="8"/>
        <v>0x3222</v>
      </c>
      <c r="C112" s="16" t="str">
        <f t="shared" si="9"/>
        <v>0x3222</v>
      </c>
      <c r="D112" s="16">
        <f t="shared" si="11"/>
        <v>12834</v>
      </c>
      <c r="E112" s="16">
        <f t="shared" si="10"/>
        <v>12834</v>
      </c>
      <c r="F112" s="16" t="s">
        <v>1124</v>
      </c>
      <c r="G112" s="16" t="s">
        <v>802</v>
      </c>
      <c r="H112" s="16" t="s">
        <v>427</v>
      </c>
      <c r="I112" s="16">
        <v>1</v>
      </c>
    </row>
    <row r="113" spans="1:9">
      <c r="B113" s="16" t="str">
        <f t="shared" si="8"/>
        <v>0x3223</v>
      </c>
      <c r="C113" s="16" t="str">
        <f t="shared" si="9"/>
        <v>0x3223</v>
      </c>
      <c r="D113" s="16">
        <f t="shared" si="11"/>
        <v>12835</v>
      </c>
      <c r="E113" s="16">
        <f t="shared" si="10"/>
        <v>12835</v>
      </c>
      <c r="F113" s="16" t="s">
        <v>1125</v>
      </c>
      <c r="G113" s="16" t="s">
        <v>802</v>
      </c>
      <c r="H113" s="16" t="s">
        <v>427</v>
      </c>
      <c r="I113" s="16">
        <v>1</v>
      </c>
    </row>
    <row r="114" spans="1:9">
      <c r="B114" s="16" t="str">
        <f t="shared" si="8"/>
        <v>0x3224</v>
      </c>
      <c r="C114" s="16" t="str">
        <f t="shared" si="9"/>
        <v>0x3224</v>
      </c>
      <c r="D114" s="16">
        <f t="shared" si="11"/>
        <v>12836</v>
      </c>
      <c r="E114" s="16">
        <f t="shared" si="10"/>
        <v>12836</v>
      </c>
      <c r="F114" s="16" t="s">
        <v>1126</v>
      </c>
      <c r="G114" s="16" t="s">
        <v>802</v>
      </c>
      <c r="H114" s="16" t="s">
        <v>427</v>
      </c>
      <c r="I114" s="16">
        <v>1</v>
      </c>
    </row>
    <row r="115" spans="1:9">
      <c r="B115" s="16" t="str">
        <f t="shared" si="8"/>
        <v>0x3225</v>
      </c>
      <c r="C115" s="16" t="str">
        <f t="shared" si="9"/>
        <v>0x3225</v>
      </c>
      <c r="D115" s="16">
        <f t="shared" si="11"/>
        <v>12837</v>
      </c>
      <c r="E115" s="16">
        <f t="shared" si="10"/>
        <v>12837</v>
      </c>
      <c r="F115" s="16" t="s">
        <v>1127</v>
      </c>
      <c r="G115" s="16" t="s">
        <v>802</v>
      </c>
      <c r="H115" s="16" t="s">
        <v>427</v>
      </c>
      <c r="I115" s="16">
        <v>1</v>
      </c>
    </row>
    <row r="116" spans="1:9">
      <c r="B116" s="16" t="str">
        <f t="shared" si="8"/>
        <v>0x3226</v>
      </c>
      <c r="C116" s="16" t="str">
        <f t="shared" si="9"/>
        <v>0x3226</v>
      </c>
      <c r="D116" s="16">
        <f t="shared" si="11"/>
        <v>12838</v>
      </c>
      <c r="E116" s="16">
        <f t="shared" si="10"/>
        <v>12838</v>
      </c>
      <c r="F116" s="16" t="s">
        <v>1128</v>
      </c>
      <c r="G116" s="16" t="s">
        <v>802</v>
      </c>
      <c r="H116" s="16" t="s">
        <v>427</v>
      </c>
      <c r="I116" s="16">
        <v>1</v>
      </c>
    </row>
    <row r="118" spans="1:9">
      <c r="B118" s="26"/>
    </row>
    <row r="119" spans="1:9">
      <c r="A119" s="26" t="s">
        <v>1129</v>
      </c>
    </row>
    <row r="120" spans="1:9">
      <c r="A120" s="26" t="s">
        <v>1130</v>
      </c>
    </row>
    <row r="121" spans="1:9">
      <c r="B121" s="16" t="str">
        <f t="shared" ref="B121:B135" si="12">"0x"&amp;DEC2HEX(D121,4)</f>
        <v>0x3400</v>
      </c>
      <c r="C121" s="16" t="str">
        <f t="shared" ref="C121:C135" si="13">"0x"&amp;DEC2HEX(E121,4)</f>
        <v>0x3401</v>
      </c>
      <c r="D121" s="16">
        <v>13312</v>
      </c>
      <c r="E121" s="16">
        <f t="shared" ref="E121:E135" si="14">D121+I121-1</f>
        <v>13313</v>
      </c>
      <c r="F121" s="16" t="s">
        <v>1131</v>
      </c>
      <c r="G121" s="16" t="s">
        <v>541</v>
      </c>
      <c r="H121" s="16" t="s">
        <v>427</v>
      </c>
      <c r="I121" s="16">
        <v>2</v>
      </c>
    </row>
    <row r="122" spans="1:9">
      <c r="B122" s="16" t="str">
        <f t="shared" si="12"/>
        <v>0x3402</v>
      </c>
      <c r="C122" s="16" t="str">
        <f t="shared" si="13"/>
        <v>0x3403</v>
      </c>
      <c r="D122" s="16">
        <f t="shared" ref="D122:D135" si="15">D121+I121</f>
        <v>13314</v>
      </c>
      <c r="E122" s="16">
        <f t="shared" si="14"/>
        <v>13315</v>
      </c>
      <c r="F122" s="16" t="s">
        <v>1132</v>
      </c>
      <c r="G122" s="16" t="s">
        <v>541</v>
      </c>
      <c r="H122" s="16" t="s">
        <v>427</v>
      </c>
      <c r="I122" s="16">
        <v>2</v>
      </c>
    </row>
    <row r="123" spans="1:9">
      <c r="B123" s="16" t="str">
        <f t="shared" si="12"/>
        <v>0x3404</v>
      </c>
      <c r="C123" s="16" t="str">
        <f t="shared" si="13"/>
        <v>0x3405</v>
      </c>
      <c r="D123" s="16">
        <f t="shared" si="15"/>
        <v>13316</v>
      </c>
      <c r="E123" s="16">
        <f t="shared" si="14"/>
        <v>13317</v>
      </c>
      <c r="F123" s="16" t="s">
        <v>1133</v>
      </c>
      <c r="G123" s="16" t="s">
        <v>541</v>
      </c>
      <c r="H123" s="16" t="s">
        <v>427</v>
      </c>
      <c r="I123" s="16">
        <v>2</v>
      </c>
    </row>
    <row r="124" spans="1:9">
      <c r="B124" s="16" t="str">
        <f t="shared" si="12"/>
        <v>0x3406</v>
      </c>
      <c r="C124" s="16" t="str">
        <f t="shared" si="13"/>
        <v>0x3407</v>
      </c>
      <c r="D124" s="16">
        <f t="shared" si="15"/>
        <v>13318</v>
      </c>
      <c r="E124" s="16">
        <f t="shared" si="14"/>
        <v>13319</v>
      </c>
      <c r="F124" s="16" t="s">
        <v>1134</v>
      </c>
      <c r="G124" s="16" t="s">
        <v>541</v>
      </c>
      <c r="H124" s="16" t="s">
        <v>427</v>
      </c>
      <c r="I124" s="16">
        <v>2</v>
      </c>
    </row>
    <row r="125" spans="1:9">
      <c r="B125" s="16" t="str">
        <f t="shared" si="12"/>
        <v>0x3408</v>
      </c>
      <c r="C125" s="16" t="str">
        <f t="shared" si="13"/>
        <v>0x3409</v>
      </c>
      <c r="D125" s="16">
        <f t="shared" si="15"/>
        <v>13320</v>
      </c>
      <c r="E125" s="16">
        <f t="shared" si="14"/>
        <v>13321</v>
      </c>
      <c r="F125" s="16" t="s">
        <v>1135</v>
      </c>
      <c r="G125" s="16" t="s">
        <v>541</v>
      </c>
      <c r="H125" s="16" t="s">
        <v>427</v>
      </c>
      <c r="I125" s="16">
        <v>2</v>
      </c>
    </row>
    <row r="126" spans="1:9">
      <c r="B126" s="16" t="str">
        <f t="shared" si="12"/>
        <v>0x340A</v>
      </c>
      <c r="C126" s="16" t="str">
        <f t="shared" si="13"/>
        <v>0x340B</v>
      </c>
      <c r="D126" s="16">
        <f t="shared" si="15"/>
        <v>13322</v>
      </c>
      <c r="E126" s="16">
        <f t="shared" si="14"/>
        <v>13323</v>
      </c>
      <c r="F126" s="16" t="s">
        <v>1136</v>
      </c>
      <c r="G126" s="16" t="s">
        <v>541</v>
      </c>
      <c r="H126" s="16" t="s">
        <v>427</v>
      </c>
      <c r="I126" s="16">
        <v>2</v>
      </c>
    </row>
    <row r="127" spans="1:9">
      <c r="B127" s="16" t="str">
        <f t="shared" si="12"/>
        <v>0x340C</v>
      </c>
      <c r="C127" s="16" t="str">
        <f t="shared" si="13"/>
        <v>0x340D</v>
      </c>
      <c r="D127" s="16">
        <f t="shared" si="15"/>
        <v>13324</v>
      </c>
      <c r="E127" s="16">
        <f t="shared" si="14"/>
        <v>13325</v>
      </c>
      <c r="F127" s="16" t="s">
        <v>1137</v>
      </c>
      <c r="G127" s="16" t="s">
        <v>541</v>
      </c>
      <c r="H127" s="16" t="s">
        <v>427</v>
      </c>
      <c r="I127" s="16">
        <v>2</v>
      </c>
    </row>
    <row r="128" spans="1:9">
      <c r="B128" s="16" t="str">
        <f t="shared" si="12"/>
        <v>0x340E</v>
      </c>
      <c r="C128" s="16" t="str">
        <f t="shared" si="13"/>
        <v>0x340F</v>
      </c>
      <c r="D128" s="16">
        <f t="shared" si="15"/>
        <v>13326</v>
      </c>
      <c r="E128" s="16">
        <f t="shared" si="14"/>
        <v>13327</v>
      </c>
      <c r="F128" s="16" t="s">
        <v>1138</v>
      </c>
      <c r="G128" s="16" t="s">
        <v>541</v>
      </c>
      <c r="H128" s="16" t="s">
        <v>427</v>
      </c>
      <c r="I128" s="16">
        <v>2</v>
      </c>
    </row>
    <row r="129" spans="1:9">
      <c r="B129" s="16" t="str">
        <f t="shared" si="12"/>
        <v>0x3410</v>
      </c>
      <c r="C129" s="16" t="str">
        <f t="shared" si="13"/>
        <v>0x3411</v>
      </c>
      <c r="D129" s="16">
        <f t="shared" si="15"/>
        <v>13328</v>
      </c>
      <c r="E129" s="16">
        <f t="shared" si="14"/>
        <v>13329</v>
      </c>
      <c r="F129" s="16" t="s">
        <v>1139</v>
      </c>
      <c r="G129" s="16" t="s">
        <v>541</v>
      </c>
      <c r="H129" s="16" t="s">
        <v>427</v>
      </c>
      <c r="I129" s="16">
        <v>2</v>
      </c>
    </row>
    <row r="130" spans="1:9">
      <c r="B130" s="16" t="str">
        <f t="shared" si="12"/>
        <v>0x3412</v>
      </c>
      <c r="C130" s="16" t="str">
        <f t="shared" si="13"/>
        <v>0x3413</v>
      </c>
      <c r="D130" s="16">
        <f t="shared" si="15"/>
        <v>13330</v>
      </c>
      <c r="E130" s="16">
        <f t="shared" si="14"/>
        <v>13331</v>
      </c>
      <c r="F130" s="16" t="s">
        <v>1140</v>
      </c>
      <c r="G130" s="16" t="s">
        <v>541</v>
      </c>
      <c r="H130" s="16" t="s">
        <v>427</v>
      </c>
      <c r="I130" s="16">
        <v>2</v>
      </c>
    </row>
    <row r="131" spans="1:9">
      <c r="B131" s="16" t="str">
        <f t="shared" si="12"/>
        <v>0x3414</v>
      </c>
      <c r="C131" s="16" t="str">
        <f t="shared" si="13"/>
        <v>0x3415</v>
      </c>
      <c r="D131" s="16">
        <f t="shared" si="15"/>
        <v>13332</v>
      </c>
      <c r="E131" s="16">
        <f t="shared" si="14"/>
        <v>13333</v>
      </c>
      <c r="F131" s="16" t="s">
        <v>1141</v>
      </c>
      <c r="G131" s="16" t="s">
        <v>541</v>
      </c>
      <c r="H131" s="16" t="s">
        <v>427</v>
      </c>
      <c r="I131" s="16">
        <v>2</v>
      </c>
    </row>
    <row r="132" spans="1:9">
      <c r="B132" s="16" t="str">
        <f t="shared" si="12"/>
        <v>0x3416</v>
      </c>
      <c r="C132" s="16" t="str">
        <f t="shared" si="13"/>
        <v>0x3417</v>
      </c>
      <c r="D132" s="16">
        <f t="shared" si="15"/>
        <v>13334</v>
      </c>
      <c r="E132" s="16">
        <f t="shared" si="14"/>
        <v>13335</v>
      </c>
      <c r="F132" s="16" t="s">
        <v>1142</v>
      </c>
      <c r="G132" s="16" t="s">
        <v>541</v>
      </c>
      <c r="H132" s="16" t="s">
        <v>427</v>
      </c>
      <c r="I132" s="16">
        <v>2</v>
      </c>
    </row>
    <row r="133" spans="1:9">
      <c r="B133" s="16" t="str">
        <f t="shared" si="12"/>
        <v>0x3418</v>
      </c>
      <c r="C133" s="16" t="str">
        <f t="shared" si="13"/>
        <v>0x3419</v>
      </c>
      <c r="D133" s="16">
        <f t="shared" si="15"/>
        <v>13336</v>
      </c>
      <c r="E133" s="16">
        <f t="shared" si="14"/>
        <v>13337</v>
      </c>
      <c r="F133" s="16" t="s">
        <v>1143</v>
      </c>
      <c r="G133" s="16" t="s">
        <v>541</v>
      </c>
      <c r="H133" s="16" t="s">
        <v>427</v>
      </c>
      <c r="I133" s="16">
        <v>2</v>
      </c>
    </row>
    <row r="134" spans="1:9">
      <c r="B134" s="16" t="str">
        <f t="shared" si="12"/>
        <v>0x341A</v>
      </c>
      <c r="C134" s="16" t="str">
        <f t="shared" si="13"/>
        <v>0x341B</v>
      </c>
      <c r="D134" s="16">
        <f t="shared" si="15"/>
        <v>13338</v>
      </c>
      <c r="E134" s="16">
        <f t="shared" si="14"/>
        <v>13339</v>
      </c>
      <c r="F134" s="16" t="s">
        <v>1144</v>
      </c>
      <c r="G134" s="16" t="s">
        <v>541</v>
      </c>
      <c r="H134" s="16" t="s">
        <v>427</v>
      </c>
      <c r="I134" s="16">
        <v>2</v>
      </c>
    </row>
    <row r="135" spans="1:9">
      <c r="B135" s="16" t="str">
        <f t="shared" si="12"/>
        <v>0x341C</v>
      </c>
      <c r="C135" s="16" t="str">
        <f t="shared" si="13"/>
        <v>0x341D</v>
      </c>
      <c r="D135" s="16">
        <f t="shared" si="15"/>
        <v>13340</v>
      </c>
      <c r="E135" s="16">
        <f t="shared" si="14"/>
        <v>13341</v>
      </c>
      <c r="F135" s="16" t="s">
        <v>1145</v>
      </c>
      <c r="G135" s="16" t="s">
        <v>541</v>
      </c>
      <c r="H135" s="16" t="s">
        <v>427</v>
      </c>
      <c r="I135" s="16">
        <v>2</v>
      </c>
    </row>
    <row r="136" spans="1:9">
      <c r="I136" s="16">
        <f>SUM(I121:I135)</f>
        <v>30</v>
      </c>
    </row>
    <row r="137" spans="1:9" hidden="1">
      <c r="A137" s="26" t="s">
        <v>1146</v>
      </c>
    </row>
    <row r="138" spans="1:9" hidden="1">
      <c r="B138" s="16" t="str">
        <f t="shared" ref="B138:B149" si="16">"0x"&amp;DEC2HEX(D138,4)</f>
        <v>0x3500</v>
      </c>
      <c r="C138" s="16" t="str">
        <f t="shared" ref="C138:C149" si="17">"0x"&amp;DEC2HEX(E138,4)</f>
        <v>0x3501</v>
      </c>
      <c r="D138" s="16">
        <v>13568</v>
      </c>
      <c r="E138" s="16">
        <f t="shared" ref="E138:E149" si="18">D138+I138-1</f>
        <v>13569</v>
      </c>
      <c r="F138" s="16" t="s">
        <v>1131</v>
      </c>
      <c r="G138" s="16" t="s">
        <v>541</v>
      </c>
      <c r="H138" s="16" t="s">
        <v>427</v>
      </c>
      <c r="I138" s="16">
        <v>2</v>
      </c>
    </row>
    <row r="139" spans="1:9" hidden="1">
      <c r="B139" s="16" t="str">
        <f t="shared" si="16"/>
        <v>0x3502</v>
      </c>
      <c r="C139" s="16" t="str">
        <f t="shared" si="17"/>
        <v>0x3503</v>
      </c>
      <c r="D139" s="16">
        <f t="shared" ref="D139:D149" si="19">D138+I138</f>
        <v>13570</v>
      </c>
      <c r="E139" s="16">
        <f t="shared" si="18"/>
        <v>13571</v>
      </c>
      <c r="F139" s="16" t="s">
        <v>1132</v>
      </c>
      <c r="G139" s="16" t="s">
        <v>541</v>
      </c>
      <c r="H139" s="16" t="s">
        <v>427</v>
      </c>
      <c r="I139" s="16">
        <v>2</v>
      </c>
    </row>
    <row r="140" spans="1:9" hidden="1">
      <c r="B140" s="16" t="str">
        <f t="shared" si="16"/>
        <v>0x3504</v>
      </c>
      <c r="C140" s="16" t="str">
        <f t="shared" si="17"/>
        <v>0x3505</v>
      </c>
      <c r="D140" s="16">
        <f t="shared" si="19"/>
        <v>13572</v>
      </c>
      <c r="E140" s="16">
        <f t="shared" si="18"/>
        <v>13573</v>
      </c>
      <c r="F140" s="16" t="s">
        <v>1133</v>
      </c>
      <c r="G140" s="16" t="s">
        <v>541</v>
      </c>
      <c r="H140" s="16" t="s">
        <v>427</v>
      </c>
      <c r="I140" s="16">
        <v>2</v>
      </c>
    </row>
    <row r="141" spans="1:9" hidden="1">
      <c r="B141" s="16" t="str">
        <f t="shared" si="16"/>
        <v>0x3506</v>
      </c>
      <c r="C141" s="16" t="str">
        <f t="shared" si="17"/>
        <v>0x3507</v>
      </c>
      <c r="D141" s="16">
        <f t="shared" si="19"/>
        <v>13574</v>
      </c>
      <c r="E141" s="16">
        <f t="shared" si="18"/>
        <v>13575</v>
      </c>
      <c r="F141" s="16" t="s">
        <v>1137</v>
      </c>
      <c r="G141" s="16" t="s">
        <v>541</v>
      </c>
      <c r="H141" s="16" t="s">
        <v>427</v>
      </c>
      <c r="I141" s="16">
        <v>2</v>
      </c>
    </row>
    <row r="142" spans="1:9" hidden="1">
      <c r="B142" s="16" t="str">
        <f t="shared" si="16"/>
        <v>0x3508</v>
      </c>
      <c r="C142" s="16" t="str">
        <f t="shared" si="17"/>
        <v>0x3509</v>
      </c>
      <c r="D142" s="16">
        <f t="shared" si="19"/>
        <v>13576</v>
      </c>
      <c r="E142" s="16">
        <f t="shared" si="18"/>
        <v>13577</v>
      </c>
      <c r="F142" s="16" t="s">
        <v>1138</v>
      </c>
      <c r="G142" s="16" t="s">
        <v>541</v>
      </c>
      <c r="H142" s="16" t="s">
        <v>427</v>
      </c>
      <c r="I142" s="16">
        <v>2</v>
      </c>
    </row>
    <row r="143" spans="1:9" hidden="1">
      <c r="B143" s="16" t="str">
        <f t="shared" si="16"/>
        <v>0x350A</v>
      </c>
      <c r="C143" s="16" t="str">
        <f t="shared" si="17"/>
        <v>0x350B</v>
      </c>
      <c r="D143" s="16">
        <f t="shared" si="19"/>
        <v>13578</v>
      </c>
      <c r="E143" s="16">
        <f t="shared" si="18"/>
        <v>13579</v>
      </c>
      <c r="F143" s="16" t="s">
        <v>1139</v>
      </c>
      <c r="G143" s="16" t="s">
        <v>541</v>
      </c>
      <c r="H143" s="16" t="s">
        <v>427</v>
      </c>
      <c r="I143" s="16">
        <v>2</v>
      </c>
    </row>
    <row r="144" spans="1:9" hidden="1">
      <c r="B144" s="16" t="str">
        <f t="shared" si="16"/>
        <v>0x350C</v>
      </c>
      <c r="C144" s="16" t="str">
        <f t="shared" si="17"/>
        <v>0x350D</v>
      </c>
      <c r="D144" s="16">
        <f t="shared" si="19"/>
        <v>13580</v>
      </c>
      <c r="E144" s="16">
        <f t="shared" si="18"/>
        <v>13581</v>
      </c>
      <c r="F144" s="16" t="s">
        <v>1147</v>
      </c>
      <c r="G144" s="16" t="s">
        <v>541</v>
      </c>
      <c r="H144" s="16" t="s">
        <v>427</v>
      </c>
      <c r="I144" s="16">
        <v>2</v>
      </c>
    </row>
    <row r="145" spans="1:9" hidden="1">
      <c r="B145" s="16" t="str">
        <f t="shared" si="16"/>
        <v>0x350E</v>
      </c>
      <c r="C145" s="16" t="str">
        <f t="shared" si="17"/>
        <v>0x350F</v>
      </c>
      <c r="D145" s="16">
        <f t="shared" si="19"/>
        <v>13582</v>
      </c>
      <c r="E145" s="16">
        <f t="shared" si="18"/>
        <v>13583</v>
      </c>
      <c r="F145" s="16" t="s">
        <v>1134</v>
      </c>
      <c r="G145" s="16" t="s">
        <v>541</v>
      </c>
      <c r="H145" s="16" t="s">
        <v>427</v>
      </c>
      <c r="I145" s="16">
        <v>2</v>
      </c>
    </row>
    <row r="146" spans="1:9" hidden="1">
      <c r="B146" s="16" t="str">
        <f t="shared" si="16"/>
        <v>0x3510</v>
      </c>
      <c r="C146" s="16" t="str">
        <f t="shared" si="17"/>
        <v>0x3511</v>
      </c>
      <c r="D146" s="16">
        <f t="shared" si="19"/>
        <v>13584</v>
      </c>
      <c r="E146" s="16">
        <f t="shared" si="18"/>
        <v>13585</v>
      </c>
      <c r="F146" s="16" t="s">
        <v>1135</v>
      </c>
      <c r="G146" s="16" t="s">
        <v>541</v>
      </c>
      <c r="H146" s="16" t="s">
        <v>427</v>
      </c>
      <c r="I146" s="16">
        <v>2</v>
      </c>
    </row>
    <row r="147" spans="1:9" hidden="1">
      <c r="B147" s="16" t="str">
        <f t="shared" si="16"/>
        <v>0x3512</v>
      </c>
      <c r="C147" s="16" t="str">
        <f t="shared" si="17"/>
        <v>0x3513</v>
      </c>
      <c r="D147" s="16">
        <f t="shared" si="19"/>
        <v>13586</v>
      </c>
      <c r="E147" s="16">
        <f t="shared" si="18"/>
        <v>13587</v>
      </c>
      <c r="F147" s="16" t="s">
        <v>1136</v>
      </c>
      <c r="G147" s="16" t="s">
        <v>541</v>
      </c>
      <c r="H147" s="16" t="s">
        <v>427</v>
      </c>
      <c r="I147" s="16">
        <v>2</v>
      </c>
    </row>
    <row r="148" spans="1:9" hidden="1">
      <c r="B148" s="16" t="str">
        <f t="shared" si="16"/>
        <v>0x3514</v>
      </c>
      <c r="C148" s="16" t="str">
        <f t="shared" si="17"/>
        <v>0x3515</v>
      </c>
      <c r="D148" s="16">
        <f t="shared" si="19"/>
        <v>13588</v>
      </c>
      <c r="E148" s="16">
        <f t="shared" si="18"/>
        <v>13589</v>
      </c>
      <c r="F148" s="16" t="s">
        <v>1143</v>
      </c>
      <c r="G148" s="16" t="s">
        <v>541</v>
      </c>
      <c r="H148" s="16" t="s">
        <v>427</v>
      </c>
      <c r="I148" s="16">
        <v>2</v>
      </c>
    </row>
    <row r="149" spans="1:9" hidden="1">
      <c r="B149" s="16" t="str">
        <f t="shared" si="16"/>
        <v>0x3516</v>
      </c>
      <c r="C149" s="16" t="str">
        <f t="shared" si="17"/>
        <v>0x3517</v>
      </c>
      <c r="D149" s="16">
        <f t="shared" si="19"/>
        <v>13590</v>
      </c>
      <c r="E149" s="16">
        <f t="shared" si="18"/>
        <v>13591</v>
      </c>
      <c r="F149" s="16" t="s">
        <v>1144</v>
      </c>
      <c r="G149" s="16" t="s">
        <v>541</v>
      </c>
      <c r="H149" s="16" t="s">
        <v>427</v>
      </c>
      <c r="I149" s="16">
        <v>2</v>
      </c>
    </row>
    <row r="152" spans="1:9" s="26" customFormat="1">
      <c r="A152" s="26" t="s">
        <v>1148</v>
      </c>
    </row>
    <row r="153" spans="1:9">
      <c r="B153" s="16" t="str">
        <f t="shared" ref="B153:B188" si="20">"0x"&amp;DEC2HEX(D153,4)</f>
        <v>0x4000</v>
      </c>
      <c r="C153" s="16" t="str">
        <f t="shared" ref="C153:C188" si="21">"0x"&amp;DEC2HEX(E153,4)</f>
        <v>0x4001</v>
      </c>
      <c r="D153" s="16">
        <v>16384</v>
      </c>
      <c r="E153" s="16">
        <f t="shared" ref="E153:E188" si="22">D153+I153-1</f>
        <v>16385</v>
      </c>
      <c r="F153" s="16" t="s">
        <v>1089</v>
      </c>
      <c r="G153" s="16" t="s">
        <v>541</v>
      </c>
      <c r="H153" s="16" t="s">
        <v>427</v>
      </c>
      <c r="I153" s="16">
        <v>2</v>
      </c>
    </row>
    <row r="154" spans="1:9">
      <c r="B154" s="16" t="str">
        <f t="shared" si="20"/>
        <v>0x4002</v>
      </c>
      <c r="C154" s="16" t="str">
        <f t="shared" si="21"/>
        <v>0x4003</v>
      </c>
      <c r="D154" s="16">
        <f t="shared" ref="D154:D188" si="23">D153+I153</f>
        <v>16386</v>
      </c>
      <c r="E154" s="16">
        <f t="shared" si="22"/>
        <v>16387</v>
      </c>
      <c r="F154" s="16" t="s">
        <v>1090</v>
      </c>
      <c r="G154" s="16" t="s">
        <v>541</v>
      </c>
      <c r="H154" s="16" t="s">
        <v>427</v>
      </c>
      <c r="I154" s="16">
        <v>2</v>
      </c>
    </row>
    <row r="155" spans="1:9">
      <c r="B155" s="16" t="str">
        <f t="shared" si="20"/>
        <v>0x4004</v>
      </c>
      <c r="C155" s="16" t="str">
        <f t="shared" si="21"/>
        <v>0x4005</v>
      </c>
      <c r="D155" s="16">
        <f t="shared" si="23"/>
        <v>16388</v>
      </c>
      <c r="E155" s="16">
        <f t="shared" si="22"/>
        <v>16389</v>
      </c>
      <c r="F155" s="16" t="s">
        <v>1091</v>
      </c>
      <c r="G155" s="16" t="s">
        <v>541</v>
      </c>
      <c r="H155" s="16" t="s">
        <v>427</v>
      </c>
      <c r="I155" s="16">
        <v>2</v>
      </c>
    </row>
    <row r="156" spans="1:9">
      <c r="B156" s="16" t="str">
        <f t="shared" si="20"/>
        <v>0x4006</v>
      </c>
      <c r="C156" s="16" t="str">
        <f t="shared" si="21"/>
        <v>0x4007</v>
      </c>
      <c r="D156" s="16">
        <f t="shared" si="23"/>
        <v>16390</v>
      </c>
      <c r="E156" s="16">
        <f t="shared" si="22"/>
        <v>16391</v>
      </c>
      <c r="F156" s="16" t="s">
        <v>1092</v>
      </c>
      <c r="G156" s="16" t="s">
        <v>541</v>
      </c>
      <c r="H156" s="16" t="s">
        <v>427</v>
      </c>
      <c r="I156" s="16">
        <v>2</v>
      </c>
    </row>
    <row r="157" spans="1:9">
      <c r="B157" s="16" t="str">
        <f t="shared" si="20"/>
        <v>0x4008</v>
      </c>
      <c r="C157" s="16" t="str">
        <f t="shared" si="21"/>
        <v>0x4009</v>
      </c>
      <c r="D157" s="16">
        <f t="shared" si="23"/>
        <v>16392</v>
      </c>
      <c r="E157" s="16">
        <f t="shared" si="22"/>
        <v>16393</v>
      </c>
      <c r="F157" s="16" t="s">
        <v>1093</v>
      </c>
      <c r="G157" s="16" t="s">
        <v>541</v>
      </c>
      <c r="H157" s="16" t="s">
        <v>427</v>
      </c>
      <c r="I157" s="16">
        <v>2</v>
      </c>
    </row>
    <row r="158" spans="1:9">
      <c r="B158" s="16" t="str">
        <f t="shared" si="20"/>
        <v>0x400A</v>
      </c>
      <c r="C158" s="16" t="str">
        <f t="shared" si="21"/>
        <v>0x400B</v>
      </c>
      <c r="D158" s="16">
        <f t="shared" si="23"/>
        <v>16394</v>
      </c>
      <c r="E158" s="16">
        <f t="shared" si="22"/>
        <v>16395</v>
      </c>
      <c r="F158" s="16" t="s">
        <v>1094</v>
      </c>
      <c r="G158" s="16" t="s">
        <v>541</v>
      </c>
      <c r="H158" s="16" t="s">
        <v>427</v>
      </c>
      <c r="I158" s="16">
        <v>2</v>
      </c>
    </row>
    <row r="159" spans="1:9">
      <c r="B159" s="16" t="str">
        <f t="shared" si="20"/>
        <v>0x400C</v>
      </c>
      <c r="C159" s="16" t="str">
        <f t="shared" si="21"/>
        <v>0x400D</v>
      </c>
      <c r="D159" s="16">
        <f t="shared" si="23"/>
        <v>16396</v>
      </c>
      <c r="E159" s="16">
        <f t="shared" si="22"/>
        <v>16397</v>
      </c>
      <c r="F159" s="16" t="s">
        <v>1095</v>
      </c>
      <c r="G159" s="16" t="s">
        <v>541</v>
      </c>
      <c r="H159" s="16" t="s">
        <v>427</v>
      </c>
      <c r="I159" s="16">
        <v>2</v>
      </c>
    </row>
    <row r="160" spans="1:9">
      <c r="B160" s="16" t="str">
        <f t="shared" si="20"/>
        <v>0x400E</v>
      </c>
      <c r="C160" s="16" t="str">
        <f t="shared" si="21"/>
        <v>0x400F</v>
      </c>
      <c r="D160" s="16">
        <f t="shared" si="23"/>
        <v>16398</v>
      </c>
      <c r="E160" s="16">
        <f t="shared" si="22"/>
        <v>16399</v>
      </c>
      <c r="F160" s="16" t="s">
        <v>1096</v>
      </c>
      <c r="G160" s="16" t="s">
        <v>541</v>
      </c>
      <c r="H160" s="16" t="s">
        <v>427</v>
      </c>
      <c r="I160" s="16">
        <v>2</v>
      </c>
    </row>
    <row r="161" spans="2:9">
      <c r="B161" s="16" t="str">
        <f t="shared" si="20"/>
        <v>0x4010</v>
      </c>
      <c r="C161" s="16" t="str">
        <f t="shared" si="21"/>
        <v>0x4011</v>
      </c>
      <c r="D161" s="16">
        <f t="shared" si="23"/>
        <v>16400</v>
      </c>
      <c r="E161" s="16">
        <f t="shared" si="22"/>
        <v>16401</v>
      </c>
      <c r="F161" s="16" t="s">
        <v>1097</v>
      </c>
      <c r="G161" s="16" t="s">
        <v>541</v>
      </c>
      <c r="H161" s="16" t="s">
        <v>427</v>
      </c>
      <c r="I161" s="16">
        <v>2</v>
      </c>
    </row>
    <row r="162" spans="2:9">
      <c r="B162" s="16" t="str">
        <f t="shared" si="20"/>
        <v>0x4012</v>
      </c>
      <c r="C162" s="16" t="str">
        <f t="shared" si="21"/>
        <v>0x4013</v>
      </c>
      <c r="D162" s="16">
        <f t="shared" si="23"/>
        <v>16402</v>
      </c>
      <c r="E162" s="16">
        <f t="shared" si="22"/>
        <v>16403</v>
      </c>
      <c r="F162" s="16" t="s">
        <v>1098</v>
      </c>
      <c r="G162" s="16" t="s">
        <v>541</v>
      </c>
      <c r="H162" s="16" t="s">
        <v>427</v>
      </c>
      <c r="I162" s="16">
        <v>2</v>
      </c>
    </row>
    <row r="163" spans="2:9">
      <c r="B163" s="16" t="str">
        <f t="shared" si="20"/>
        <v>0x4014</v>
      </c>
      <c r="C163" s="16" t="str">
        <f t="shared" si="21"/>
        <v>0x4015</v>
      </c>
      <c r="D163" s="16">
        <f t="shared" si="23"/>
        <v>16404</v>
      </c>
      <c r="E163" s="16">
        <f t="shared" si="22"/>
        <v>16405</v>
      </c>
      <c r="F163" s="16" t="s">
        <v>1099</v>
      </c>
      <c r="G163" s="16" t="s">
        <v>541</v>
      </c>
      <c r="H163" s="16" t="s">
        <v>427</v>
      </c>
      <c r="I163" s="16">
        <v>2</v>
      </c>
    </row>
    <row r="164" spans="2:9">
      <c r="B164" s="16" t="str">
        <f t="shared" si="20"/>
        <v>0x4016</v>
      </c>
      <c r="C164" s="16" t="str">
        <f t="shared" si="21"/>
        <v>0x4017</v>
      </c>
      <c r="D164" s="16">
        <f t="shared" si="23"/>
        <v>16406</v>
      </c>
      <c r="E164" s="16">
        <f t="shared" si="22"/>
        <v>16407</v>
      </c>
      <c r="F164" s="16" t="s">
        <v>1100</v>
      </c>
      <c r="G164" s="16" t="s">
        <v>541</v>
      </c>
      <c r="H164" s="16" t="s">
        <v>427</v>
      </c>
      <c r="I164" s="16">
        <v>2</v>
      </c>
    </row>
    <row r="165" spans="2:9">
      <c r="B165" s="16" t="str">
        <f t="shared" si="20"/>
        <v>0x4018</v>
      </c>
      <c r="C165" s="16" t="str">
        <f t="shared" si="21"/>
        <v>0x4019</v>
      </c>
      <c r="D165" s="16">
        <f t="shared" si="23"/>
        <v>16408</v>
      </c>
      <c r="E165" s="16">
        <f t="shared" si="22"/>
        <v>16409</v>
      </c>
      <c r="F165" s="16" t="s">
        <v>1101</v>
      </c>
      <c r="G165" s="16" t="s">
        <v>541</v>
      </c>
      <c r="H165" s="16" t="s">
        <v>427</v>
      </c>
      <c r="I165" s="16">
        <v>2</v>
      </c>
    </row>
    <row r="166" spans="2:9">
      <c r="B166" s="16" t="str">
        <f t="shared" si="20"/>
        <v>0x401A</v>
      </c>
      <c r="C166" s="16" t="str">
        <f t="shared" si="21"/>
        <v>0x401B</v>
      </c>
      <c r="D166" s="16">
        <f t="shared" si="23"/>
        <v>16410</v>
      </c>
      <c r="E166" s="16">
        <f t="shared" si="22"/>
        <v>16411</v>
      </c>
      <c r="F166" s="16" t="s">
        <v>1102</v>
      </c>
      <c r="G166" s="16" t="s">
        <v>541</v>
      </c>
      <c r="H166" s="16" t="s">
        <v>427</v>
      </c>
      <c r="I166" s="16">
        <v>2</v>
      </c>
    </row>
    <row r="167" spans="2:9">
      <c r="B167" s="16" t="str">
        <f t="shared" si="20"/>
        <v>0x401C</v>
      </c>
      <c r="C167" s="16" t="str">
        <f t="shared" si="21"/>
        <v>0x401D</v>
      </c>
      <c r="D167" s="16">
        <f t="shared" si="23"/>
        <v>16412</v>
      </c>
      <c r="E167" s="16">
        <f t="shared" si="22"/>
        <v>16413</v>
      </c>
      <c r="F167" s="16" t="s">
        <v>1103</v>
      </c>
      <c r="G167" s="16" t="s">
        <v>541</v>
      </c>
      <c r="H167" s="16" t="s">
        <v>427</v>
      </c>
      <c r="I167" s="16">
        <v>2</v>
      </c>
    </row>
    <row r="168" spans="2:9">
      <c r="B168" s="16" t="str">
        <f t="shared" si="20"/>
        <v>0x401E</v>
      </c>
      <c r="C168" s="16" t="str">
        <f t="shared" si="21"/>
        <v>0x401F</v>
      </c>
      <c r="D168" s="16">
        <f t="shared" si="23"/>
        <v>16414</v>
      </c>
      <c r="E168" s="16">
        <f t="shared" si="22"/>
        <v>16415</v>
      </c>
      <c r="F168" s="16" t="s">
        <v>1104</v>
      </c>
      <c r="G168" s="16" t="s">
        <v>541</v>
      </c>
      <c r="H168" s="16" t="s">
        <v>427</v>
      </c>
      <c r="I168" s="16">
        <v>2</v>
      </c>
    </row>
    <row r="169" spans="2:9">
      <c r="B169" s="16" t="str">
        <f t="shared" si="20"/>
        <v>0x4020</v>
      </c>
      <c r="C169" s="16" t="str">
        <f t="shared" si="21"/>
        <v>0x4021</v>
      </c>
      <c r="D169" s="16">
        <f t="shared" si="23"/>
        <v>16416</v>
      </c>
      <c r="E169" s="16">
        <f t="shared" si="22"/>
        <v>16417</v>
      </c>
      <c r="F169" s="16" t="s">
        <v>1105</v>
      </c>
      <c r="G169" s="16" t="s">
        <v>541</v>
      </c>
      <c r="H169" s="16" t="s">
        <v>427</v>
      </c>
      <c r="I169" s="16">
        <v>2</v>
      </c>
    </row>
    <row r="170" spans="2:9">
      <c r="B170" s="16" t="str">
        <f t="shared" si="20"/>
        <v>0x4022</v>
      </c>
      <c r="C170" s="16" t="str">
        <f t="shared" si="21"/>
        <v>0x4023</v>
      </c>
      <c r="D170" s="16">
        <f t="shared" si="23"/>
        <v>16418</v>
      </c>
      <c r="E170" s="16">
        <f t="shared" si="22"/>
        <v>16419</v>
      </c>
      <c r="F170" s="16" t="s">
        <v>1106</v>
      </c>
      <c r="G170" s="16" t="s">
        <v>541</v>
      </c>
      <c r="H170" s="16" t="s">
        <v>427</v>
      </c>
      <c r="I170" s="16">
        <v>2</v>
      </c>
    </row>
    <row r="171" spans="2:9">
      <c r="B171" s="16" t="str">
        <f t="shared" si="20"/>
        <v>0x4024</v>
      </c>
      <c r="C171" s="16" t="str">
        <f t="shared" si="21"/>
        <v>0x4025</v>
      </c>
      <c r="D171" s="16">
        <f t="shared" si="23"/>
        <v>16420</v>
      </c>
      <c r="E171" s="16">
        <f t="shared" si="22"/>
        <v>16421</v>
      </c>
      <c r="F171" s="16" t="s">
        <v>1107</v>
      </c>
      <c r="G171" s="16" t="s">
        <v>541</v>
      </c>
      <c r="H171" s="16" t="s">
        <v>427</v>
      </c>
      <c r="I171" s="16">
        <v>2</v>
      </c>
    </row>
    <row r="172" spans="2:9">
      <c r="B172" s="16" t="str">
        <f t="shared" si="20"/>
        <v>0x4026</v>
      </c>
      <c r="C172" s="16" t="str">
        <f t="shared" si="21"/>
        <v>0x4027</v>
      </c>
      <c r="D172" s="16">
        <f t="shared" si="23"/>
        <v>16422</v>
      </c>
      <c r="E172" s="16">
        <f t="shared" si="22"/>
        <v>16423</v>
      </c>
      <c r="F172" s="16" t="s">
        <v>1108</v>
      </c>
      <c r="G172" s="16" t="s">
        <v>541</v>
      </c>
      <c r="H172" s="16" t="s">
        <v>427</v>
      </c>
      <c r="I172" s="16">
        <v>2</v>
      </c>
    </row>
    <row r="173" spans="2:9">
      <c r="B173" s="16" t="str">
        <f t="shared" si="20"/>
        <v>0x4028</v>
      </c>
      <c r="C173" s="16" t="str">
        <f t="shared" si="21"/>
        <v>0x4029</v>
      </c>
      <c r="D173" s="16">
        <f t="shared" si="23"/>
        <v>16424</v>
      </c>
      <c r="E173" s="16">
        <f t="shared" si="22"/>
        <v>16425</v>
      </c>
      <c r="F173" s="16" t="s">
        <v>1109</v>
      </c>
      <c r="G173" s="16" t="s">
        <v>541</v>
      </c>
      <c r="H173" s="16" t="s">
        <v>427</v>
      </c>
      <c r="I173" s="16">
        <v>2</v>
      </c>
    </row>
    <row r="174" spans="2:9">
      <c r="B174" s="16" t="str">
        <f t="shared" si="20"/>
        <v>0x402A</v>
      </c>
      <c r="C174" s="16" t="str">
        <f t="shared" si="21"/>
        <v>0x402B</v>
      </c>
      <c r="D174" s="16">
        <f t="shared" si="23"/>
        <v>16426</v>
      </c>
      <c r="E174" s="16">
        <f t="shared" si="22"/>
        <v>16427</v>
      </c>
      <c r="F174" s="16" t="s">
        <v>1110</v>
      </c>
      <c r="G174" s="16" t="s">
        <v>541</v>
      </c>
      <c r="H174" s="16" t="s">
        <v>427</v>
      </c>
      <c r="I174" s="16">
        <v>2</v>
      </c>
    </row>
    <row r="175" spans="2:9">
      <c r="B175" s="16" t="str">
        <f t="shared" si="20"/>
        <v>0x402C</v>
      </c>
      <c r="C175" s="16" t="str">
        <f t="shared" si="21"/>
        <v>0x402D</v>
      </c>
      <c r="D175" s="16">
        <f t="shared" si="23"/>
        <v>16428</v>
      </c>
      <c r="E175" s="16">
        <f t="shared" si="22"/>
        <v>16429</v>
      </c>
      <c r="F175" s="16" t="s">
        <v>1111</v>
      </c>
      <c r="G175" s="16" t="s">
        <v>541</v>
      </c>
      <c r="H175" s="16" t="s">
        <v>427</v>
      </c>
      <c r="I175" s="16">
        <v>2</v>
      </c>
    </row>
    <row r="176" spans="2:9">
      <c r="B176" s="16" t="str">
        <f t="shared" si="20"/>
        <v>0x402E</v>
      </c>
      <c r="C176" s="16" t="str">
        <f t="shared" si="21"/>
        <v>0x402F</v>
      </c>
      <c r="D176" s="16">
        <f t="shared" si="23"/>
        <v>16430</v>
      </c>
      <c r="E176" s="16">
        <f t="shared" si="22"/>
        <v>16431</v>
      </c>
      <c r="F176" s="16" t="s">
        <v>1112</v>
      </c>
      <c r="G176" s="16" t="s">
        <v>541</v>
      </c>
      <c r="H176" s="16" t="s">
        <v>427</v>
      </c>
      <c r="I176" s="16">
        <v>2</v>
      </c>
    </row>
    <row r="177" spans="1:9">
      <c r="B177" s="16" t="str">
        <f t="shared" si="20"/>
        <v>0x4030</v>
      </c>
      <c r="C177" s="16" t="str">
        <f t="shared" si="21"/>
        <v>0x4031</v>
      </c>
      <c r="D177" s="16">
        <f t="shared" si="23"/>
        <v>16432</v>
      </c>
      <c r="E177" s="16">
        <f t="shared" si="22"/>
        <v>16433</v>
      </c>
      <c r="F177" s="16" t="s">
        <v>1113</v>
      </c>
      <c r="G177" s="16" t="s">
        <v>541</v>
      </c>
      <c r="H177" s="16" t="s">
        <v>427</v>
      </c>
      <c r="I177" s="16">
        <v>2</v>
      </c>
    </row>
    <row r="178" spans="1:9">
      <c r="B178" s="16" t="str">
        <f t="shared" si="20"/>
        <v>0x4032</v>
      </c>
      <c r="C178" s="16" t="str">
        <f t="shared" si="21"/>
        <v>0x4033</v>
      </c>
      <c r="D178" s="16">
        <f t="shared" si="23"/>
        <v>16434</v>
      </c>
      <c r="E178" s="16">
        <f t="shared" si="22"/>
        <v>16435</v>
      </c>
      <c r="F178" s="16" t="s">
        <v>1114</v>
      </c>
      <c r="G178" s="16" t="s">
        <v>541</v>
      </c>
      <c r="H178" s="16" t="s">
        <v>427</v>
      </c>
      <c r="I178" s="16">
        <v>2</v>
      </c>
    </row>
    <row r="179" spans="1:9">
      <c r="B179" s="16" t="str">
        <f t="shared" si="20"/>
        <v>0x4034</v>
      </c>
      <c r="C179" s="16" t="str">
        <f t="shared" si="21"/>
        <v>0x4035</v>
      </c>
      <c r="D179" s="16">
        <f t="shared" si="23"/>
        <v>16436</v>
      </c>
      <c r="E179" s="16">
        <f t="shared" si="22"/>
        <v>16437</v>
      </c>
      <c r="F179" s="16" t="s">
        <v>1115</v>
      </c>
      <c r="G179" s="16" t="s">
        <v>541</v>
      </c>
      <c r="H179" s="16" t="s">
        <v>427</v>
      </c>
      <c r="I179" s="16">
        <v>2</v>
      </c>
    </row>
    <row r="180" spans="1:9">
      <c r="B180" s="16" t="str">
        <f t="shared" si="20"/>
        <v>0x4036</v>
      </c>
      <c r="C180" s="16" t="str">
        <f t="shared" si="21"/>
        <v>0x4037</v>
      </c>
      <c r="D180" s="16">
        <f t="shared" si="23"/>
        <v>16438</v>
      </c>
      <c r="E180" s="16">
        <f t="shared" si="22"/>
        <v>16439</v>
      </c>
      <c r="F180" s="16" t="s">
        <v>1116</v>
      </c>
      <c r="G180" s="16" t="s">
        <v>541</v>
      </c>
      <c r="H180" s="16" t="s">
        <v>427</v>
      </c>
      <c r="I180" s="16">
        <v>2</v>
      </c>
    </row>
    <row r="181" spans="1:9">
      <c r="B181" s="16" t="str">
        <f t="shared" si="20"/>
        <v>0x4038</v>
      </c>
      <c r="C181" s="16" t="str">
        <f t="shared" si="21"/>
        <v>0x4039</v>
      </c>
      <c r="D181" s="16">
        <f t="shared" si="23"/>
        <v>16440</v>
      </c>
      <c r="E181" s="16">
        <f t="shared" si="22"/>
        <v>16441</v>
      </c>
      <c r="F181" s="16" t="s">
        <v>1117</v>
      </c>
      <c r="G181" s="16" t="s">
        <v>541</v>
      </c>
      <c r="H181" s="16" t="s">
        <v>427</v>
      </c>
      <c r="I181" s="16">
        <v>2</v>
      </c>
    </row>
    <row r="182" spans="1:9">
      <c r="B182" s="16" t="str">
        <f t="shared" si="20"/>
        <v>0x403A</v>
      </c>
      <c r="C182" s="16" t="str">
        <f t="shared" si="21"/>
        <v>0x403B</v>
      </c>
      <c r="D182" s="16">
        <f t="shared" si="23"/>
        <v>16442</v>
      </c>
      <c r="E182" s="16">
        <f t="shared" si="22"/>
        <v>16443</v>
      </c>
      <c r="F182" s="16" t="s">
        <v>1118</v>
      </c>
      <c r="G182" s="16" t="s">
        <v>541</v>
      </c>
      <c r="H182" s="16" t="s">
        <v>427</v>
      </c>
      <c r="I182" s="16">
        <v>2</v>
      </c>
    </row>
    <row r="183" spans="1:9">
      <c r="B183" s="16" t="str">
        <f t="shared" si="20"/>
        <v>0x403C</v>
      </c>
      <c r="C183" s="16" t="str">
        <f t="shared" si="21"/>
        <v>0x403D</v>
      </c>
      <c r="D183" s="16">
        <f t="shared" si="23"/>
        <v>16444</v>
      </c>
      <c r="E183" s="16">
        <f t="shared" si="22"/>
        <v>16445</v>
      </c>
      <c r="F183" s="16" t="s">
        <v>1120</v>
      </c>
      <c r="G183" s="16" t="s">
        <v>541</v>
      </c>
      <c r="H183" s="16" t="s">
        <v>427</v>
      </c>
      <c r="I183" s="16">
        <v>2</v>
      </c>
    </row>
    <row r="184" spans="1:9">
      <c r="B184" s="16" t="str">
        <f t="shared" si="20"/>
        <v>0x403E</v>
      </c>
      <c r="C184" s="16" t="str">
        <f t="shared" si="21"/>
        <v>0x403F</v>
      </c>
      <c r="D184" s="16">
        <f t="shared" si="23"/>
        <v>16446</v>
      </c>
      <c r="E184" s="16">
        <f t="shared" si="22"/>
        <v>16447</v>
      </c>
      <c r="F184" s="16" t="s">
        <v>1121</v>
      </c>
      <c r="G184" s="16" t="s">
        <v>541</v>
      </c>
      <c r="H184" s="16" t="s">
        <v>427</v>
      </c>
      <c r="I184" s="16">
        <v>2</v>
      </c>
    </row>
    <row r="185" spans="1:9">
      <c r="B185" s="16" t="str">
        <f t="shared" si="20"/>
        <v>0x4040</v>
      </c>
      <c r="C185" s="16" t="str">
        <f t="shared" si="21"/>
        <v>0x4041</v>
      </c>
      <c r="D185" s="16">
        <f t="shared" si="23"/>
        <v>16448</v>
      </c>
      <c r="E185" s="16">
        <f t="shared" si="22"/>
        <v>16449</v>
      </c>
      <c r="F185" s="16" t="s">
        <v>1122</v>
      </c>
      <c r="G185" s="16" t="s">
        <v>541</v>
      </c>
      <c r="H185" s="16" t="s">
        <v>427</v>
      </c>
      <c r="I185" s="16">
        <v>2</v>
      </c>
    </row>
    <row r="186" spans="1:9">
      <c r="B186" s="16" t="str">
        <f t="shared" si="20"/>
        <v>0x4042</v>
      </c>
      <c r="C186" s="16" t="str">
        <f t="shared" si="21"/>
        <v>0x4043</v>
      </c>
      <c r="D186" s="16">
        <f t="shared" si="23"/>
        <v>16450</v>
      </c>
      <c r="E186" s="16">
        <f t="shared" si="22"/>
        <v>16451</v>
      </c>
      <c r="F186" s="16" t="s">
        <v>1123</v>
      </c>
      <c r="G186" s="16" t="s">
        <v>541</v>
      </c>
      <c r="H186" s="16" t="s">
        <v>427</v>
      </c>
      <c r="I186" s="16">
        <v>2</v>
      </c>
    </row>
    <row r="187" spans="1:9">
      <c r="B187" s="16" t="str">
        <f t="shared" si="20"/>
        <v>0x4044</v>
      </c>
      <c r="C187" s="16" t="str">
        <f t="shared" si="21"/>
        <v>0x4045</v>
      </c>
      <c r="D187" s="16">
        <f t="shared" si="23"/>
        <v>16452</v>
      </c>
      <c r="E187" s="16">
        <f t="shared" si="22"/>
        <v>16453</v>
      </c>
      <c r="F187" s="16" t="s">
        <v>1124</v>
      </c>
      <c r="G187" s="16" t="s">
        <v>541</v>
      </c>
      <c r="H187" s="16" t="s">
        <v>427</v>
      </c>
      <c r="I187" s="16">
        <v>2</v>
      </c>
    </row>
    <row r="188" spans="1:9">
      <c r="B188" s="16" t="str">
        <f t="shared" si="20"/>
        <v>0x4046</v>
      </c>
      <c r="C188" s="16" t="str">
        <f t="shared" si="21"/>
        <v>0x4047</v>
      </c>
      <c r="D188" s="16">
        <f t="shared" si="23"/>
        <v>16454</v>
      </c>
      <c r="E188" s="16">
        <f t="shared" si="22"/>
        <v>16455</v>
      </c>
      <c r="F188" s="16" t="s">
        <v>1125</v>
      </c>
      <c r="G188" s="16" t="s">
        <v>541</v>
      </c>
      <c r="H188" s="16" t="s">
        <v>427</v>
      </c>
      <c r="I188" s="16">
        <v>2</v>
      </c>
    </row>
    <row r="189" spans="1:9" s="26" customFormat="1">
      <c r="A189" s="26" t="s">
        <v>1149</v>
      </c>
    </row>
    <row r="190" spans="1:9">
      <c r="B190" s="16" t="str">
        <f t="shared" ref="B190:B198" si="24">"0x"&amp;DEC2HEX(D190,4)</f>
        <v>0x4048</v>
      </c>
      <c r="C190" s="16" t="str">
        <f t="shared" ref="C190:C198" si="25">"0x"&amp;DEC2HEX(E190,4)</f>
        <v>0x4049</v>
      </c>
      <c r="D190" s="16">
        <v>16456</v>
      </c>
      <c r="E190" s="16">
        <f t="shared" ref="E190:E198" si="26">D190+I190-1</f>
        <v>16457</v>
      </c>
      <c r="F190" s="16" t="s">
        <v>1150</v>
      </c>
      <c r="G190" s="16" t="s">
        <v>1151</v>
      </c>
      <c r="H190" s="16" t="s">
        <v>471</v>
      </c>
      <c r="I190" s="16">
        <v>2</v>
      </c>
    </row>
    <row r="191" spans="1:9">
      <c r="B191" s="16" t="str">
        <f t="shared" si="24"/>
        <v>0x404A</v>
      </c>
      <c r="C191" s="16" t="str">
        <f t="shared" si="25"/>
        <v>0x404B</v>
      </c>
      <c r="D191" s="16">
        <f t="shared" ref="D191:D198" si="27">D190+I190</f>
        <v>16458</v>
      </c>
      <c r="E191" s="16">
        <f t="shared" si="26"/>
        <v>16459</v>
      </c>
      <c r="F191" s="16" t="s">
        <v>1152</v>
      </c>
      <c r="G191" s="16" t="s">
        <v>1151</v>
      </c>
      <c r="H191" s="16" t="s">
        <v>471</v>
      </c>
      <c r="I191" s="16">
        <v>2</v>
      </c>
    </row>
    <row r="192" spans="1:9">
      <c r="B192" s="16" t="str">
        <f t="shared" si="24"/>
        <v>0x404C</v>
      </c>
      <c r="C192" s="16" t="str">
        <f t="shared" si="25"/>
        <v>0x404D</v>
      </c>
      <c r="D192" s="16">
        <f t="shared" si="27"/>
        <v>16460</v>
      </c>
      <c r="E192" s="16">
        <f t="shared" si="26"/>
        <v>16461</v>
      </c>
      <c r="F192" s="16" t="s">
        <v>1153</v>
      </c>
      <c r="G192" s="16" t="s">
        <v>1151</v>
      </c>
      <c r="H192" s="16" t="s">
        <v>471</v>
      </c>
      <c r="I192" s="16">
        <v>2</v>
      </c>
    </row>
    <row r="193" spans="1:12">
      <c r="B193" s="16" t="str">
        <f t="shared" si="24"/>
        <v>0x404E</v>
      </c>
      <c r="C193" s="16" t="str">
        <f t="shared" si="25"/>
        <v>0x404F</v>
      </c>
      <c r="D193" s="16">
        <f t="shared" si="27"/>
        <v>16462</v>
      </c>
      <c r="E193" s="16">
        <f t="shared" si="26"/>
        <v>16463</v>
      </c>
      <c r="F193" s="16" t="s">
        <v>1154</v>
      </c>
      <c r="G193" s="16" t="s">
        <v>1151</v>
      </c>
      <c r="H193" s="16" t="s">
        <v>471</v>
      </c>
      <c r="I193" s="16">
        <v>2</v>
      </c>
    </row>
    <row r="194" spans="1:12">
      <c r="B194" s="16" t="str">
        <f t="shared" si="24"/>
        <v>0x4050</v>
      </c>
      <c r="C194" s="16" t="str">
        <f t="shared" si="25"/>
        <v>0x4051</v>
      </c>
      <c r="D194" s="16">
        <f t="shared" si="27"/>
        <v>16464</v>
      </c>
      <c r="E194" s="16">
        <f t="shared" si="26"/>
        <v>16465</v>
      </c>
      <c r="F194" s="16" t="s">
        <v>1155</v>
      </c>
      <c r="G194" s="16" t="s">
        <v>1151</v>
      </c>
      <c r="H194" s="16" t="s">
        <v>471</v>
      </c>
      <c r="I194" s="16">
        <v>2</v>
      </c>
    </row>
    <row r="195" spans="1:12">
      <c r="B195" s="16" t="str">
        <f t="shared" si="24"/>
        <v>0x4052</v>
      </c>
      <c r="C195" s="16" t="str">
        <f t="shared" si="25"/>
        <v>0x4053</v>
      </c>
      <c r="D195" s="16">
        <f t="shared" si="27"/>
        <v>16466</v>
      </c>
      <c r="E195" s="16">
        <f t="shared" si="26"/>
        <v>16467</v>
      </c>
      <c r="F195" s="16" t="s">
        <v>1156</v>
      </c>
      <c r="G195" s="16" t="s">
        <v>1157</v>
      </c>
      <c r="H195" s="16" t="s">
        <v>471</v>
      </c>
      <c r="I195" s="16">
        <v>2</v>
      </c>
    </row>
    <row r="196" spans="1:12">
      <c r="B196" s="16" t="str">
        <f t="shared" si="24"/>
        <v>0x4054</v>
      </c>
      <c r="C196" s="16" t="str">
        <f t="shared" si="25"/>
        <v>0x4055</v>
      </c>
      <c r="D196" s="16">
        <f t="shared" si="27"/>
        <v>16468</v>
      </c>
      <c r="E196" s="16">
        <f t="shared" si="26"/>
        <v>16469</v>
      </c>
      <c r="F196" s="16" t="s">
        <v>1158</v>
      </c>
      <c r="G196" s="16" t="s">
        <v>1151</v>
      </c>
      <c r="H196" s="16" t="s">
        <v>471</v>
      </c>
      <c r="I196" s="16">
        <v>2</v>
      </c>
    </row>
    <row r="197" spans="1:12">
      <c r="B197" s="16" t="str">
        <f t="shared" si="24"/>
        <v>0x4056</v>
      </c>
      <c r="C197" s="16" t="str">
        <f t="shared" si="25"/>
        <v>0x4057</v>
      </c>
      <c r="D197" s="16">
        <f t="shared" si="27"/>
        <v>16470</v>
      </c>
      <c r="E197" s="16">
        <f t="shared" si="26"/>
        <v>16471</v>
      </c>
      <c r="F197" s="16" t="s">
        <v>1159</v>
      </c>
      <c r="G197" s="16" t="s">
        <v>1157</v>
      </c>
      <c r="H197" s="16" t="s">
        <v>471</v>
      </c>
      <c r="I197" s="16">
        <v>2</v>
      </c>
    </row>
    <row r="198" spans="1:12">
      <c r="B198" s="16" t="str">
        <f t="shared" si="24"/>
        <v>0x4058</v>
      </c>
      <c r="C198" s="16" t="str">
        <f t="shared" si="25"/>
        <v>0x4059</v>
      </c>
      <c r="D198" s="16">
        <f t="shared" si="27"/>
        <v>16472</v>
      </c>
      <c r="E198" s="16">
        <f t="shared" si="26"/>
        <v>16473</v>
      </c>
      <c r="F198" s="16" t="s">
        <v>1160</v>
      </c>
      <c r="G198" s="16" t="s">
        <v>1151</v>
      </c>
      <c r="H198" s="16" t="s">
        <v>471</v>
      </c>
      <c r="I198" s="16">
        <v>2</v>
      </c>
    </row>
    <row r="199" spans="1:12">
      <c r="A199" s="26" t="s">
        <v>1161</v>
      </c>
      <c r="C199" s="26"/>
      <c r="D199" s="26"/>
      <c r="E199" s="26"/>
      <c r="F199" s="26"/>
      <c r="G199" s="26"/>
      <c r="H199" s="26"/>
      <c r="I199" s="26"/>
      <c r="J199" s="26"/>
      <c r="K199" s="26"/>
      <c r="L199" s="26"/>
    </row>
    <row r="200" spans="1:12">
      <c r="B200" s="16" t="str">
        <f t="shared" ref="B200:B234" si="28">"0x"&amp;DEC2HEX(D200,4)</f>
        <v>0x405A</v>
      </c>
      <c r="D200" s="16">
        <v>16474</v>
      </c>
      <c r="F200" s="1" t="s">
        <v>1162</v>
      </c>
      <c r="G200" s="16" t="s">
        <v>802</v>
      </c>
      <c r="H200" s="16" t="s">
        <v>1163</v>
      </c>
      <c r="I200" s="16">
        <v>1</v>
      </c>
      <c r="K200" s="16" t="s">
        <v>1164</v>
      </c>
    </row>
    <row r="201" spans="1:12">
      <c r="B201" s="16" t="str">
        <f t="shared" si="28"/>
        <v>0x405B</v>
      </c>
      <c r="D201" s="16">
        <f t="shared" ref="D201:D234" si="29">D200+I200</f>
        <v>16475</v>
      </c>
      <c r="F201" s="1" t="s">
        <v>1165</v>
      </c>
      <c r="G201" s="16" t="s">
        <v>802</v>
      </c>
      <c r="H201" s="16" t="s">
        <v>1163</v>
      </c>
      <c r="I201" s="16">
        <v>1</v>
      </c>
    </row>
    <row r="202" spans="1:12">
      <c r="B202" s="16" t="str">
        <f t="shared" si="28"/>
        <v>0x405C</v>
      </c>
      <c r="D202" s="16">
        <f t="shared" si="29"/>
        <v>16476</v>
      </c>
      <c r="F202" s="1" t="s">
        <v>1166</v>
      </c>
      <c r="G202" s="16" t="s">
        <v>802</v>
      </c>
      <c r="H202" s="16" t="s">
        <v>1163</v>
      </c>
      <c r="I202" s="16">
        <v>1</v>
      </c>
    </row>
    <row r="203" spans="1:12">
      <c r="B203" s="16" t="str">
        <f t="shared" si="28"/>
        <v>0x405D</v>
      </c>
      <c r="D203" s="16">
        <f t="shared" si="29"/>
        <v>16477</v>
      </c>
      <c r="F203" s="1" t="s">
        <v>1167</v>
      </c>
      <c r="G203" s="16" t="s">
        <v>802</v>
      </c>
      <c r="H203" s="16" t="s">
        <v>1163</v>
      </c>
      <c r="I203" s="16">
        <v>1</v>
      </c>
    </row>
    <row r="204" spans="1:12">
      <c r="B204" s="16" t="str">
        <f t="shared" si="28"/>
        <v>0x405E</v>
      </c>
      <c r="D204" s="16">
        <f t="shared" si="29"/>
        <v>16478</v>
      </c>
      <c r="F204" s="1" t="s">
        <v>1168</v>
      </c>
      <c r="G204" s="16" t="s">
        <v>802</v>
      </c>
      <c r="H204" s="16" t="s">
        <v>1163</v>
      </c>
      <c r="I204" s="16">
        <v>1</v>
      </c>
    </row>
    <row r="205" spans="1:12">
      <c r="B205" s="16" t="str">
        <f t="shared" si="28"/>
        <v>0x405F</v>
      </c>
      <c r="D205" s="16">
        <f t="shared" si="29"/>
        <v>16479</v>
      </c>
      <c r="F205" s="1" t="s">
        <v>1169</v>
      </c>
      <c r="G205" s="16" t="s">
        <v>802</v>
      </c>
      <c r="H205" s="16" t="s">
        <v>1163</v>
      </c>
      <c r="I205" s="16">
        <v>1</v>
      </c>
    </row>
    <row r="206" spans="1:12">
      <c r="B206" s="16" t="str">
        <f t="shared" si="28"/>
        <v>0x4060</v>
      </c>
      <c r="D206" s="16">
        <f t="shared" si="29"/>
        <v>16480</v>
      </c>
      <c r="F206" s="1" t="s">
        <v>1170</v>
      </c>
      <c r="G206" s="16" t="s">
        <v>802</v>
      </c>
      <c r="H206" s="16" t="s">
        <v>1163</v>
      </c>
      <c r="I206" s="16">
        <v>1</v>
      </c>
    </row>
    <row r="207" spans="1:12">
      <c r="B207" s="16" t="str">
        <f t="shared" si="28"/>
        <v>0x4061</v>
      </c>
      <c r="D207" s="16">
        <f t="shared" si="29"/>
        <v>16481</v>
      </c>
      <c r="F207" s="1" t="s">
        <v>1171</v>
      </c>
      <c r="G207" s="16" t="s">
        <v>802</v>
      </c>
      <c r="H207" s="16" t="s">
        <v>1163</v>
      </c>
      <c r="I207" s="16">
        <v>1</v>
      </c>
    </row>
    <row r="208" spans="1:12">
      <c r="B208" s="16" t="str">
        <f t="shared" si="28"/>
        <v>0x4062</v>
      </c>
      <c r="C208" s="16" t="str">
        <f>"0x"&amp;DEC2HEX(E208,4)</f>
        <v>0x407F</v>
      </c>
      <c r="D208" s="16">
        <f t="shared" si="29"/>
        <v>16482</v>
      </c>
      <c r="E208" s="16">
        <f>D208+I208-1</f>
        <v>16511</v>
      </c>
      <c r="F208" s="1" t="s">
        <v>1172</v>
      </c>
      <c r="G208" s="16" t="s">
        <v>802</v>
      </c>
      <c r="H208" s="16" t="s">
        <v>1163</v>
      </c>
      <c r="I208" s="16">
        <v>30</v>
      </c>
    </row>
    <row r="209" spans="2:9">
      <c r="B209" s="16" t="str">
        <f t="shared" si="28"/>
        <v>0x4080</v>
      </c>
      <c r="D209" s="16">
        <f t="shared" si="29"/>
        <v>16512</v>
      </c>
      <c r="F209" s="1" t="s">
        <v>1173</v>
      </c>
      <c r="G209" s="16" t="s">
        <v>802</v>
      </c>
      <c r="H209" s="16" t="s">
        <v>1163</v>
      </c>
      <c r="I209" s="16">
        <v>1</v>
      </c>
    </row>
    <row r="210" spans="2:9">
      <c r="B210" s="16" t="str">
        <f t="shared" si="28"/>
        <v>0x4081</v>
      </c>
      <c r="D210" s="16">
        <f t="shared" si="29"/>
        <v>16513</v>
      </c>
      <c r="F210" s="1" t="s">
        <v>1174</v>
      </c>
      <c r="G210" s="16" t="s">
        <v>802</v>
      </c>
      <c r="H210" s="16" t="s">
        <v>1163</v>
      </c>
      <c r="I210" s="16">
        <v>1</v>
      </c>
    </row>
    <row r="211" spans="2:9">
      <c r="B211" s="16" t="str">
        <f t="shared" si="28"/>
        <v>0x4082</v>
      </c>
      <c r="D211" s="16">
        <f t="shared" si="29"/>
        <v>16514</v>
      </c>
      <c r="F211" s="16" t="s">
        <v>1175</v>
      </c>
      <c r="G211" s="16" t="s">
        <v>802</v>
      </c>
      <c r="H211" s="16" t="s">
        <v>1163</v>
      </c>
      <c r="I211" s="16">
        <v>1</v>
      </c>
    </row>
    <row r="212" spans="2:9">
      <c r="B212" s="16" t="str">
        <f t="shared" si="28"/>
        <v>0x4083</v>
      </c>
      <c r="D212" s="16">
        <f t="shared" si="29"/>
        <v>16515</v>
      </c>
      <c r="F212" s="16" t="s">
        <v>1176</v>
      </c>
      <c r="G212" s="16" t="s">
        <v>802</v>
      </c>
      <c r="H212" s="16" t="s">
        <v>1163</v>
      </c>
      <c r="I212" s="16">
        <v>1</v>
      </c>
    </row>
    <row r="213" spans="2:9">
      <c r="B213" s="16" t="str">
        <f t="shared" si="28"/>
        <v>0x4084</v>
      </c>
      <c r="C213" s="16" t="str">
        <f>"0x"&amp;DEC2HEX(E213,4)</f>
        <v>0x40A1</v>
      </c>
      <c r="D213" s="16">
        <f t="shared" si="29"/>
        <v>16516</v>
      </c>
      <c r="E213" s="16">
        <f>D213+I213-1</f>
        <v>16545</v>
      </c>
      <c r="F213" s="1" t="s">
        <v>1177</v>
      </c>
      <c r="G213" s="16" t="s">
        <v>802</v>
      </c>
      <c r="H213" s="16" t="s">
        <v>427</v>
      </c>
      <c r="I213" s="16">
        <v>30</v>
      </c>
    </row>
    <row r="214" spans="2:9">
      <c r="B214" s="16" t="str">
        <f t="shared" si="28"/>
        <v>0x40A2</v>
      </c>
      <c r="D214" s="16">
        <f t="shared" si="29"/>
        <v>16546</v>
      </c>
      <c r="F214" s="1" t="s">
        <v>1178</v>
      </c>
      <c r="G214" s="16" t="s">
        <v>802</v>
      </c>
      <c r="H214" s="16" t="s">
        <v>427</v>
      </c>
      <c r="I214" s="16">
        <v>1</v>
      </c>
    </row>
    <row r="215" spans="2:9">
      <c r="B215" s="16" t="str">
        <f t="shared" si="28"/>
        <v>0x40A3</v>
      </c>
      <c r="D215" s="16">
        <f t="shared" si="29"/>
        <v>16547</v>
      </c>
      <c r="F215" s="1" t="s">
        <v>1179</v>
      </c>
      <c r="G215" s="16" t="s">
        <v>802</v>
      </c>
      <c r="H215" s="16" t="s">
        <v>427</v>
      </c>
      <c r="I215" s="16">
        <v>1</v>
      </c>
    </row>
    <row r="216" spans="2:9">
      <c r="B216" s="16" t="str">
        <f t="shared" si="28"/>
        <v>0x40A4</v>
      </c>
      <c r="D216" s="16">
        <f t="shared" si="29"/>
        <v>16548</v>
      </c>
      <c r="F216" s="16" t="s">
        <v>1180</v>
      </c>
      <c r="G216" s="16" t="s">
        <v>802</v>
      </c>
      <c r="H216" s="16" t="s">
        <v>427</v>
      </c>
      <c r="I216" s="16">
        <v>1</v>
      </c>
    </row>
    <row r="217" spans="2:9">
      <c r="B217" s="16" t="str">
        <f t="shared" si="28"/>
        <v>0x40A5</v>
      </c>
      <c r="D217" s="16">
        <f t="shared" si="29"/>
        <v>16549</v>
      </c>
      <c r="F217" s="16" t="s">
        <v>1181</v>
      </c>
      <c r="G217" s="16" t="s">
        <v>802</v>
      </c>
      <c r="H217" s="16" t="s">
        <v>427</v>
      </c>
      <c r="I217" s="16">
        <v>1</v>
      </c>
    </row>
    <row r="218" spans="2:9">
      <c r="B218" s="16" t="str">
        <f t="shared" si="28"/>
        <v>0x40A6</v>
      </c>
      <c r="C218" s="16" t="str">
        <f>"0x"&amp;DEC2HEX(E218,4)</f>
        <v>0x40C3</v>
      </c>
      <c r="D218" s="16">
        <f t="shared" si="29"/>
        <v>16550</v>
      </c>
      <c r="E218" s="16">
        <f>D218+I218-1</f>
        <v>16579</v>
      </c>
      <c r="F218" s="1" t="s">
        <v>1182</v>
      </c>
      <c r="G218" s="16" t="s">
        <v>802</v>
      </c>
      <c r="H218" s="16" t="s">
        <v>427</v>
      </c>
      <c r="I218" s="16">
        <v>30</v>
      </c>
    </row>
    <row r="219" spans="2:9">
      <c r="B219" s="16" t="str">
        <f t="shared" si="28"/>
        <v>0x40C4</v>
      </c>
      <c r="D219" s="16">
        <f t="shared" si="29"/>
        <v>16580</v>
      </c>
      <c r="F219" s="1" t="s">
        <v>1183</v>
      </c>
      <c r="G219" s="16" t="s">
        <v>802</v>
      </c>
      <c r="H219" s="16" t="s">
        <v>427</v>
      </c>
      <c r="I219" s="16">
        <v>1</v>
      </c>
    </row>
    <row r="220" spans="2:9">
      <c r="B220" s="16" t="str">
        <f t="shared" si="28"/>
        <v>0x40C5</v>
      </c>
      <c r="D220" s="16">
        <f t="shared" si="29"/>
        <v>16581</v>
      </c>
      <c r="F220" s="1" t="s">
        <v>1184</v>
      </c>
      <c r="G220" s="16" t="s">
        <v>802</v>
      </c>
      <c r="H220" s="16" t="s">
        <v>427</v>
      </c>
      <c r="I220" s="16">
        <v>1</v>
      </c>
    </row>
    <row r="221" spans="2:9">
      <c r="B221" s="16" t="str">
        <f t="shared" si="28"/>
        <v>0x40C6</v>
      </c>
      <c r="D221" s="16">
        <f t="shared" si="29"/>
        <v>16582</v>
      </c>
      <c r="F221" s="16" t="s">
        <v>1185</v>
      </c>
      <c r="G221" s="16" t="s">
        <v>802</v>
      </c>
      <c r="H221" s="16" t="s">
        <v>427</v>
      </c>
      <c r="I221" s="16">
        <v>1</v>
      </c>
    </row>
    <row r="222" spans="2:9">
      <c r="B222" s="16" t="str">
        <f t="shared" si="28"/>
        <v>0x40C7</v>
      </c>
      <c r="D222" s="16">
        <f t="shared" si="29"/>
        <v>16583</v>
      </c>
      <c r="F222" s="16" t="s">
        <v>1186</v>
      </c>
      <c r="G222" s="16" t="s">
        <v>802</v>
      </c>
      <c r="H222" s="16" t="s">
        <v>427</v>
      </c>
      <c r="I222" s="16">
        <v>1</v>
      </c>
    </row>
    <row r="223" spans="2:9">
      <c r="B223" s="16" t="str">
        <f t="shared" si="28"/>
        <v>0x40C8</v>
      </c>
      <c r="C223" s="16" t="str">
        <f>"0x"&amp;DEC2HEX(E223,4)</f>
        <v>0x40E5</v>
      </c>
      <c r="D223" s="16">
        <f t="shared" si="29"/>
        <v>16584</v>
      </c>
      <c r="E223" s="16">
        <f>D223+I223-1</f>
        <v>16613</v>
      </c>
      <c r="F223" s="1" t="s">
        <v>1187</v>
      </c>
      <c r="G223" s="16" t="s">
        <v>802</v>
      </c>
      <c r="H223" s="16" t="s">
        <v>427</v>
      </c>
      <c r="I223" s="16">
        <v>30</v>
      </c>
    </row>
    <row r="224" spans="2:9">
      <c r="B224" s="16" t="str">
        <f t="shared" si="28"/>
        <v>0x40E6</v>
      </c>
      <c r="D224" s="16">
        <f t="shared" si="29"/>
        <v>16614</v>
      </c>
      <c r="F224" s="16" t="s">
        <v>1188</v>
      </c>
      <c r="G224" s="16" t="s">
        <v>802</v>
      </c>
      <c r="H224" s="16" t="s">
        <v>427</v>
      </c>
      <c r="I224" s="16">
        <v>1</v>
      </c>
    </row>
    <row r="225" spans="1:9">
      <c r="B225" s="16" t="str">
        <f t="shared" si="28"/>
        <v>0x40E7</v>
      </c>
      <c r="D225" s="16">
        <f t="shared" si="29"/>
        <v>16615</v>
      </c>
      <c r="F225" s="16" t="s">
        <v>1189</v>
      </c>
      <c r="G225" s="16" t="s">
        <v>802</v>
      </c>
      <c r="H225" s="16" t="s">
        <v>427</v>
      </c>
      <c r="I225" s="16">
        <v>1</v>
      </c>
    </row>
    <row r="226" spans="1:9">
      <c r="B226" s="16" t="str">
        <f t="shared" si="28"/>
        <v>0x40E8</v>
      </c>
      <c r="D226" s="16">
        <f t="shared" si="29"/>
        <v>16616</v>
      </c>
      <c r="F226" s="16" t="s">
        <v>1190</v>
      </c>
      <c r="G226" s="16" t="s">
        <v>802</v>
      </c>
      <c r="H226" s="16" t="s">
        <v>427</v>
      </c>
      <c r="I226" s="16">
        <v>1</v>
      </c>
    </row>
    <row r="227" spans="1:9">
      <c r="B227" s="16" t="str">
        <f t="shared" si="28"/>
        <v>0x40E9</v>
      </c>
      <c r="C227" s="16" t="str">
        <f>"0x"&amp;DEC2HEX(E227,4)</f>
        <v>0x4106</v>
      </c>
      <c r="D227" s="16">
        <f t="shared" si="29"/>
        <v>16617</v>
      </c>
      <c r="E227" s="16">
        <f>D227+I227-1</f>
        <v>16646</v>
      </c>
      <c r="F227" s="1" t="s">
        <v>1191</v>
      </c>
      <c r="G227" s="16" t="s">
        <v>802</v>
      </c>
      <c r="H227" s="16" t="s">
        <v>427</v>
      </c>
      <c r="I227" s="16">
        <v>30</v>
      </c>
    </row>
    <row r="228" spans="1:9">
      <c r="B228" s="16" t="str">
        <f t="shared" si="28"/>
        <v>0x4107</v>
      </c>
      <c r="D228" s="16">
        <f t="shared" si="29"/>
        <v>16647</v>
      </c>
      <c r="F228" s="16" t="s">
        <v>1192</v>
      </c>
      <c r="G228" s="16" t="s">
        <v>802</v>
      </c>
      <c r="H228" s="16" t="s">
        <v>427</v>
      </c>
      <c r="I228" s="16">
        <v>1</v>
      </c>
    </row>
    <row r="229" spans="1:9">
      <c r="B229" s="16" t="str">
        <f t="shared" si="28"/>
        <v>0x4108</v>
      </c>
      <c r="D229" s="16">
        <f t="shared" si="29"/>
        <v>16648</v>
      </c>
      <c r="F229" s="16" t="s">
        <v>1193</v>
      </c>
      <c r="G229" s="16" t="s">
        <v>802</v>
      </c>
      <c r="H229" s="16" t="s">
        <v>427</v>
      </c>
      <c r="I229" s="16">
        <v>1</v>
      </c>
    </row>
    <row r="230" spans="1:9">
      <c r="B230" s="16" t="str">
        <f t="shared" si="28"/>
        <v>0x4109</v>
      </c>
      <c r="D230" s="16">
        <f t="shared" si="29"/>
        <v>16649</v>
      </c>
      <c r="F230" s="16" t="s">
        <v>1194</v>
      </c>
      <c r="G230" s="16" t="s">
        <v>802</v>
      </c>
      <c r="H230" s="16" t="s">
        <v>427</v>
      </c>
      <c r="I230" s="16">
        <v>1</v>
      </c>
    </row>
    <row r="231" spans="1:9">
      <c r="B231" s="16" t="str">
        <f t="shared" si="28"/>
        <v>0x410A</v>
      </c>
      <c r="C231" s="16" t="str">
        <f>"0x"&amp;DEC2HEX(E231,4)</f>
        <v>0x4127</v>
      </c>
      <c r="D231" s="16">
        <f t="shared" si="29"/>
        <v>16650</v>
      </c>
      <c r="E231" s="16">
        <f>D231+I231-1</f>
        <v>16679</v>
      </c>
      <c r="F231" s="1" t="s">
        <v>1195</v>
      </c>
      <c r="G231" s="16" t="s">
        <v>802</v>
      </c>
      <c r="H231" s="16" t="s">
        <v>427</v>
      </c>
      <c r="I231" s="16">
        <v>30</v>
      </c>
    </row>
    <row r="232" spans="1:9">
      <c r="B232" s="16" t="str">
        <f t="shared" si="28"/>
        <v>0x4128</v>
      </c>
      <c r="D232" s="16">
        <f t="shared" si="29"/>
        <v>16680</v>
      </c>
      <c r="F232" s="16" t="s">
        <v>1196</v>
      </c>
      <c r="G232" s="16" t="s">
        <v>802</v>
      </c>
      <c r="H232" s="16" t="s">
        <v>427</v>
      </c>
      <c r="I232" s="16">
        <v>1</v>
      </c>
    </row>
    <row r="233" spans="1:9">
      <c r="B233" s="16" t="str">
        <f t="shared" si="28"/>
        <v>0x4129</v>
      </c>
      <c r="D233" s="16">
        <f t="shared" si="29"/>
        <v>16681</v>
      </c>
      <c r="F233" s="16" t="s">
        <v>1197</v>
      </c>
      <c r="G233" s="16" t="s">
        <v>802</v>
      </c>
      <c r="H233" s="16" t="s">
        <v>427</v>
      </c>
      <c r="I233" s="16">
        <v>1</v>
      </c>
    </row>
    <row r="234" spans="1:9">
      <c r="B234" s="16" t="str">
        <f t="shared" si="28"/>
        <v>0x412A</v>
      </c>
      <c r="D234" s="16">
        <f t="shared" si="29"/>
        <v>16682</v>
      </c>
      <c r="F234" s="16" t="s">
        <v>1198</v>
      </c>
      <c r="G234" s="16" t="s">
        <v>802</v>
      </c>
      <c r="H234" s="16" t="s">
        <v>427</v>
      </c>
      <c r="I234" s="16">
        <v>1</v>
      </c>
    </row>
    <row r="236" spans="1:9">
      <c r="A236" s="26" t="s">
        <v>166</v>
      </c>
    </row>
    <row r="237" spans="1:9">
      <c r="B237" s="16" t="str">
        <f t="shared" ref="B237:B248" si="30">"0x"&amp;DEC2HEX(D237,4)</f>
        <v>0x4294</v>
      </c>
      <c r="D237" s="16">
        <v>17044</v>
      </c>
      <c r="F237" s="1" t="s">
        <v>1199</v>
      </c>
      <c r="G237" s="16" t="s">
        <v>802</v>
      </c>
      <c r="H237" s="16" t="s">
        <v>427</v>
      </c>
      <c r="I237" s="16">
        <v>1</v>
      </c>
    </row>
    <row r="238" spans="1:9">
      <c r="B238" s="16" t="str">
        <f t="shared" si="30"/>
        <v>0x4295</v>
      </c>
      <c r="D238" s="16">
        <v>17045</v>
      </c>
      <c r="F238" s="1" t="s">
        <v>1200</v>
      </c>
      <c r="G238" s="16" t="s">
        <v>802</v>
      </c>
      <c r="H238" s="16" t="s">
        <v>427</v>
      </c>
      <c r="I238" s="16">
        <v>1</v>
      </c>
    </row>
    <row r="239" spans="1:9">
      <c r="B239" s="16" t="str">
        <f t="shared" si="30"/>
        <v>0x4296</v>
      </c>
      <c r="D239" s="16">
        <v>17046</v>
      </c>
      <c r="F239" s="1" t="s">
        <v>1201</v>
      </c>
      <c r="G239" s="16" t="s">
        <v>802</v>
      </c>
      <c r="H239" s="16" t="s">
        <v>427</v>
      </c>
      <c r="I239" s="16">
        <v>1</v>
      </c>
    </row>
    <row r="240" spans="1:9">
      <c r="B240" s="16" t="str">
        <f t="shared" si="30"/>
        <v>0x4297</v>
      </c>
      <c r="D240" s="16">
        <v>17047</v>
      </c>
      <c r="F240" s="1" t="s">
        <v>1202</v>
      </c>
      <c r="G240" s="16" t="s">
        <v>802</v>
      </c>
      <c r="H240" s="16" t="s">
        <v>427</v>
      </c>
      <c r="I240" s="16">
        <v>1</v>
      </c>
    </row>
    <row r="241" spans="1:9">
      <c r="B241" s="16" t="str">
        <f t="shared" si="30"/>
        <v>0x4298</v>
      </c>
      <c r="D241" s="16">
        <v>17048</v>
      </c>
      <c r="F241" s="1" t="s">
        <v>1203</v>
      </c>
      <c r="G241" s="16" t="s">
        <v>802</v>
      </c>
      <c r="H241" s="16" t="s">
        <v>427</v>
      </c>
      <c r="I241" s="16">
        <v>1</v>
      </c>
    </row>
    <row r="242" spans="1:9">
      <c r="B242" s="16" t="str">
        <f t="shared" si="30"/>
        <v>0x4299</v>
      </c>
      <c r="D242" s="16">
        <v>17049</v>
      </c>
      <c r="F242" s="1" t="s">
        <v>1204</v>
      </c>
      <c r="G242" s="16" t="s">
        <v>802</v>
      </c>
      <c r="H242" s="16" t="s">
        <v>427</v>
      </c>
      <c r="I242" s="16">
        <v>1</v>
      </c>
    </row>
    <row r="243" spans="1:9">
      <c r="B243" s="16" t="str">
        <f t="shared" si="30"/>
        <v>0x429A</v>
      </c>
      <c r="D243" s="16">
        <v>17050</v>
      </c>
      <c r="F243" s="1" t="s">
        <v>1205</v>
      </c>
      <c r="G243" s="16" t="s">
        <v>802</v>
      </c>
      <c r="H243" s="16" t="s">
        <v>427</v>
      </c>
      <c r="I243" s="16">
        <v>1</v>
      </c>
    </row>
    <row r="244" spans="1:9">
      <c r="B244" s="16" t="str">
        <f t="shared" si="30"/>
        <v>0x429B</v>
      </c>
      <c r="D244" s="16">
        <v>17051</v>
      </c>
      <c r="F244" s="1" t="s">
        <v>1206</v>
      </c>
      <c r="G244" s="16" t="s">
        <v>802</v>
      </c>
      <c r="H244" s="16" t="s">
        <v>427</v>
      </c>
      <c r="I244" s="16">
        <v>1</v>
      </c>
    </row>
    <row r="245" spans="1:9">
      <c r="B245" s="16" t="str">
        <f t="shared" si="30"/>
        <v>0x429C</v>
      </c>
      <c r="D245" s="16">
        <v>17052</v>
      </c>
      <c r="F245" s="1" t="s">
        <v>1207</v>
      </c>
      <c r="G245" s="16" t="s">
        <v>802</v>
      </c>
      <c r="H245" s="16" t="s">
        <v>427</v>
      </c>
      <c r="I245" s="16">
        <v>1</v>
      </c>
    </row>
    <row r="246" spans="1:9">
      <c r="B246" s="16" t="str">
        <f t="shared" si="30"/>
        <v>0x429D</v>
      </c>
      <c r="D246" s="16">
        <v>17053</v>
      </c>
      <c r="F246" s="1" t="s">
        <v>1208</v>
      </c>
      <c r="G246" s="16" t="s">
        <v>802</v>
      </c>
      <c r="H246" s="16" t="s">
        <v>427</v>
      </c>
      <c r="I246" s="16">
        <v>1</v>
      </c>
    </row>
    <row r="247" spans="1:9">
      <c r="B247" s="16" t="str">
        <f t="shared" si="30"/>
        <v>0x429E</v>
      </c>
      <c r="D247" s="16">
        <v>17054</v>
      </c>
      <c r="F247" s="1" t="s">
        <v>1209</v>
      </c>
      <c r="G247" s="16" t="s">
        <v>802</v>
      </c>
      <c r="H247" s="16" t="s">
        <v>427</v>
      </c>
      <c r="I247" s="16">
        <v>1</v>
      </c>
    </row>
    <row r="248" spans="1:9">
      <c r="B248" s="16" t="str">
        <f t="shared" si="30"/>
        <v>0x429F</v>
      </c>
      <c r="D248" s="16">
        <v>17055</v>
      </c>
      <c r="F248" s="1" t="s">
        <v>1210</v>
      </c>
      <c r="G248" s="16" t="s">
        <v>802</v>
      </c>
      <c r="H248" s="16" t="s">
        <v>427</v>
      </c>
      <c r="I248" s="16">
        <v>1</v>
      </c>
    </row>
    <row r="250" spans="1:9">
      <c r="A250" s="26" t="s">
        <v>170</v>
      </c>
    </row>
    <row r="251" spans="1:9">
      <c r="B251" s="16" t="str">
        <f>"0x"&amp;DEC2HEX(D251,4)</f>
        <v>0x42A0</v>
      </c>
      <c r="D251" s="16">
        <v>17056</v>
      </c>
      <c r="F251" s="1" t="s">
        <v>1211</v>
      </c>
      <c r="G251" s="16" t="s">
        <v>474</v>
      </c>
      <c r="H251" s="16" t="s">
        <v>427</v>
      </c>
      <c r="I251" s="16">
        <v>1</v>
      </c>
    </row>
    <row r="252" spans="1:9">
      <c r="B252" s="16" t="str">
        <f>"0x"&amp;DEC2HEX(D252,4)</f>
        <v>0x42A1</v>
      </c>
      <c r="D252" s="16">
        <v>17057</v>
      </c>
      <c r="F252" s="1" t="s">
        <v>1212</v>
      </c>
      <c r="G252" s="16" t="s">
        <v>474</v>
      </c>
      <c r="H252" s="16" t="s">
        <v>427</v>
      </c>
      <c r="I252" s="16">
        <v>1</v>
      </c>
    </row>
    <row r="253" spans="1:9">
      <c r="B253" s="16" t="str">
        <f>"0x"&amp;DEC2HEX(D253,4)</f>
        <v>0x42A2</v>
      </c>
      <c r="D253" s="16">
        <v>17058</v>
      </c>
      <c r="F253" s="1" t="s">
        <v>1213</v>
      </c>
      <c r="G253" s="16" t="s">
        <v>474</v>
      </c>
      <c r="H253" s="16" t="s">
        <v>427</v>
      </c>
      <c r="I253" s="16">
        <v>1</v>
      </c>
    </row>
    <row r="254" spans="1:9">
      <c r="B254" s="16" t="str">
        <f>"0x"&amp;DEC2HEX(D254,4)</f>
        <v>0x42A3</v>
      </c>
      <c r="D254" s="16">
        <v>17059</v>
      </c>
      <c r="F254" s="1" t="s">
        <v>1214</v>
      </c>
      <c r="G254" s="16" t="s">
        <v>474</v>
      </c>
      <c r="H254" s="16" t="s">
        <v>427</v>
      </c>
      <c r="I254" s="16">
        <v>1</v>
      </c>
    </row>
    <row r="255" spans="1:9">
      <c r="B255" s="16" t="str">
        <f>"0x"&amp;DEC2HEX(D255,4)</f>
        <v>0x42A4</v>
      </c>
      <c r="D255" s="16">
        <v>17060</v>
      </c>
      <c r="F255" s="1" t="s">
        <v>1215</v>
      </c>
      <c r="G255" s="16" t="s">
        <v>474</v>
      </c>
      <c r="H255" s="16" t="s">
        <v>427</v>
      </c>
      <c r="I255" s="16">
        <v>1</v>
      </c>
    </row>
    <row r="257" spans="1:9">
      <c r="A257" s="26" t="s">
        <v>1216</v>
      </c>
    </row>
    <row r="258" spans="1:9">
      <c r="B258" s="16" t="str">
        <f t="shared" ref="B258:C263" si="31">"0x"&amp;DEC2HEX(D258,4)</f>
        <v>0x4500</v>
      </c>
      <c r="C258" s="16" t="str">
        <f t="shared" si="31"/>
        <v>0x451F</v>
      </c>
      <c r="D258" s="16">
        <v>17664</v>
      </c>
      <c r="E258" s="16">
        <f t="shared" ref="E258:E263" si="32">D258+I258-1</f>
        <v>17695</v>
      </c>
      <c r="F258" s="1" t="s">
        <v>1217</v>
      </c>
      <c r="G258" s="16" t="s">
        <v>474</v>
      </c>
      <c r="H258" s="16" t="s">
        <v>427</v>
      </c>
      <c r="I258" s="16">
        <v>32</v>
      </c>
    </row>
    <row r="259" spans="1:9">
      <c r="B259" s="16" t="str">
        <f t="shared" si="31"/>
        <v>0x4520</v>
      </c>
      <c r="C259" s="16" t="str">
        <f t="shared" si="31"/>
        <v>0x453F</v>
      </c>
      <c r="D259" s="16">
        <f>D258+I258</f>
        <v>17696</v>
      </c>
      <c r="E259" s="16">
        <f t="shared" si="32"/>
        <v>17727</v>
      </c>
      <c r="F259" s="1" t="s">
        <v>1218</v>
      </c>
      <c r="G259" s="16" t="s">
        <v>474</v>
      </c>
      <c r="H259" s="16" t="s">
        <v>427</v>
      </c>
      <c r="I259" s="16">
        <v>32</v>
      </c>
    </row>
    <row r="260" spans="1:9">
      <c r="B260" s="16" t="str">
        <f t="shared" si="31"/>
        <v>0x4540</v>
      </c>
      <c r="C260" s="16" t="str">
        <f t="shared" si="31"/>
        <v>0x455F</v>
      </c>
      <c r="D260" s="16">
        <f>D259+I259</f>
        <v>17728</v>
      </c>
      <c r="E260" s="16">
        <f t="shared" si="32"/>
        <v>17759</v>
      </c>
      <c r="F260" s="1" t="s">
        <v>1219</v>
      </c>
      <c r="G260" s="16" t="s">
        <v>474</v>
      </c>
      <c r="H260" s="16" t="s">
        <v>427</v>
      </c>
      <c r="I260" s="16">
        <v>32</v>
      </c>
    </row>
    <row r="261" spans="1:9">
      <c r="B261" s="16" t="str">
        <f t="shared" si="31"/>
        <v>0x4560</v>
      </c>
      <c r="C261" s="16" t="str">
        <f t="shared" si="31"/>
        <v>0x457F</v>
      </c>
      <c r="D261" s="16">
        <f>D260+I260</f>
        <v>17760</v>
      </c>
      <c r="E261" s="16">
        <f t="shared" si="32"/>
        <v>17791</v>
      </c>
      <c r="F261" s="1" t="s">
        <v>1220</v>
      </c>
      <c r="G261" s="16" t="s">
        <v>474</v>
      </c>
      <c r="H261" s="16" t="s">
        <v>427</v>
      </c>
      <c r="I261" s="16">
        <v>32</v>
      </c>
    </row>
    <row r="262" spans="1:9">
      <c r="B262" s="16" t="str">
        <f t="shared" si="31"/>
        <v>0x4580</v>
      </c>
      <c r="C262" s="16" t="str">
        <f t="shared" si="31"/>
        <v>0x459F</v>
      </c>
      <c r="D262" s="16">
        <f>D261+I261</f>
        <v>17792</v>
      </c>
      <c r="E262" s="16">
        <f t="shared" si="32"/>
        <v>17823</v>
      </c>
      <c r="F262" s="1" t="s">
        <v>1221</v>
      </c>
      <c r="G262" s="16" t="s">
        <v>474</v>
      </c>
      <c r="H262" s="16" t="s">
        <v>427</v>
      </c>
      <c r="I262" s="16">
        <v>32</v>
      </c>
    </row>
    <row r="263" spans="1:9">
      <c r="B263" s="16" t="str">
        <f t="shared" si="31"/>
        <v>0x45A0</v>
      </c>
      <c r="C263" s="16" t="str">
        <f t="shared" si="31"/>
        <v>0x45BF</v>
      </c>
      <c r="D263" s="16">
        <f>D262+I262</f>
        <v>17824</v>
      </c>
      <c r="E263" s="16">
        <f t="shared" si="32"/>
        <v>17855</v>
      </c>
      <c r="F263" s="1" t="s">
        <v>1222</v>
      </c>
      <c r="G263" s="16" t="s">
        <v>474</v>
      </c>
      <c r="H263" s="16" t="s">
        <v>427</v>
      </c>
      <c r="I263" s="16">
        <v>32</v>
      </c>
    </row>
    <row r="264" spans="1:9">
      <c r="F264" s="1"/>
    </row>
    <row r="265" spans="1:9">
      <c r="A265" s="26" t="s">
        <v>1223</v>
      </c>
      <c r="F265" s="1"/>
    </row>
    <row r="266" spans="1:9">
      <c r="B266" s="16" t="str">
        <f>"0x"&amp;DEC2HEX(D266,4)</f>
        <v>0x45F0</v>
      </c>
      <c r="C266" s="16" t="str">
        <f>"0x"&amp;DEC2HEX(E266,4)</f>
        <v>0x45F1</v>
      </c>
      <c r="D266" s="16">
        <v>17904</v>
      </c>
      <c r="E266" s="16">
        <f>D266+I266-1</f>
        <v>17905</v>
      </c>
      <c r="F266" s="16" t="s">
        <v>191</v>
      </c>
      <c r="G266" s="16" t="s">
        <v>541</v>
      </c>
      <c r="H266" s="16" t="s">
        <v>427</v>
      </c>
      <c r="I266" s="16">
        <v>2</v>
      </c>
    </row>
    <row r="268" spans="1:9">
      <c r="A268" s="26" t="s">
        <v>1224</v>
      </c>
    </row>
    <row r="269" spans="1:9">
      <c r="B269" s="16" t="str">
        <f t="shared" ref="B269:C271" si="33">"0x"&amp;DEC2HEX(D269,4)</f>
        <v>0x4600</v>
      </c>
      <c r="C269" s="16" t="str">
        <f t="shared" si="33"/>
        <v>0x4601</v>
      </c>
      <c r="D269" s="16">
        <v>17920</v>
      </c>
      <c r="E269" s="16">
        <f>D269+I269-1</f>
        <v>17921</v>
      </c>
      <c r="F269" s="16" t="s">
        <v>1126</v>
      </c>
      <c r="G269" s="16" t="s">
        <v>541</v>
      </c>
      <c r="H269" s="16" t="s">
        <v>427</v>
      </c>
      <c r="I269" s="16">
        <v>2</v>
      </c>
    </row>
    <row r="270" spans="1:9">
      <c r="B270" s="16" t="str">
        <f t="shared" si="33"/>
        <v>0x4602</v>
      </c>
      <c r="C270" s="16" t="str">
        <f t="shared" si="33"/>
        <v>0x4603</v>
      </c>
      <c r="D270" s="16">
        <f>D269+I269</f>
        <v>17922</v>
      </c>
      <c r="E270" s="16">
        <f>D270+I270-1</f>
        <v>17923</v>
      </c>
      <c r="F270" s="16" t="s">
        <v>1127</v>
      </c>
      <c r="G270" s="16" t="s">
        <v>541</v>
      </c>
      <c r="H270" s="16" t="s">
        <v>427</v>
      </c>
      <c r="I270" s="16">
        <v>2</v>
      </c>
    </row>
    <row r="271" spans="1:9">
      <c r="B271" s="16" t="str">
        <f t="shared" si="33"/>
        <v>0x4604</v>
      </c>
      <c r="C271" s="16" t="str">
        <f t="shared" si="33"/>
        <v>0x4605</v>
      </c>
      <c r="D271" s="16">
        <f>D270+I270</f>
        <v>17924</v>
      </c>
      <c r="E271" s="16">
        <f>D271+I271-1</f>
        <v>17925</v>
      </c>
      <c r="F271" s="16" t="s">
        <v>1128</v>
      </c>
      <c r="G271" s="16" t="s">
        <v>541</v>
      </c>
      <c r="H271" s="16" t="s">
        <v>427</v>
      </c>
      <c r="I271" s="16">
        <v>2</v>
      </c>
    </row>
    <row r="274" spans="1:9">
      <c r="A274" s="26" t="s">
        <v>1225</v>
      </c>
    </row>
    <row r="275" spans="1:9">
      <c r="B275" s="16" t="str">
        <f t="shared" ref="B275:B289" si="34">"0x"&amp;DEC2HEX(D275,4)</f>
        <v>0x4620</v>
      </c>
      <c r="C275" s="16" t="str">
        <f t="shared" ref="C275:C289" si="35">"0x"&amp;DEC2HEX(E275,4)</f>
        <v>0x4621</v>
      </c>
      <c r="D275" s="16">
        <v>17952</v>
      </c>
      <c r="E275" s="16">
        <f t="shared" ref="E275:E289" si="36">D275+I275-1</f>
        <v>17953</v>
      </c>
      <c r="F275" s="16" t="s">
        <v>1226</v>
      </c>
      <c r="G275" s="16" t="s">
        <v>1151</v>
      </c>
      <c r="H275" s="16" t="s">
        <v>471</v>
      </c>
      <c r="I275" s="16">
        <v>2</v>
      </c>
    </row>
    <row r="276" spans="1:9">
      <c r="B276" s="16" t="str">
        <f t="shared" si="34"/>
        <v>0x4622</v>
      </c>
      <c r="C276" s="16" t="str">
        <f t="shared" si="35"/>
        <v>0x4623</v>
      </c>
      <c r="D276" s="16">
        <f t="shared" ref="D276:D289" si="37">D275+I275</f>
        <v>17954</v>
      </c>
      <c r="E276" s="16">
        <f t="shared" si="36"/>
        <v>17955</v>
      </c>
      <c r="F276" s="16" t="s">
        <v>1227</v>
      </c>
      <c r="G276" s="16" t="s">
        <v>1151</v>
      </c>
      <c r="H276" s="16" t="s">
        <v>471</v>
      </c>
      <c r="I276" s="16">
        <v>2</v>
      </c>
    </row>
    <row r="277" spans="1:9">
      <c r="B277" s="16" t="str">
        <f t="shared" si="34"/>
        <v>0x4624</v>
      </c>
      <c r="C277" s="16" t="str">
        <f t="shared" si="35"/>
        <v>0x4625</v>
      </c>
      <c r="D277" s="16">
        <f t="shared" si="37"/>
        <v>17956</v>
      </c>
      <c r="E277" s="16">
        <f t="shared" si="36"/>
        <v>17957</v>
      </c>
      <c r="F277" s="16" t="s">
        <v>1228</v>
      </c>
      <c r="G277" s="16" t="s">
        <v>1151</v>
      </c>
      <c r="H277" s="16" t="s">
        <v>471</v>
      </c>
      <c r="I277" s="16">
        <v>2</v>
      </c>
    </row>
    <row r="278" spans="1:9">
      <c r="B278" s="16" t="str">
        <f t="shared" si="34"/>
        <v>0x4626</v>
      </c>
      <c r="C278" s="16" t="str">
        <f t="shared" si="35"/>
        <v>0x4627</v>
      </c>
      <c r="D278" s="16">
        <f t="shared" si="37"/>
        <v>17958</v>
      </c>
      <c r="E278" s="16">
        <f t="shared" si="36"/>
        <v>17959</v>
      </c>
      <c r="F278" s="16" t="s">
        <v>1229</v>
      </c>
      <c r="G278" s="16" t="s">
        <v>1151</v>
      </c>
      <c r="H278" s="16" t="s">
        <v>471</v>
      </c>
      <c r="I278" s="16">
        <v>2</v>
      </c>
    </row>
    <row r="279" spans="1:9">
      <c r="B279" s="16" t="str">
        <f t="shared" si="34"/>
        <v>0x4628</v>
      </c>
      <c r="C279" s="16" t="str">
        <f t="shared" si="35"/>
        <v>0x4629</v>
      </c>
      <c r="D279" s="16">
        <f t="shared" si="37"/>
        <v>17960</v>
      </c>
      <c r="E279" s="16">
        <f t="shared" si="36"/>
        <v>17961</v>
      </c>
      <c r="F279" s="16" t="s">
        <v>1230</v>
      </c>
      <c r="G279" s="16" t="s">
        <v>1151</v>
      </c>
      <c r="H279" s="16" t="s">
        <v>471</v>
      </c>
      <c r="I279" s="16">
        <v>2</v>
      </c>
    </row>
    <row r="280" spans="1:9">
      <c r="B280" s="16" t="str">
        <f t="shared" si="34"/>
        <v>0x462A</v>
      </c>
      <c r="C280" s="16" t="str">
        <f t="shared" si="35"/>
        <v>0x462B</v>
      </c>
      <c r="D280" s="16">
        <f t="shared" si="37"/>
        <v>17962</v>
      </c>
      <c r="E280" s="16">
        <f t="shared" si="36"/>
        <v>17963</v>
      </c>
      <c r="F280" s="16" t="s">
        <v>1231</v>
      </c>
      <c r="G280" s="16" t="s">
        <v>1151</v>
      </c>
      <c r="H280" s="16" t="s">
        <v>471</v>
      </c>
      <c r="I280" s="16">
        <v>2</v>
      </c>
    </row>
    <row r="281" spans="1:9">
      <c r="B281" s="16" t="str">
        <f t="shared" si="34"/>
        <v>0x462C</v>
      </c>
      <c r="C281" s="16" t="str">
        <f t="shared" si="35"/>
        <v>0x462D</v>
      </c>
      <c r="D281" s="16">
        <f t="shared" si="37"/>
        <v>17964</v>
      </c>
      <c r="E281" s="16">
        <f t="shared" si="36"/>
        <v>17965</v>
      </c>
      <c r="F281" s="16" t="s">
        <v>1232</v>
      </c>
      <c r="G281" s="16" t="s">
        <v>1151</v>
      </c>
      <c r="H281" s="16" t="s">
        <v>471</v>
      </c>
      <c r="I281" s="16">
        <v>2</v>
      </c>
    </row>
    <row r="282" spans="1:9">
      <c r="B282" s="16" t="str">
        <f t="shared" si="34"/>
        <v>0x462E</v>
      </c>
      <c r="C282" s="16" t="str">
        <f t="shared" si="35"/>
        <v>0x462F</v>
      </c>
      <c r="D282" s="16">
        <f t="shared" si="37"/>
        <v>17966</v>
      </c>
      <c r="E282" s="16">
        <f t="shared" si="36"/>
        <v>17967</v>
      </c>
      <c r="F282" s="16" t="s">
        <v>1233</v>
      </c>
      <c r="G282" s="16" t="s">
        <v>1151</v>
      </c>
      <c r="H282" s="16" t="s">
        <v>471</v>
      </c>
      <c r="I282" s="16">
        <v>2</v>
      </c>
    </row>
    <row r="283" spans="1:9">
      <c r="B283" s="16" t="str">
        <f t="shared" si="34"/>
        <v>0x4630</v>
      </c>
      <c r="C283" s="16" t="str">
        <f t="shared" si="35"/>
        <v>0x4631</v>
      </c>
      <c r="D283" s="16">
        <f t="shared" si="37"/>
        <v>17968</v>
      </c>
      <c r="E283" s="16">
        <f t="shared" si="36"/>
        <v>17969</v>
      </c>
      <c r="F283" s="16" t="s">
        <v>1234</v>
      </c>
      <c r="G283" s="16" t="s">
        <v>1151</v>
      </c>
      <c r="H283" s="16" t="s">
        <v>471</v>
      </c>
      <c r="I283" s="16">
        <v>2</v>
      </c>
    </row>
    <row r="284" spans="1:9">
      <c r="B284" s="16" t="str">
        <f t="shared" si="34"/>
        <v>0x4632</v>
      </c>
      <c r="C284" s="16" t="str">
        <f t="shared" si="35"/>
        <v>0x4633</v>
      </c>
      <c r="D284" s="16">
        <f t="shared" si="37"/>
        <v>17970</v>
      </c>
      <c r="E284" s="16">
        <f t="shared" si="36"/>
        <v>17971</v>
      </c>
      <c r="F284" s="16" t="s">
        <v>1235</v>
      </c>
      <c r="G284" s="16" t="s">
        <v>1151</v>
      </c>
      <c r="H284" s="16" t="s">
        <v>471</v>
      </c>
      <c r="I284" s="16">
        <v>2</v>
      </c>
    </row>
    <row r="285" spans="1:9">
      <c r="B285" s="16" t="str">
        <f t="shared" si="34"/>
        <v>0x4634</v>
      </c>
      <c r="C285" s="16" t="str">
        <f t="shared" si="35"/>
        <v>0x4635</v>
      </c>
      <c r="D285" s="16">
        <f t="shared" si="37"/>
        <v>17972</v>
      </c>
      <c r="E285" s="16">
        <f t="shared" si="36"/>
        <v>17973</v>
      </c>
      <c r="F285" s="16" t="s">
        <v>1236</v>
      </c>
      <c r="G285" s="16" t="s">
        <v>1151</v>
      </c>
      <c r="H285" s="16" t="s">
        <v>471</v>
      </c>
      <c r="I285" s="16">
        <v>2</v>
      </c>
    </row>
    <row r="286" spans="1:9">
      <c r="B286" s="16" t="str">
        <f t="shared" si="34"/>
        <v>0x4636</v>
      </c>
      <c r="C286" s="16" t="str">
        <f t="shared" si="35"/>
        <v>0x4637</v>
      </c>
      <c r="D286" s="16">
        <f t="shared" si="37"/>
        <v>17974</v>
      </c>
      <c r="E286" s="16">
        <f t="shared" si="36"/>
        <v>17975</v>
      </c>
      <c r="F286" s="16" t="s">
        <v>1237</v>
      </c>
      <c r="G286" s="16" t="s">
        <v>1151</v>
      </c>
      <c r="H286" s="16" t="s">
        <v>471</v>
      </c>
      <c r="I286" s="16">
        <v>2</v>
      </c>
    </row>
    <row r="287" spans="1:9">
      <c r="B287" s="16" t="str">
        <f t="shared" si="34"/>
        <v>0x4638</v>
      </c>
      <c r="C287" s="16" t="str">
        <f t="shared" si="35"/>
        <v>0x4639</v>
      </c>
      <c r="D287" s="16">
        <f t="shared" si="37"/>
        <v>17976</v>
      </c>
      <c r="E287" s="16">
        <f t="shared" si="36"/>
        <v>17977</v>
      </c>
      <c r="F287" s="16" t="s">
        <v>1238</v>
      </c>
      <c r="G287" s="16" t="s">
        <v>1151</v>
      </c>
      <c r="H287" s="16" t="s">
        <v>471</v>
      </c>
      <c r="I287" s="16">
        <v>2</v>
      </c>
    </row>
    <row r="288" spans="1:9">
      <c r="B288" s="16" t="str">
        <f t="shared" si="34"/>
        <v>0x463A</v>
      </c>
      <c r="C288" s="16" t="str">
        <f t="shared" si="35"/>
        <v>0x463B</v>
      </c>
      <c r="D288" s="16">
        <f t="shared" si="37"/>
        <v>17978</v>
      </c>
      <c r="E288" s="16">
        <f t="shared" si="36"/>
        <v>17979</v>
      </c>
      <c r="F288" s="16" t="s">
        <v>1239</v>
      </c>
      <c r="G288" s="16" t="s">
        <v>1151</v>
      </c>
      <c r="H288" s="16" t="s">
        <v>471</v>
      </c>
      <c r="I288" s="16">
        <v>2</v>
      </c>
    </row>
    <row r="289" spans="1:11">
      <c r="B289" s="16" t="str">
        <f t="shared" si="34"/>
        <v>0x463C</v>
      </c>
      <c r="C289" s="16" t="str">
        <f t="shared" si="35"/>
        <v>0x463D</v>
      </c>
      <c r="D289" s="16">
        <f t="shared" si="37"/>
        <v>17980</v>
      </c>
      <c r="E289" s="16">
        <f t="shared" si="36"/>
        <v>17981</v>
      </c>
      <c r="F289" s="16" t="s">
        <v>1240</v>
      </c>
      <c r="G289" s="16" t="s">
        <v>1151</v>
      </c>
      <c r="H289" s="16" t="s">
        <v>471</v>
      </c>
      <c r="I289" s="16">
        <v>2</v>
      </c>
    </row>
    <row r="290" spans="1:11">
      <c r="A290" s="26" t="s">
        <v>1241</v>
      </c>
    </row>
    <row r="291" spans="1:11" ht="318.75">
      <c r="B291" s="16" t="str">
        <f t="shared" ref="B291:C297" si="38">"0x"&amp;DEC2HEX(D291,4)</f>
        <v>0x463E</v>
      </c>
      <c r="C291" s="16" t="str">
        <f t="shared" si="38"/>
        <v>0x466D</v>
      </c>
      <c r="D291" s="16">
        <v>17982</v>
      </c>
      <c r="E291" s="16">
        <f t="shared" ref="E291:E297" si="39">D291+I291-1</f>
        <v>18029</v>
      </c>
      <c r="F291" s="1" t="s">
        <v>1242</v>
      </c>
      <c r="G291" s="16" t="s">
        <v>1151</v>
      </c>
      <c r="H291" s="16" t="s">
        <v>471</v>
      </c>
      <c r="I291" s="16">
        <v>48</v>
      </c>
      <c r="K291" s="16" t="s">
        <v>1243</v>
      </c>
    </row>
    <row r="292" spans="1:11">
      <c r="B292" s="16" t="str">
        <f t="shared" si="38"/>
        <v>0x466E</v>
      </c>
      <c r="C292" s="16" t="str">
        <f t="shared" si="38"/>
        <v>0x469D</v>
      </c>
      <c r="D292" s="16">
        <f t="shared" ref="D292:D297" si="40">E291+1</f>
        <v>18030</v>
      </c>
      <c r="E292" s="16">
        <f t="shared" si="39"/>
        <v>18077</v>
      </c>
      <c r="F292" s="1" t="s">
        <v>1244</v>
      </c>
      <c r="G292" s="16" t="s">
        <v>1151</v>
      </c>
      <c r="H292" s="16" t="s">
        <v>471</v>
      </c>
      <c r="I292" s="16">
        <v>48</v>
      </c>
      <c r="K292" s="16" t="s">
        <v>1243</v>
      </c>
    </row>
    <row r="293" spans="1:11">
      <c r="B293" s="16" t="str">
        <f t="shared" si="38"/>
        <v>0x469E</v>
      </c>
      <c r="C293" s="16" t="str">
        <f t="shared" si="38"/>
        <v>0x46CD</v>
      </c>
      <c r="D293" s="16">
        <f t="shared" si="40"/>
        <v>18078</v>
      </c>
      <c r="E293" s="16">
        <f t="shared" si="39"/>
        <v>18125</v>
      </c>
      <c r="F293" s="1" t="s">
        <v>1245</v>
      </c>
      <c r="G293" s="16" t="s">
        <v>1151</v>
      </c>
      <c r="H293" s="16" t="s">
        <v>471</v>
      </c>
      <c r="I293" s="16">
        <v>48</v>
      </c>
      <c r="K293" s="16" t="s">
        <v>1243</v>
      </c>
    </row>
    <row r="294" spans="1:11">
      <c r="B294" s="16" t="str">
        <f t="shared" si="38"/>
        <v>0x46CE</v>
      </c>
      <c r="C294" s="16" t="str">
        <f t="shared" si="38"/>
        <v>0x46FD</v>
      </c>
      <c r="D294" s="16">
        <f t="shared" si="40"/>
        <v>18126</v>
      </c>
      <c r="E294" s="16">
        <f t="shared" si="39"/>
        <v>18173</v>
      </c>
      <c r="F294" s="1" t="s">
        <v>1246</v>
      </c>
      <c r="G294" s="16" t="s">
        <v>1151</v>
      </c>
      <c r="H294" s="16" t="s">
        <v>471</v>
      </c>
      <c r="I294" s="16">
        <v>48</v>
      </c>
      <c r="K294" s="16" t="s">
        <v>1243</v>
      </c>
    </row>
    <row r="295" spans="1:11">
      <c r="B295" s="16" t="str">
        <f t="shared" si="38"/>
        <v>0x46FE</v>
      </c>
      <c r="C295" s="16" t="str">
        <f t="shared" si="38"/>
        <v>0x472D</v>
      </c>
      <c r="D295" s="16">
        <f t="shared" si="40"/>
        <v>18174</v>
      </c>
      <c r="E295" s="16">
        <f t="shared" si="39"/>
        <v>18221</v>
      </c>
      <c r="F295" s="1" t="s">
        <v>1247</v>
      </c>
      <c r="G295" s="16" t="s">
        <v>1151</v>
      </c>
      <c r="H295" s="16" t="s">
        <v>471</v>
      </c>
      <c r="I295" s="16">
        <v>48</v>
      </c>
      <c r="K295" s="16" t="s">
        <v>1243</v>
      </c>
    </row>
    <row r="296" spans="1:11">
      <c r="B296" s="16" t="str">
        <f t="shared" si="38"/>
        <v>0x472E</v>
      </c>
      <c r="C296" s="16" t="str">
        <f t="shared" si="38"/>
        <v>0x475D</v>
      </c>
      <c r="D296" s="16">
        <f t="shared" si="40"/>
        <v>18222</v>
      </c>
      <c r="E296" s="16">
        <f t="shared" si="39"/>
        <v>18269</v>
      </c>
      <c r="F296" s="1" t="s">
        <v>1248</v>
      </c>
      <c r="G296" s="16" t="s">
        <v>1151</v>
      </c>
      <c r="H296" s="16" t="s">
        <v>471</v>
      </c>
      <c r="I296" s="16">
        <v>48</v>
      </c>
      <c r="K296" s="16" t="s">
        <v>1243</v>
      </c>
    </row>
    <row r="297" spans="1:11">
      <c r="B297" s="16" t="str">
        <f t="shared" si="38"/>
        <v>0x475E</v>
      </c>
      <c r="C297" s="16" t="str">
        <f t="shared" si="38"/>
        <v>0x478D</v>
      </c>
      <c r="D297" s="16">
        <f t="shared" si="40"/>
        <v>18270</v>
      </c>
      <c r="E297" s="16">
        <f t="shared" si="39"/>
        <v>18317</v>
      </c>
      <c r="F297" s="1" t="s">
        <v>1249</v>
      </c>
      <c r="G297" s="16" t="s">
        <v>1151</v>
      </c>
      <c r="H297" s="16" t="s">
        <v>471</v>
      </c>
      <c r="I297" s="16">
        <v>48</v>
      </c>
      <c r="K297" s="16" t="s">
        <v>1243</v>
      </c>
    </row>
    <row r="301" spans="1:11" s="21" customFormat="1">
      <c r="A301" s="49"/>
      <c r="B301" s="21" t="str">
        <f t="shared" ref="B301:C306" si="41">"0x"&amp;DEC2HEX(D301,4)</f>
        <v>0x4700</v>
      </c>
      <c r="C301" s="21" t="str">
        <f t="shared" si="41"/>
        <v>0x473F</v>
      </c>
      <c r="D301" s="21">
        <v>18176</v>
      </c>
      <c r="E301" s="21">
        <f t="shared" ref="E301:E306" si="42">D301+I301-1</f>
        <v>18239</v>
      </c>
      <c r="F301" s="22" t="s">
        <v>1250</v>
      </c>
      <c r="G301" s="21" t="s">
        <v>474</v>
      </c>
      <c r="H301" s="21" t="s">
        <v>430</v>
      </c>
      <c r="I301" s="21">
        <v>64</v>
      </c>
    </row>
    <row r="302" spans="1:11" s="21" customFormat="1">
      <c r="A302" s="49"/>
      <c r="B302" s="21" t="str">
        <f t="shared" si="41"/>
        <v>0x4740</v>
      </c>
      <c r="C302" s="21" t="str">
        <f t="shared" si="41"/>
        <v>0x477F</v>
      </c>
      <c r="D302" s="21">
        <f>D301+I301</f>
        <v>18240</v>
      </c>
      <c r="E302" s="21">
        <f t="shared" si="42"/>
        <v>18303</v>
      </c>
      <c r="F302" s="22" t="s">
        <v>1251</v>
      </c>
      <c r="G302" s="21" t="s">
        <v>474</v>
      </c>
      <c r="H302" s="21" t="s">
        <v>430</v>
      </c>
      <c r="I302" s="21">
        <v>64</v>
      </c>
    </row>
    <row r="303" spans="1:11" s="21" customFormat="1">
      <c r="A303" s="49"/>
      <c r="B303" s="21" t="str">
        <f t="shared" si="41"/>
        <v>0x4780</v>
      </c>
      <c r="C303" s="21" t="str">
        <f t="shared" si="41"/>
        <v>0x47BF</v>
      </c>
      <c r="D303" s="21">
        <f>D302+I302</f>
        <v>18304</v>
      </c>
      <c r="E303" s="21">
        <f t="shared" si="42"/>
        <v>18367</v>
      </c>
      <c r="F303" s="22" t="s">
        <v>1252</v>
      </c>
      <c r="G303" s="21" t="s">
        <v>474</v>
      </c>
      <c r="H303" s="21" t="s">
        <v>430</v>
      </c>
      <c r="I303" s="21">
        <v>64</v>
      </c>
    </row>
    <row r="304" spans="1:11" s="21" customFormat="1">
      <c r="A304" s="49"/>
      <c r="B304" s="21" t="str">
        <f t="shared" si="41"/>
        <v>0x47C0</v>
      </c>
      <c r="C304" s="21" t="str">
        <f t="shared" si="41"/>
        <v>0x47FF</v>
      </c>
      <c r="D304" s="21">
        <f>D303+I303</f>
        <v>18368</v>
      </c>
      <c r="E304" s="21">
        <f t="shared" si="42"/>
        <v>18431</v>
      </c>
      <c r="F304" s="22" t="s">
        <v>1253</v>
      </c>
      <c r="G304" s="21" t="s">
        <v>474</v>
      </c>
      <c r="H304" s="21" t="s">
        <v>430</v>
      </c>
      <c r="I304" s="21">
        <v>64</v>
      </c>
    </row>
    <row r="305" spans="1:9" s="21" customFormat="1">
      <c r="A305" s="49"/>
      <c r="B305" s="21" t="str">
        <f t="shared" si="41"/>
        <v>0x4800</v>
      </c>
      <c r="C305" s="21" t="str">
        <f t="shared" si="41"/>
        <v>0x483F</v>
      </c>
      <c r="D305" s="21">
        <f>D304+I304</f>
        <v>18432</v>
      </c>
      <c r="E305" s="21">
        <f t="shared" si="42"/>
        <v>18495</v>
      </c>
      <c r="F305" s="22" t="s">
        <v>1254</v>
      </c>
      <c r="G305" s="21" t="s">
        <v>474</v>
      </c>
      <c r="H305" s="21" t="s">
        <v>430</v>
      </c>
      <c r="I305" s="21">
        <v>64</v>
      </c>
    </row>
    <row r="306" spans="1:9" s="21" customFormat="1">
      <c r="A306" s="49"/>
      <c r="B306" s="21" t="str">
        <f t="shared" si="41"/>
        <v>0x4840</v>
      </c>
      <c r="C306" s="21" t="str">
        <f t="shared" si="41"/>
        <v>0x487F</v>
      </c>
      <c r="D306" s="21">
        <f>D305+I305</f>
        <v>18496</v>
      </c>
      <c r="E306" s="21">
        <f t="shared" si="42"/>
        <v>18559</v>
      </c>
      <c r="F306" s="22" t="s">
        <v>1255</v>
      </c>
      <c r="G306" s="21" t="s">
        <v>474</v>
      </c>
      <c r="H306" s="21" t="s">
        <v>430</v>
      </c>
      <c r="I306" s="21">
        <v>64</v>
      </c>
    </row>
    <row r="308" spans="1:9" s="21" customFormat="1">
      <c r="A308" s="49"/>
      <c r="B308" s="21" t="str">
        <f t="shared" ref="B308:C313" si="43">"0x"&amp;DEC2HEX(D308,4)</f>
        <v>0x48F0</v>
      </c>
      <c r="C308" s="21" t="str">
        <f t="shared" si="43"/>
        <v>0x48F1</v>
      </c>
      <c r="D308" s="21">
        <v>18672</v>
      </c>
      <c r="E308" s="21">
        <f t="shared" ref="E308:E313" si="44">D308+I308-1</f>
        <v>18673</v>
      </c>
      <c r="F308" s="21" t="s">
        <v>1256</v>
      </c>
      <c r="G308" s="21" t="s">
        <v>541</v>
      </c>
      <c r="H308" s="21" t="s">
        <v>427</v>
      </c>
      <c r="I308" s="21">
        <v>2</v>
      </c>
    </row>
    <row r="309" spans="1:9" s="21" customFormat="1">
      <c r="A309" s="49"/>
      <c r="B309" s="21" t="str">
        <f t="shared" si="43"/>
        <v>0x48F2</v>
      </c>
      <c r="C309" s="21" t="str">
        <f t="shared" si="43"/>
        <v>0x48F3</v>
      </c>
      <c r="D309" s="21">
        <f>D308+I308</f>
        <v>18674</v>
      </c>
      <c r="E309" s="21">
        <f t="shared" si="44"/>
        <v>18675</v>
      </c>
      <c r="F309" s="21" t="s">
        <v>1257</v>
      </c>
      <c r="G309" s="21" t="s">
        <v>541</v>
      </c>
      <c r="H309" s="21" t="s">
        <v>427</v>
      </c>
      <c r="I309" s="21">
        <v>2</v>
      </c>
    </row>
    <row r="310" spans="1:9" s="21" customFormat="1">
      <c r="A310" s="49"/>
      <c r="B310" s="21" t="str">
        <f t="shared" si="43"/>
        <v>0x48F4</v>
      </c>
      <c r="C310" s="21" t="str">
        <f t="shared" si="43"/>
        <v>0x48F5</v>
      </c>
      <c r="D310" s="21">
        <f>D309+I309</f>
        <v>18676</v>
      </c>
      <c r="E310" s="21">
        <f t="shared" si="44"/>
        <v>18677</v>
      </c>
      <c r="F310" s="21" t="s">
        <v>1258</v>
      </c>
      <c r="G310" s="21" t="s">
        <v>541</v>
      </c>
      <c r="H310" s="21" t="s">
        <v>427</v>
      </c>
      <c r="I310" s="21">
        <v>2</v>
      </c>
    </row>
    <row r="311" spans="1:9" s="21" customFormat="1">
      <c r="A311" s="49"/>
      <c r="B311" s="21" t="str">
        <f t="shared" si="43"/>
        <v>0x48F6</v>
      </c>
      <c r="C311" s="21" t="str">
        <f t="shared" si="43"/>
        <v>0x48F7</v>
      </c>
      <c r="D311" s="21">
        <f>D310+I310</f>
        <v>18678</v>
      </c>
      <c r="E311" s="21">
        <f t="shared" si="44"/>
        <v>18679</v>
      </c>
      <c r="F311" s="21" t="s">
        <v>1259</v>
      </c>
      <c r="G311" s="21" t="s">
        <v>541</v>
      </c>
      <c r="H311" s="21" t="s">
        <v>427</v>
      </c>
      <c r="I311" s="21">
        <v>2</v>
      </c>
    </row>
    <row r="312" spans="1:9" s="21" customFormat="1">
      <c r="A312" s="49"/>
      <c r="B312" s="21" t="str">
        <f t="shared" si="43"/>
        <v>0x48F8</v>
      </c>
      <c r="C312" s="21" t="str">
        <f t="shared" si="43"/>
        <v>0x48F9</v>
      </c>
      <c r="D312" s="21">
        <f>D311+I311</f>
        <v>18680</v>
      </c>
      <c r="E312" s="21">
        <f t="shared" si="44"/>
        <v>18681</v>
      </c>
      <c r="F312" s="21" t="s">
        <v>1260</v>
      </c>
      <c r="G312" s="21" t="s">
        <v>541</v>
      </c>
      <c r="H312" s="21" t="s">
        <v>427</v>
      </c>
      <c r="I312" s="21">
        <v>2</v>
      </c>
    </row>
    <row r="313" spans="1:9" s="21" customFormat="1">
      <c r="A313" s="49"/>
      <c r="B313" s="21" t="str">
        <f t="shared" si="43"/>
        <v>0x48FA</v>
      </c>
      <c r="C313" s="21" t="str">
        <f t="shared" si="43"/>
        <v>0x48FB</v>
      </c>
      <c r="D313" s="21">
        <f>D312+I312</f>
        <v>18682</v>
      </c>
      <c r="E313" s="21">
        <f t="shared" si="44"/>
        <v>18683</v>
      </c>
      <c r="F313" s="21" t="s">
        <v>1261</v>
      </c>
      <c r="G313" s="21" t="s">
        <v>541</v>
      </c>
      <c r="H313" s="21" t="s">
        <v>427</v>
      </c>
      <c r="I313" s="21">
        <v>2</v>
      </c>
    </row>
    <row r="314" spans="1:9" ht="17.25" customHeight="1"/>
    <row r="315" spans="1:9">
      <c r="A315" s="26" t="s">
        <v>1262</v>
      </c>
    </row>
    <row r="316" spans="1:9">
      <c r="B316" s="16" t="str">
        <f t="shared" ref="B316:C323" si="45">"0x"&amp;DEC2HEX(D316,4)</f>
        <v>0x4900</v>
      </c>
      <c r="C316" s="16" t="str">
        <f t="shared" si="45"/>
        <v>0x4901</v>
      </c>
      <c r="D316" s="16">
        <v>18688</v>
      </c>
      <c r="E316" s="16">
        <f t="shared" ref="E316:E323" si="46">D316+I316-1</f>
        <v>18689</v>
      </c>
      <c r="F316" s="1" t="s">
        <v>1263</v>
      </c>
      <c r="G316" s="28" t="s">
        <v>1151</v>
      </c>
      <c r="H316" s="28" t="s">
        <v>527</v>
      </c>
      <c r="I316" s="28">
        <v>2</v>
      </c>
    </row>
    <row r="317" spans="1:9">
      <c r="B317" s="16" t="str">
        <f t="shared" si="45"/>
        <v>0x4902</v>
      </c>
      <c r="C317" s="16" t="str">
        <f t="shared" si="45"/>
        <v>0x4903</v>
      </c>
      <c r="D317" s="16">
        <f t="shared" ref="D317:D323" si="47">D316+I316</f>
        <v>18690</v>
      </c>
      <c r="E317" s="16">
        <f t="shared" si="46"/>
        <v>18691</v>
      </c>
      <c r="F317" s="1" t="s">
        <v>1264</v>
      </c>
      <c r="G317" s="28" t="s">
        <v>1151</v>
      </c>
      <c r="H317" s="28" t="s">
        <v>527</v>
      </c>
      <c r="I317" s="28">
        <v>2</v>
      </c>
    </row>
    <row r="318" spans="1:9">
      <c r="B318" s="16" t="str">
        <f t="shared" si="45"/>
        <v>0x4904</v>
      </c>
      <c r="C318" s="16" t="str">
        <f t="shared" si="45"/>
        <v>0x4905</v>
      </c>
      <c r="D318" s="16">
        <f t="shared" si="47"/>
        <v>18692</v>
      </c>
      <c r="E318" s="16">
        <f t="shared" si="46"/>
        <v>18693</v>
      </c>
      <c r="F318" s="1" t="s">
        <v>1265</v>
      </c>
      <c r="G318" s="28" t="s">
        <v>1151</v>
      </c>
      <c r="H318" s="28" t="s">
        <v>527</v>
      </c>
      <c r="I318" s="28">
        <v>2</v>
      </c>
    </row>
    <row r="319" spans="1:9">
      <c r="B319" s="16" t="str">
        <f t="shared" si="45"/>
        <v>0x4906</v>
      </c>
      <c r="C319" s="16" t="str">
        <f t="shared" si="45"/>
        <v>0x4907</v>
      </c>
      <c r="D319" s="16">
        <f t="shared" si="47"/>
        <v>18694</v>
      </c>
      <c r="E319" s="16">
        <f t="shared" si="46"/>
        <v>18695</v>
      </c>
      <c r="F319" s="1" t="s">
        <v>1266</v>
      </c>
      <c r="G319" s="28" t="s">
        <v>1151</v>
      </c>
      <c r="H319" s="28" t="s">
        <v>527</v>
      </c>
      <c r="I319" s="28">
        <v>2</v>
      </c>
    </row>
    <row r="320" spans="1:9">
      <c r="B320" s="16" t="str">
        <f t="shared" si="45"/>
        <v>0x4908</v>
      </c>
      <c r="C320" s="16" t="str">
        <f t="shared" si="45"/>
        <v>0x4909</v>
      </c>
      <c r="D320" s="16">
        <f t="shared" si="47"/>
        <v>18696</v>
      </c>
      <c r="E320" s="16">
        <f t="shared" si="46"/>
        <v>18697</v>
      </c>
      <c r="F320" s="1" t="s">
        <v>1267</v>
      </c>
      <c r="G320" s="28" t="s">
        <v>1151</v>
      </c>
      <c r="H320" s="28" t="s">
        <v>527</v>
      </c>
      <c r="I320" s="28">
        <v>2</v>
      </c>
    </row>
    <row r="321" spans="1:9">
      <c r="B321" s="16" t="str">
        <f t="shared" si="45"/>
        <v>0x490A</v>
      </c>
      <c r="C321" s="16" t="str">
        <f t="shared" si="45"/>
        <v>0x490B</v>
      </c>
      <c r="D321" s="16">
        <f t="shared" si="47"/>
        <v>18698</v>
      </c>
      <c r="E321" s="16">
        <f t="shared" si="46"/>
        <v>18699</v>
      </c>
      <c r="F321" s="1" t="s">
        <v>1268</v>
      </c>
      <c r="G321" s="28" t="s">
        <v>1151</v>
      </c>
      <c r="H321" s="28" t="s">
        <v>527</v>
      </c>
      <c r="I321" s="28">
        <v>2</v>
      </c>
    </row>
    <row r="322" spans="1:9">
      <c r="B322" s="16" t="str">
        <f t="shared" si="45"/>
        <v>0x490C</v>
      </c>
      <c r="C322" s="16" t="str">
        <f t="shared" si="45"/>
        <v>0x490D</v>
      </c>
      <c r="D322" s="16">
        <f t="shared" si="47"/>
        <v>18700</v>
      </c>
      <c r="E322" s="16">
        <f t="shared" si="46"/>
        <v>18701</v>
      </c>
      <c r="F322" s="1" t="s">
        <v>1269</v>
      </c>
      <c r="G322" s="28" t="s">
        <v>1151</v>
      </c>
      <c r="H322" s="28" t="s">
        <v>527</v>
      </c>
      <c r="I322" s="28">
        <v>2</v>
      </c>
    </row>
    <row r="323" spans="1:9">
      <c r="B323" s="16" t="str">
        <f t="shared" si="45"/>
        <v>0x490E</v>
      </c>
      <c r="C323" s="16" t="str">
        <f t="shared" si="45"/>
        <v>0x490F</v>
      </c>
      <c r="D323" s="16">
        <f t="shared" si="47"/>
        <v>18702</v>
      </c>
      <c r="E323" s="16">
        <f t="shared" si="46"/>
        <v>18703</v>
      </c>
      <c r="F323" s="1" t="s">
        <v>1270</v>
      </c>
      <c r="G323" s="28" t="s">
        <v>1151</v>
      </c>
      <c r="H323" s="28" t="s">
        <v>527</v>
      </c>
      <c r="I323" s="28">
        <v>2</v>
      </c>
    </row>
    <row r="325" spans="1:9">
      <c r="A325" s="26" t="s">
        <v>210</v>
      </c>
    </row>
    <row r="326" spans="1:9">
      <c r="B326" s="16" t="str">
        <f t="shared" ref="B326:B341" si="48">"0x"&amp;DEC2HEX(D326,4)</f>
        <v>0x4910</v>
      </c>
      <c r="C326" s="16" t="str">
        <f t="shared" ref="C326:C341" si="49">"0x"&amp;DEC2HEX(E326,4)</f>
        <v>0x4911</v>
      </c>
      <c r="D326" s="16">
        <f>D323+I323</f>
        <v>18704</v>
      </c>
      <c r="E326" s="16">
        <f t="shared" ref="E326:E341" si="50">D326+I326-1</f>
        <v>18705</v>
      </c>
      <c r="F326" s="1" t="s">
        <v>1271</v>
      </c>
      <c r="G326" s="16" t="s">
        <v>1151</v>
      </c>
      <c r="H326" s="16" t="s">
        <v>527</v>
      </c>
      <c r="I326" s="16">
        <v>2</v>
      </c>
    </row>
    <row r="327" spans="1:9">
      <c r="B327" s="16" t="str">
        <f t="shared" si="48"/>
        <v>0x4912</v>
      </c>
      <c r="C327" s="16" t="str">
        <f t="shared" si="49"/>
        <v>0x4913</v>
      </c>
      <c r="D327" s="16">
        <f t="shared" ref="D327:D341" si="51">D326+I326</f>
        <v>18706</v>
      </c>
      <c r="E327" s="16">
        <f t="shared" si="50"/>
        <v>18707</v>
      </c>
      <c r="F327" s="1" t="s">
        <v>1272</v>
      </c>
      <c r="G327" s="16" t="s">
        <v>1151</v>
      </c>
      <c r="H327" s="16" t="s">
        <v>527</v>
      </c>
      <c r="I327" s="16">
        <v>2</v>
      </c>
    </row>
    <row r="328" spans="1:9">
      <c r="B328" s="16" t="str">
        <f t="shared" si="48"/>
        <v>0x4914</v>
      </c>
      <c r="C328" s="16" t="str">
        <f t="shared" si="49"/>
        <v>0x4915</v>
      </c>
      <c r="D328" s="16">
        <f t="shared" si="51"/>
        <v>18708</v>
      </c>
      <c r="E328" s="16">
        <f t="shared" si="50"/>
        <v>18709</v>
      </c>
      <c r="F328" s="1" t="s">
        <v>1273</v>
      </c>
      <c r="G328" s="16" t="s">
        <v>1151</v>
      </c>
      <c r="H328" s="16" t="s">
        <v>527</v>
      </c>
      <c r="I328" s="16">
        <v>2</v>
      </c>
    </row>
    <row r="329" spans="1:9">
      <c r="B329" s="16" t="str">
        <f t="shared" si="48"/>
        <v>0x4916</v>
      </c>
      <c r="C329" s="16" t="str">
        <f t="shared" si="49"/>
        <v>0x4917</v>
      </c>
      <c r="D329" s="16">
        <f t="shared" si="51"/>
        <v>18710</v>
      </c>
      <c r="E329" s="16">
        <f t="shared" si="50"/>
        <v>18711</v>
      </c>
      <c r="F329" s="1" t="s">
        <v>1274</v>
      </c>
      <c r="G329" s="16" t="s">
        <v>1151</v>
      </c>
      <c r="H329" s="16" t="s">
        <v>527</v>
      </c>
      <c r="I329" s="16">
        <v>2</v>
      </c>
    </row>
    <row r="330" spans="1:9">
      <c r="B330" s="16" t="str">
        <f t="shared" si="48"/>
        <v>0x4918</v>
      </c>
      <c r="C330" s="16" t="str">
        <f t="shared" si="49"/>
        <v>0x4919</v>
      </c>
      <c r="D330" s="16">
        <f t="shared" si="51"/>
        <v>18712</v>
      </c>
      <c r="E330" s="16">
        <f t="shared" si="50"/>
        <v>18713</v>
      </c>
      <c r="F330" s="1" t="s">
        <v>1275</v>
      </c>
      <c r="G330" s="16" t="s">
        <v>1151</v>
      </c>
      <c r="H330" s="16" t="s">
        <v>527</v>
      </c>
      <c r="I330" s="16">
        <v>2</v>
      </c>
    </row>
    <row r="331" spans="1:9">
      <c r="B331" s="16" t="str">
        <f t="shared" si="48"/>
        <v>0x491A</v>
      </c>
      <c r="C331" s="16" t="str">
        <f t="shared" si="49"/>
        <v>0x491B</v>
      </c>
      <c r="D331" s="16">
        <f t="shared" si="51"/>
        <v>18714</v>
      </c>
      <c r="E331" s="16">
        <f t="shared" si="50"/>
        <v>18715</v>
      </c>
      <c r="F331" s="1" t="s">
        <v>1276</v>
      </c>
      <c r="G331" s="16" t="s">
        <v>1151</v>
      </c>
      <c r="H331" s="16" t="s">
        <v>527</v>
      </c>
      <c r="I331" s="16">
        <v>2</v>
      </c>
    </row>
    <row r="332" spans="1:9">
      <c r="B332" s="16" t="str">
        <f t="shared" si="48"/>
        <v>0x491C</v>
      </c>
      <c r="C332" s="16" t="str">
        <f t="shared" si="49"/>
        <v>0x491D</v>
      </c>
      <c r="D332" s="16">
        <f t="shared" si="51"/>
        <v>18716</v>
      </c>
      <c r="E332" s="16">
        <f t="shared" si="50"/>
        <v>18717</v>
      </c>
      <c r="F332" s="1" t="s">
        <v>1277</v>
      </c>
      <c r="G332" s="16" t="s">
        <v>1151</v>
      </c>
      <c r="H332" s="16" t="s">
        <v>527</v>
      </c>
      <c r="I332" s="16">
        <v>2</v>
      </c>
    </row>
    <row r="333" spans="1:9">
      <c r="B333" s="16" t="str">
        <f t="shared" si="48"/>
        <v>0x491E</v>
      </c>
      <c r="C333" s="16" t="str">
        <f t="shared" si="49"/>
        <v>0x491F</v>
      </c>
      <c r="D333" s="16">
        <f t="shared" si="51"/>
        <v>18718</v>
      </c>
      <c r="E333" s="16">
        <f t="shared" si="50"/>
        <v>18719</v>
      </c>
      <c r="F333" s="1" t="s">
        <v>1278</v>
      </c>
      <c r="G333" s="16" t="s">
        <v>1151</v>
      </c>
      <c r="H333" s="16" t="s">
        <v>527</v>
      </c>
      <c r="I333" s="16">
        <v>2</v>
      </c>
    </row>
    <row r="334" spans="1:9">
      <c r="B334" s="16" t="str">
        <f t="shared" si="48"/>
        <v>0x4920</v>
      </c>
      <c r="C334" s="16" t="str">
        <f t="shared" si="49"/>
        <v>0x4921</v>
      </c>
      <c r="D334" s="16">
        <f t="shared" si="51"/>
        <v>18720</v>
      </c>
      <c r="E334" s="16">
        <f t="shared" si="50"/>
        <v>18721</v>
      </c>
      <c r="F334" s="1" t="s">
        <v>1279</v>
      </c>
      <c r="G334" s="16" t="s">
        <v>1151</v>
      </c>
      <c r="H334" s="16" t="s">
        <v>527</v>
      </c>
      <c r="I334" s="16">
        <v>2</v>
      </c>
    </row>
    <row r="335" spans="1:9">
      <c r="B335" s="16" t="str">
        <f t="shared" si="48"/>
        <v>0x4922</v>
      </c>
      <c r="C335" s="16" t="str">
        <f t="shared" si="49"/>
        <v>0x4923</v>
      </c>
      <c r="D335" s="16">
        <f t="shared" si="51"/>
        <v>18722</v>
      </c>
      <c r="E335" s="16">
        <f t="shared" si="50"/>
        <v>18723</v>
      </c>
      <c r="F335" s="1" t="s">
        <v>1280</v>
      </c>
      <c r="G335" s="16" t="s">
        <v>1151</v>
      </c>
      <c r="H335" s="16" t="s">
        <v>527</v>
      </c>
      <c r="I335" s="16">
        <v>2</v>
      </c>
    </row>
    <row r="336" spans="1:9">
      <c r="B336" s="16" t="str">
        <f t="shared" si="48"/>
        <v>0x4924</v>
      </c>
      <c r="C336" s="16" t="str">
        <f t="shared" si="49"/>
        <v>0x4925</v>
      </c>
      <c r="D336" s="16">
        <f t="shared" si="51"/>
        <v>18724</v>
      </c>
      <c r="E336" s="16">
        <f t="shared" si="50"/>
        <v>18725</v>
      </c>
      <c r="F336" s="1" t="s">
        <v>1281</v>
      </c>
      <c r="G336" s="16" t="s">
        <v>1151</v>
      </c>
      <c r="H336" s="16" t="s">
        <v>527</v>
      </c>
      <c r="I336" s="16">
        <v>2</v>
      </c>
    </row>
    <row r="337" spans="1:9">
      <c r="B337" s="16" t="str">
        <f t="shared" si="48"/>
        <v>0x4926</v>
      </c>
      <c r="C337" s="16" t="str">
        <f t="shared" si="49"/>
        <v>0x4927</v>
      </c>
      <c r="D337" s="16">
        <f t="shared" si="51"/>
        <v>18726</v>
      </c>
      <c r="E337" s="16">
        <f t="shared" si="50"/>
        <v>18727</v>
      </c>
      <c r="F337" s="1" t="s">
        <v>1282</v>
      </c>
      <c r="G337" s="16" t="s">
        <v>1151</v>
      </c>
      <c r="H337" s="16" t="s">
        <v>527</v>
      </c>
      <c r="I337" s="16">
        <v>2</v>
      </c>
    </row>
    <row r="338" spans="1:9">
      <c r="B338" s="16" t="str">
        <f t="shared" si="48"/>
        <v>0x4928</v>
      </c>
      <c r="C338" s="16" t="str">
        <f t="shared" si="49"/>
        <v>0x4929</v>
      </c>
      <c r="D338" s="16">
        <f t="shared" si="51"/>
        <v>18728</v>
      </c>
      <c r="E338" s="16">
        <f t="shared" si="50"/>
        <v>18729</v>
      </c>
      <c r="F338" s="1" t="s">
        <v>1283</v>
      </c>
      <c r="G338" s="16" t="s">
        <v>1151</v>
      </c>
      <c r="H338" s="16" t="s">
        <v>527</v>
      </c>
      <c r="I338" s="16">
        <v>2</v>
      </c>
    </row>
    <row r="339" spans="1:9">
      <c r="B339" s="16" t="str">
        <f t="shared" si="48"/>
        <v>0x492A</v>
      </c>
      <c r="C339" s="16" t="str">
        <f t="shared" si="49"/>
        <v>0x492B</v>
      </c>
      <c r="D339" s="16">
        <f t="shared" si="51"/>
        <v>18730</v>
      </c>
      <c r="E339" s="16">
        <f t="shared" si="50"/>
        <v>18731</v>
      </c>
      <c r="F339" s="1" t="s">
        <v>1284</v>
      </c>
      <c r="G339" s="16" t="s">
        <v>1151</v>
      </c>
      <c r="H339" s="16" t="s">
        <v>527</v>
      </c>
      <c r="I339" s="16">
        <v>2</v>
      </c>
    </row>
    <row r="340" spans="1:9">
      <c r="B340" s="16" t="str">
        <f t="shared" si="48"/>
        <v>0x492C</v>
      </c>
      <c r="C340" s="16" t="str">
        <f t="shared" si="49"/>
        <v>0x492D</v>
      </c>
      <c r="D340" s="16">
        <f t="shared" si="51"/>
        <v>18732</v>
      </c>
      <c r="E340" s="16">
        <f t="shared" si="50"/>
        <v>18733</v>
      </c>
      <c r="F340" s="1" t="s">
        <v>1285</v>
      </c>
      <c r="G340" s="16" t="s">
        <v>1151</v>
      </c>
      <c r="H340" s="16" t="s">
        <v>527</v>
      </c>
      <c r="I340" s="16">
        <v>2</v>
      </c>
    </row>
    <row r="341" spans="1:9">
      <c r="B341" s="16" t="str">
        <f t="shared" si="48"/>
        <v>0x492E</v>
      </c>
      <c r="C341" s="16" t="str">
        <f t="shared" si="49"/>
        <v>0x492F</v>
      </c>
      <c r="D341" s="16">
        <f t="shared" si="51"/>
        <v>18734</v>
      </c>
      <c r="E341" s="16">
        <f t="shared" si="50"/>
        <v>18735</v>
      </c>
      <c r="F341" s="1" t="s">
        <v>1286</v>
      </c>
      <c r="G341" s="16" t="s">
        <v>1151</v>
      </c>
      <c r="H341" s="16" t="s">
        <v>527</v>
      </c>
      <c r="I341" s="16">
        <v>2</v>
      </c>
    </row>
    <row r="342" spans="1:9">
      <c r="F342" s="1"/>
    </row>
    <row r="343" spans="1:9">
      <c r="A343" s="72" t="s">
        <v>3226</v>
      </c>
      <c r="F343" s="1"/>
    </row>
    <row r="344" spans="1:9" s="3" customFormat="1">
      <c r="A344" s="97" t="s">
        <v>3227</v>
      </c>
      <c r="B344" s="3" t="str">
        <f t="shared" ref="B344" si="52">"0x"&amp;DEC2HEX(D344,4)</f>
        <v>0x493D</v>
      </c>
      <c r="C344" s="3" t="str">
        <f t="shared" ref="C344" si="53">"0x"&amp;DEC2HEX(E344,4)</f>
        <v>0x493E</v>
      </c>
      <c r="D344" s="3">
        <v>18749</v>
      </c>
      <c r="E344" s="3">
        <f t="shared" ref="E344:E345" si="54">D344+I344-1</f>
        <v>18750</v>
      </c>
      <c r="F344" s="4" t="s">
        <v>3099</v>
      </c>
      <c r="G344" s="3" t="s">
        <v>541</v>
      </c>
      <c r="H344" s="3" t="s">
        <v>427</v>
      </c>
      <c r="I344" s="3">
        <v>2</v>
      </c>
    </row>
    <row r="345" spans="1:9" s="3" customFormat="1">
      <c r="A345" s="97"/>
      <c r="B345" s="3" t="str">
        <f t="shared" ref="B345" si="55">"0x"&amp;DEC2HEX(D345,4)</f>
        <v>0x493F</v>
      </c>
      <c r="C345" s="3" t="str">
        <f t="shared" ref="C345" si="56">"0x"&amp;DEC2HEX(E345,4)</f>
        <v>0x4940</v>
      </c>
      <c r="D345" s="3">
        <f t="shared" ref="D345" si="57">D344+I344</f>
        <v>18751</v>
      </c>
      <c r="E345" s="3">
        <f t="shared" si="54"/>
        <v>18752</v>
      </c>
      <c r="F345" s="4" t="s">
        <v>3100</v>
      </c>
      <c r="G345" s="3" t="s">
        <v>541</v>
      </c>
      <c r="H345" s="3" t="s">
        <v>427</v>
      </c>
      <c r="I345" s="3">
        <v>2</v>
      </c>
    </row>
    <row r="346" spans="1:9" s="3" customFormat="1">
      <c r="A346" s="97"/>
      <c r="B346" s="3" t="str">
        <f t="shared" ref="B346:B349" si="58">"0x"&amp;DEC2HEX(D346,4)</f>
        <v>0x4941</v>
      </c>
      <c r="C346" s="3" t="str">
        <f t="shared" ref="C346:C349" si="59">"0x"&amp;DEC2HEX(E346,4)</f>
        <v>0x4942</v>
      </c>
      <c r="D346" s="3">
        <f t="shared" ref="D346:D349" si="60">D345+I345</f>
        <v>18753</v>
      </c>
      <c r="E346" s="3">
        <f t="shared" ref="E346:E349" si="61">D346+I346-1</f>
        <v>18754</v>
      </c>
      <c r="F346" s="4" t="s">
        <v>3101</v>
      </c>
      <c r="G346" s="3" t="s">
        <v>541</v>
      </c>
      <c r="H346" s="3" t="s">
        <v>427</v>
      </c>
      <c r="I346" s="3">
        <v>2</v>
      </c>
    </row>
    <row r="347" spans="1:9" s="3" customFormat="1">
      <c r="A347" s="97"/>
      <c r="B347" s="3" t="str">
        <f t="shared" si="58"/>
        <v>0x4943</v>
      </c>
      <c r="C347" s="3" t="str">
        <f t="shared" si="59"/>
        <v>0x4944</v>
      </c>
      <c r="D347" s="3">
        <f t="shared" si="60"/>
        <v>18755</v>
      </c>
      <c r="E347" s="3">
        <f t="shared" si="61"/>
        <v>18756</v>
      </c>
      <c r="F347" s="4" t="s">
        <v>3102</v>
      </c>
      <c r="G347" s="3" t="s">
        <v>541</v>
      </c>
      <c r="H347" s="3" t="s">
        <v>427</v>
      </c>
      <c r="I347" s="3">
        <v>2</v>
      </c>
    </row>
    <row r="348" spans="1:9" s="3" customFormat="1">
      <c r="A348" s="97"/>
      <c r="B348" s="3" t="str">
        <f t="shared" si="58"/>
        <v>0x4945</v>
      </c>
      <c r="C348" s="3" t="str">
        <f t="shared" si="59"/>
        <v>0x4946</v>
      </c>
      <c r="D348" s="3">
        <f t="shared" si="60"/>
        <v>18757</v>
      </c>
      <c r="E348" s="3">
        <f t="shared" si="61"/>
        <v>18758</v>
      </c>
      <c r="F348" s="4" t="s">
        <v>3103</v>
      </c>
      <c r="G348" s="3" t="s">
        <v>541</v>
      </c>
      <c r="H348" s="3" t="s">
        <v>427</v>
      </c>
      <c r="I348" s="3">
        <v>2</v>
      </c>
    </row>
    <row r="349" spans="1:9" s="3" customFormat="1">
      <c r="A349" s="72"/>
      <c r="B349" s="3" t="str">
        <f t="shared" si="58"/>
        <v>0x4947</v>
      </c>
      <c r="C349" s="3" t="str">
        <f t="shared" si="59"/>
        <v>0x4948</v>
      </c>
      <c r="D349" s="3">
        <f t="shared" si="60"/>
        <v>18759</v>
      </c>
      <c r="E349" s="3">
        <f t="shared" si="61"/>
        <v>18760</v>
      </c>
      <c r="F349" s="4" t="s">
        <v>3104</v>
      </c>
      <c r="G349" s="3" t="s">
        <v>541</v>
      </c>
      <c r="H349" s="3" t="s">
        <v>427</v>
      </c>
      <c r="I349" s="3">
        <v>2</v>
      </c>
    </row>
    <row r="350" spans="1:9" s="3" customFormat="1">
      <c r="A350" s="97"/>
      <c r="B350" s="3" t="str">
        <f t="shared" ref="B350:B352" si="62">"0x"&amp;DEC2HEX(D350,4)</f>
        <v>0x4949</v>
      </c>
      <c r="C350" s="3" t="str">
        <f t="shared" ref="C350:C352" si="63">"0x"&amp;DEC2HEX(E350,4)</f>
        <v>0x494A</v>
      </c>
      <c r="D350" s="3">
        <f t="shared" ref="D350:D352" si="64">D349+I349</f>
        <v>18761</v>
      </c>
      <c r="E350" s="3">
        <f t="shared" ref="E350:E352" si="65">D350+I350-1</f>
        <v>18762</v>
      </c>
      <c r="F350" s="4" t="s">
        <v>3107</v>
      </c>
      <c r="G350" s="3" t="s">
        <v>541</v>
      </c>
      <c r="H350" s="3" t="s">
        <v>427</v>
      </c>
      <c r="I350" s="3">
        <v>2</v>
      </c>
    </row>
    <row r="351" spans="1:9" s="3" customFormat="1">
      <c r="A351" s="97"/>
      <c r="B351" s="3" t="str">
        <f t="shared" si="62"/>
        <v>0x494B</v>
      </c>
      <c r="C351" s="3" t="str">
        <f t="shared" si="63"/>
        <v>0x494C</v>
      </c>
      <c r="D351" s="3">
        <f t="shared" si="64"/>
        <v>18763</v>
      </c>
      <c r="E351" s="3">
        <f t="shared" si="65"/>
        <v>18764</v>
      </c>
      <c r="F351" s="4" t="s">
        <v>3108</v>
      </c>
      <c r="G351" s="3" t="s">
        <v>541</v>
      </c>
      <c r="H351" s="3" t="s">
        <v>427</v>
      </c>
      <c r="I351" s="3">
        <v>2</v>
      </c>
    </row>
    <row r="352" spans="1:9" s="3" customFormat="1">
      <c r="A352" s="72"/>
      <c r="B352" s="3" t="str">
        <f t="shared" si="62"/>
        <v>0x494D</v>
      </c>
      <c r="C352" s="3" t="str">
        <f t="shared" si="63"/>
        <v>0x494E</v>
      </c>
      <c r="D352" s="3">
        <f t="shared" si="64"/>
        <v>18765</v>
      </c>
      <c r="E352" s="3">
        <f t="shared" si="65"/>
        <v>18766</v>
      </c>
      <c r="F352" s="4" t="s">
        <v>3109</v>
      </c>
      <c r="G352" s="3" t="s">
        <v>541</v>
      </c>
      <c r="H352" s="3" t="s">
        <v>427</v>
      </c>
      <c r="I352" s="3">
        <v>2</v>
      </c>
    </row>
    <row r="353" spans="1:17" s="3" customFormat="1">
      <c r="A353" s="97"/>
      <c r="B353" s="3" t="str">
        <f t="shared" ref="B353:B355" si="66">"0x"&amp;DEC2HEX(D353,4)</f>
        <v>0x494F</v>
      </c>
      <c r="C353" s="3" t="str">
        <f t="shared" ref="C353:C355" si="67">"0x"&amp;DEC2HEX(E353,4)</f>
        <v>0x4950</v>
      </c>
      <c r="D353" s="3">
        <f t="shared" ref="D353:D355" si="68">D352+I352</f>
        <v>18767</v>
      </c>
      <c r="E353" s="3">
        <f t="shared" ref="E353:E355" si="69">D353+I353-1</f>
        <v>18768</v>
      </c>
      <c r="F353" s="4" t="s">
        <v>3110</v>
      </c>
      <c r="G353" s="3" t="s">
        <v>541</v>
      </c>
      <c r="H353" s="3" t="s">
        <v>427</v>
      </c>
      <c r="I353" s="3">
        <v>2</v>
      </c>
    </row>
    <row r="354" spans="1:17" s="3" customFormat="1">
      <c r="A354" s="97"/>
      <c r="B354" s="3" t="str">
        <f t="shared" si="66"/>
        <v>0x4951</v>
      </c>
      <c r="C354" s="3" t="str">
        <f t="shared" si="67"/>
        <v>0x4952</v>
      </c>
      <c r="D354" s="3">
        <f t="shared" si="68"/>
        <v>18769</v>
      </c>
      <c r="E354" s="3">
        <f t="shared" si="69"/>
        <v>18770</v>
      </c>
      <c r="F354" s="4" t="s">
        <v>3112</v>
      </c>
      <c r="G354" s="3" t="s">
        <v>541</v>
      </c>
      <c r="H354" s="3" t="s">
        <v>427</v>
      </c>
      <c r="I354" s="3">
        <v>2</v>
      </c>
    </row>
    <row r="355" spans="1:17" s="3" customFormat="1">
      <c r="A355" s="72"/>
      <c r="B355" s="3" t="str">
        <f t="shared" si="66"/>
        <v>0x4953</v>
      </c>
      <c r="C355" s="3" t="str">
        <f t="shared" si="67"/>
        <v>0x4954</v>
      </c>
      <c r="D355" s="3">
        <f t="shared" si="68"/>
        <v>18771</v>
      </c>
      <c r="E355" s="3">
        <f t="shared" si="69"/>
        <v>18772</v>
      </c>
      <c r="F355" s="4" t="s">
        <v>3113</v>
      </c>
      <c r="G355" s="3" t="s">
        <v>541</v>
      </c>
      <c r="H355" s="3" t="s">
        <v>427</v>
      </c>
      <c r="I355" s="3">
        <v>2</v>
      </c>
    </row>
    <row r="356" spans="1:17" s="3" customFormat="1">
      <c r="A356" s="97"/>
      <c r="B356" s="3" t="str">
        <f t="shared" ref="B356:B358" si="70">"0x"&amp;DEC2HEX(D356,4)</f>
        <v>0x4955</v>
      </c>
      <c r="C356" s="3" t="str">
        <f t="shared" ref="C356:C358" si="71">"0x"&amp;DEC2HEX(E356,4)</f>
        <v>0x4956</v>
      </c>
      <c r="D356" s="3">
        <f t="shared" ref="D356:D358" si="72">D355+I355</f>
        <v>18773</v>
      </c>
      <c r="E356" s="3">
        <f t="shared" ref="E356:E358" si="73">D356+I356-1</f>
        <v>18774</v>
      </c>
      <c r="F356" s="4" t="s">
        <v>3114</v>
      </c>
      <c r="G356" s="3" t="s">
        <v>541</v>
      </c>
      <c r="H356" s="3" t="s">
        <v>427</v>
      </c>
      <c r="I356" s="3">
        <v>2</v>
      </c>
    </row>
    <row r="357" spans="1:17" s="3" customFormat="1">
      <c r="A357" s="97"/>
      <c r="B357" s="3" t="str">
        <f t="shared" si="70"/>
        <v>0x4957</v>
      </c>
      <c r="C357" s="3" t="str">
        <f t="shared" si="71"/>
        <v>0x4958</v>
      </c>
      <c r="D357" s="3">
        <f t="shared" si="72"/>
        <v>18775</v>
      </c>
      <c r="E357" s="3">
        <f t="shared" si="73"/>
        <v>18776</v>
      </c>
      <c r="F357" s="4" t="s">
        <v>3115</v>
      </c>
      <c r="G357" s="3" t="s">
        <v>541</v>
      </c>
      <c r="H357" s="3" t="s">
        <v>427</v>
      </c>
      <c r="I357" s="3">
        <v>2</v>
      </c>
    </row>
    <row r="358" spans="1:17" s="3" customFormat="1">
      <c r="A358" s="72"/>
      <c r="B358" s="3" t="str">
        <f t="shared" si="70"/>
        <v>0x4959</v>
      </c>
      <c r="C358" s="3" t="str">
        <f t="shared" si="71"/>
        <v>0x495A</v>
      </c>
      <c r="D358" s="3">
        <f t="shared" si="72"/>
        <v>18777</v>
      </c>
      <c r="E358" s="3">
        <f t="shared" si="73"/>
        <v>18778</v>
      </c>
      <c r="F358" s="4" t="s">
        <v>3116</v>
      </c>
      <c r="G358" s="3" t="s">
        <v>541</v>
      </c>
      <c r="H358" s="3" t="s">
        <v>427</v>
      </c>
      <c r="I358" s="3">
        <v>2</v>
      </c>
    </row>
    <row r="359" spans="1:17" s="3" customFormat="1">
      <c r="A359" s="97"/>
      <c r="B359" s="3" t="str">
        <f t="shared" ref="B359:B360" si="74">"0x"&amp;DEC2HEX(D359,4)</f>
        <v>0x495B</v>
      </c>
      <c r="C359" s="3" t="str">
        <f t="shared" ref="C359:C360" si="75">"0x"&amp;DEC2HEX(E359,4)</f>
        <v>0x495C</v>
      </c>
      <c r="D359" s="3">
        <f t="shared" ref="D359" si="76">D358+I358</f>
        <v>18779</v>
      </c>
      <c r="E359" s="3">
        <f t="shared" ref="E359:E360" si="77">D359+I359-1</f>
        <v>18780</v>
      </c>
      <c r="F359" s="4" t="s">
        <v>3117</v>
      </c>
      <c r="G359" s="3" t="s">
        <v>541</v>
      </c>
      <c r="H359" s="3" t="s">
        <v>427</v>
      </c>
      <c r="I359" s="3">
        <v>2</v>
      </c>
    </row>
    <row r="360" spans="1:17" s="3" customFormat="1">
      <c r="A360" s="72"/>
      <c r="B360" s="3" t="str">
        <f t="shared" si="74"/>
        <v>0x495D</v>
      </c>
      <c r="C360" s="3" t="str">
        <f t="shared" si="75"/>
        <v>0x495E</v>
      </c>
      <c r="D360" s="3">
        <f>D359+I359</f>
        <v>18781</v>
      </c>
      <c r="E360" s="3">
        <f t="shared" si="77"/>
        <v>18782</v>
      </c>
      <c r="F360" s="4" t="s">
        <v>3118</v>
      </c>
      <c r="G360" s="3" t="s">
        <v>541</v>
      </c>
      <c r="H360" s="3" t="s">
        <v>427</v>
      </c>
      <c r="I360" s="3">
        <v>2</v>
      </c>
    </row>
    <row r="361" spans="1:17">
      <c r="F361" s="4"/>
      <c r="I361" s="16">
        <f>SUM(I344:I360)</f>
        <v>34</v>
      </c>
    </row>
    <row r="362" spans="1:17">
      <c r="A362" s="72" t="s">
        <v>3372</v>
      </c>
      <c r="B362" s="72"/>
      <c r="C362" s="72"/>
      <c r="D362" s="72"/>
      <c r="E362" s="72"/>
      <c r="F362" s="72"/>
      <c r="G362" s="72"/>
      <c r="H362" s="72"/>
      <c r="I362" s="72"/>
      <c r="J362" s="26"/>
      <c r="K362" s="26"/>
      <c r="L362" s="26"/>
      <c r="M362" s="26"/>
      <c r="N362" s="26"/>
      <c r="O362" s="26"/>
      <c r="P362" s="26"/>
      <c r="Q362" s="26"/>
    </row>
    <row r="363" spans="1:17">
      <c r="A363" s="72"/>
      <c r="B363" s="3" t="s">
        <v>3373</v>
      </c>
      <c r="C363" s="3" t="str">
        <f t="shared" ref="C363" si="78">"0x"&amp;DEC2HEX(E363,4)</f>
        <v>0x4985</v>
      </c>
      <c r="D363" s="3">
        <v>18816</v>
      </c>
      <c r="E363" s="3">
        <f>D363+I363-1</f>
        <v>18821</v>
      </c>
      <c r="F363" s="3" t="s">
        <v>3374</v>
      </c>
      <c r="G363" s="3" t="s">
        <v>639</v>
      </c>
      <c r="H363" s="3" t="s">
        <v>427</v>
      </c>
      <c r="I363" s="3">
        <v>6</v>
      </c>
      <c r="J363" s="26"/>
      <c r="K363" s="26"/>
      <c r="L363" s="26"/>
      <c r="M363" s="26"/>
      <c r="N363" s="26"/>
      <c r="O363" s="26"/>
      <c r="P363" s="26"/>
      <c r="Q363" s="26"/>
    </row>
    <row r="364" spans="1:17">
      <c r="A364" s="72"/>
      <c r="B364" s="3" t="str">
        <f>"0x"&amp;DEC2HEX(D364,4)</f>
        <v>0x4986</v>
      </c>
      <c r="C364" s="3" t="str">
        <f t="shared" ref="C364" si="79">"0x"&amp;DEC2HEX(E364,4)</f>
        <v>0x498B</v>
      </c>
      <c r="D364" s="3">
        <f>E363+1</f>
        <v>18822</v>
      </c>
      <c r="E364" s="3">
        <f>D364+I364-1</f>
        <v>18827</v>
      </c>
      <c r="F364" s="3" t="s">
        <v>3375</v>
      </c>
      <c r="G364" s="3" t="s">
        <v>639</v>
      </c>
      <c r="H364" s="3" t="s">
        <v>427</v>
      </c>
      <c r="I364" s="3">
        <v>6</v>
      </c>
      <c r="J364" s="26"/>
      <c r="K364" s="26"/>
      <c r="L364" s="26"/>
      <c r="M364" s="26"/>
      <c r="N364" s="26"/>
      <c r="O364" s="26"/>
      <c r="P364" s="26"/>
      <c r="Q364" s="26"/>
    </row>
    <row r="365" spans="1:17">
      <c r="A365" s="72"/>
      <c r="B365" s="3" t="str">
        <f>"0x"&amp;DEC2HEX(D365,4)</f>
        <v>0x498C</v>
      </c>
      <c r="C365" s="3" t="str">
        <f t="shared" ref="C365:C373" si="80">"0x"&amp;DEC2HEX(E365,4)</f>
        <v>0x498D</v>
      </c>
      <c r="D365" s="3">
        <f>E364+1</f>
        <v>18828</v>
      </c>
      <c r="E365" s="3">
        <f t="shared" ref="E365:E373" si="81">D365+I365-1</f>
        <v>18829</v>
      </c>
      <c r="F365" s="3" t="s">
        <v>1150</v>
      </c>
      <c r="G365" s="3" t="s">
        <v>1151</v>
      </c>
      <c r="H365" s="3" t="s">
        <v>427</v>
      </c>
      <c r="I365" s="3">
        <v>2</v>
      </c>
    </row>
    <row r="366" spans="1:17">
      <c r="A366" s="72"/>
      <c r="B366" s="3" t="str">
        <f t="shared" ref="B366:B373" si="82">"0x"&amp;DEC2HEX(D366,4)</f>
        <v>0x498E</v>
      </c>
      <c r="C366" s="3" t="str">
        <f t="shared" si="80"/>
        <v>0x498F</v>
      </c>
      <c r="D366" s="3">
        <f t="shared" ref="D366:D373" si="83">E365+1</f>
        <v>18830</v>
      </c>
      <c r="E366" s="3">
        <f t="shared" si="81"/>
        <v>18831</v>
      </c>
      <c r="F366" s="3" t="s">
        <v>1152</v>
      </c>
      <c r="G366" s="3" t="s">
        <v>1151</v>
      </c>
      <c r="H366" s="3" t="s">
        <v>427</v>
      </c>
      <c r="I366" s="3">
        <v>2</v>
      </c>
    </row>
    <row r="367" spans="1:17">
      <c r="A367" s="72"/>
      <c r="B367" s="3" t="str">
        <f t="shared" si="82"/>
        <v>0x4990</v>
      </c>
      <c r="C367" s="3" t="str">
        <f t="shared" si="80"/>
        <v>0x4991</v>
      </c>
      <c r="D367" s="3">
        <f>E366+1</f>
        <v>18832</v>
      </c>
      <c r="E367" s="3">
        <f t="shared" si="81"/>
        <v>18833</v>
      </c>
      <c r="F367" s="3" t="s">
        <v>1153</v>
      </c>
      <c r="G367" s="3" t="s">
        <v>1151</v>
      </c>
      <c r="H367" s="3" t="s">
        <v>427</v>
      </c>
      <c r="I367" s="3">
        <v>2</v>
      </c>
    </row>
    <row r="368" spans="1:17">
      <c r="A368" s="72"/>
      <c r="B368" s="3" t="str">
        <f t="shared" si="82"/>
        <v>0x4992</v>
      </c>
      <c r="C368" s="3" t="str">
        <f t="shared" si="80"/>
        <v>0x4993</v>
      </c>
      <c r="D368" s="3">
        <f>E367+1</f>
        <v>18834</v>
      </c>
      <c r="E368" s="3">
        <f t="shared" si="81"/>
        <v>18835</v>
      </c>
      <c r="F368" s="3" t="s">
        <v>1154</v>
      </c>
      <c r="G368" s="3" t="s">
        <v>1151</v>
      </c>
      <c r="H368" s="3" t="s">
        <v>427</v>
      </c>
      <c r="I368" s="3">
        <v>2</v>
      </c>
    </row>
    <row r="369" spans="1:12">
      <c r="A369" s="72"/>
      <c r="B369" s="3" t="str">
        <f t="shared" si="82"/>
        <v>0x4994</v>
      </c>
      <c r="C369" s="3" t="str">
        <f t="shared" si="80"/>
        <v>0x4995</v>
      </c>
      <c r="D369" s="3">
        <f t="shared" si="83"/>
        <v>18836</v>
      </c>
      <c r="E369" s="3">
        <f t="shared" si="81"/>
        <v>18837</v>
      </c>
      <c r="F369" s="3" t="s">
        <v>1155</v>
      </c>
      <c r="G369" s="3" t="s">
        <v>1151</v>
      </c>
      <c r="H369" s="3" t="s">
        <v>427</v>
      </c>
      <c r="I369" s="3">
        <v>2</v>
      </c>
    </row>
    <row r="370" spans="1:12">
      <c r="A370" s="72"/>
      <c r="B370" s="3" t="str">
        <f t="shared" si="82"/>
        <v>0x4996</v>
      </c>
      <c r="C370" s="3" t="str">
        <f t="shared" si="80"/>
        <v>0x4997</v>
      </c>
      <c r="D370" s="3">
        <f t="shared" si="83"/>
        <v>18838</v>
      </c>
      <c r="E370" s="3">
        <f t="shared" si="81"/>
        <v>18839</v>
      </c>
      <c r="F370" s="3" t="s">
        <v>1156</v>
      </c>
      <c r="G370" s="3" t="s">
        <v>1157</v>
      </c>
      <c r="H370" s="3" t="s">
        <v>427</v>
      </c>
      <c r="I370" s="3">
        <v>2</v>
      </c>
    </row>
    <row r="371" spans="1:12" ht="14.25" customHeight="1">
      <c r="A371" s="72"/>
      <c r="B371" s="3" t="str">
        <f t="shared" si="82"/>
        <v>0x4998</v>
      </c>
      <c r="C371" s="3" t="str">
        <f t="shared" si="80"/>
        <v>0x4999</v>
      </c>
      <c r="D371" s="3">
        <f t="shared" si="83"/>
        <v>18840</v>
      </c>
      <c r="E371" s="3">
        <f t="shared" si="81"/>
        <v>18841</v>
      </c>
      <c r="F371" s="3" t="s">
        <v>1158</v>
      </c>
      <c r="G371" s="3" t="s">
        <v>1151</v>
      </c>
      <c r="H371" s="3" t="s">
        <v>427</v>
      </c>
      <c r="I371" s="3">
        <v>2</v>
      </c>
    </row>
    <row r="372" spans="1:12">
      <c r="A372" s="72"/>
      <c r="B372" s="3" t="str">
        <f t="shared" si="82"/>
        <v>0x499A</v>
      </c>
      <c r="C372" s="3" t="str">
        <f t="shared" si="80"/>
        <v>0x499B</v>
      </c>
      <c r="D372" s="3">
        <f t="shared" si="83"/>
        <v>18842</v>
      </c>
      <c r="E372" s="3">
        <f t="shared" si="81"/>
        <v>18843</v>
      </c>
      <c r="F372" s="3" t="s">
        <v>1159</v>
      </c>
      <c r="G372" s="3" t="s">
        <v>1157</v>
      </c>
      <c r="H372" s="3" t="s">
        <v>427</v>
      </c>
      <c r="I372" s="3">
        <v>2</v>
      </c>
    </row>
    <row r="373" spans="1:12">
      <c r="A373" s="72"/>
      <c r="B373" s="3" t="str">
        <f t="shared" si="82"/>
        <v>0x499C</v>
      </c>
      <c r="C373" s="3" t="str">
        <f t="shared" si="80"/>
        <v>0x499D</v>
      </c>
      <c r="D373" s="3">
        <f t="shared" si="83"/>
        <v>18844</v>
      </c>
      <c r="E373" s="3">
        <f t="shared" si="81"/>
        <v>18845</v>
      </c>
      <c r="F373" s="3" t="s">
        <v>1160</v>
      </c>
      <c r="G373" s="3" t="s">
        <v>1151</v>
      </c>
      <c r="H373" s="3" t="s">
        <v>427</v>
      </c>
      <c r="I373" s="3">
        <v>2</v>
      </c>
    </row>
    <row r="374" spans="1:12">
      <c r="F374" s="4"/>
      <c r="I374" s="16">
        <f>SUM(I363:I373)</f>
        <v>30</v>
      </c>
    </row>
    <row r="377" spans="1:12">
      <c r="A377" s="26" t="s">
        <v>1287</v>
      </c>
    </row>
    <row r="378" spans="1:12">
      <c r="A378" s="26" t="s">
        <v>1288</v>
      </c>
      <c r="B378" s="16" t="str">
        <f t="shared" ref="B378:B389" si="84">"0x"&amp;DEC2HEX(D378,4)</f>
        <v>0x6E00</v>
      </c>
      <c r="C378" s="16" t="str">
        <f t="shared" ref="C378:C389" si="85">"0x"&amp;DEC2HEX(E378,4)</f>
        <v>0x6E3D</v>
      </c>
      <c r="D378" s="16">
        <v>28160</v>
      </c>
      <c r="E378" s="16">
        <f t="shared" ref="E378:E389" si="86">D378+I378-1</f>
        <v>28221</v>
      </c>
      <c r="F378" s="1" t="s">
        <v>1289</v>
      </c>
      <c r="G378" s="16" t="s">
        <v>484</v>
      </c>
      <c r="H378" s="16" t="s">
        <v>430</v>
      </c>
      <c r="I378" s="16">
        <v>62</v>
      </c>
      <c r="J378" s="116" t="s">
        <v>1290</v>
      </c>
    </row>
    <row r="379" spans="1:12">
      <c r="B379" s="16" t="str">
        <f t="shared" si="84"/>
        <v>0x6E3E</v>
      </c>
      <c r="C379" s="16" t="str">
        <f t="shared" si="85"/>
        <v>0x6E7B</v>
      </c>
      <c r="D379" s="16">
        <f t="shared" ref="D379:D389" si="87">D378+I378</f>
        <v>28222</v>
      </c>
      <c r="E379" s="16">
        <f t="shared" si="86"/>
        <v>28283</v>
      </c>
      <c r="F379" s="1" t="s">
        <v>1291</v>
      </c>
      <c r="G379" s="16" t="s">
        <v>484</v>
      </c>
      <c r="H379" s="16" t="s">
        <v>427</v>
      </c>
      <c r="I379" s="16">
        <v>62</v>
      </c>
      <c r="J379" s="121"/>
    </row>
    <row r="380" spans="1:12">
      <c r="B380" s="16" t="str">
        <f t="shared" si="84"/>
        <v>0x6E7C</v>
      </c>
      <c r="C380" s="16" t="str">
        <f t="shared" si="85"/>
        <v>0x6EB9</v>
      </c>
      <c r="D380" s="16">
        <f t="shared" si="87"/>
        <v>28284</v>
      </c>
      <c r="E380" s="16">
        <f t="shared" si="86"/>
        <v>28345</v>
      </c>
      <c r="F380" s="1" t="s">
        <v>1292</v>
      </c>
      <c r="G380" s="16" t="s">
        <v>484</v>
      </c>
      <c r="H380" s="16" t="s">
        <v>427</v>
      </c>
      <c r="I380" s="16">
        <v>62</v>
      </c>
      <c r="J380" s="121"/>
      <c r="K380" s="16">
        <v>0</v>
      </c>
      <c r="L380" s="16">
        <v>0</v>
      </c>
    </row>
    <row r="381" spans="1:12">
      <c r="B381" s="16" t="str">
        <f t="shared" si="84"/>
        <v>0x6EBA</v>
      </c>
      <c r="C381" s="16" t="str">
        <f t="shared" si="85"/>
        <v>0x6EF7</v>
      </c>
      <c r="D381" s="16">
        <f t="shared" si="87"/>
        <v>28346</v>
      </c>
      <c r="E381" s="16">
        <f t="shared" si="86"/>
        <v>28407</v>
      </c>
      <c r="F381" s="1" t="s">
        <v>1293</v>
      </c>
      <c r="G381" s="16" t="s">
        <v>484</v>
      </c>
      <c r="H381" s="16" t="s">
        <v>427</v>
      </c>
      <c r="I381" s="16">
        <v>62</v>
      </c>
      <c r="J381" s="116" t="s">
        <v>1294</v>
      </c>
    </row>
    <row r="382" spans="1:12">
      <c r="B382" s="16" t="str">
        <f t="shared" si="84"/>
        <v>0x6EF8</v>
      </c>
      <c r="C382" s="16" t="str">
        <f t="shared" si="85"/>
        <v>0x6F35</v>
      </c>
      <c r="D382" s="16">
        <f t="shared" si="87"/>
        <v>28408</v>
      </c>
      <c r="E382" s="16">
        <f t="shared" si="86"/>
        <v>28469</v>
      </c>
      <c r="F382" s="1" t="s">
        <v>1295</v>
      </c>
      <c r="G382" s="16" t="s">
        <v>484</v>
      </c>
      <c r="H382" s="16" t="s">
        <v>427</v>
      </c>
      <c r="I382" s="16">
        <v>62</v>
      </c>
      <c r="J382" s="121"/>
    </row>
    <row r="383" spans="1:12">
      <c r="B383" s="16" t="str">
        <f t="shared" si="84"/>
        <v>0x6F36</v>
      </c>
      <c r="C383" s="16" t="str">
        <f t="shared" si="85"/>
        <v>0x6F73</v>
      </c>
      <c r="D383" s="16">
        <f t="shared" si="87"/>
        <v>28470</v>
      </c>
      <c r="E383" s="16">
        <f t="shared" si="86"/>
        <v>28531</v>
      </c>
      <c r="F383" s="1" t="s">
        <v>1296</v>
      </c>
      <c r="G383" s="16" t="s">
        <v>484</v>
      </c>
      <c r="H383" s="16" t="s">
        <v>427</v>
      </c>
      <c r="I383" s="16">
        <v>62</v>
      </c>
      <c r="J383" s="121"/>
    </row>
    <row r="384" spans="1:12">
      <c r="B384" s="16" t="str">
        <f t="shared" si="84"/>
        <v>0x6F74</v>
      </c>
      <c r="C384" s="16" t="str">
        <f t="shared" si="85"/>
        <v>0x6FB1</v>
      </c>
      <c r="D384" s="16">
        <f t="shared" si="87"/>
        <v>28532</v>
      </c>
      <c r="E384" s="16">
        <f t="shared" si="86"/>
        <v>28593</v>
      </c>
      <c r="F384" s="1" t="s">
        <v>1297</v>
      </c>
      <c r="G384" s="16" t="s">
        <v>484</v>
      </c>
      <c r="H384" s="16" t="s">
        <v>427</v>
      </c>
      <c r="I384" s="16">
        <v>62</v>
      </c>
      <c r="J384" s="116" t="s">
        <v>1298</v>
      </c>
    </row>
    <row r="385" spans="2:10">
      <c r="B385" s="16" t="str">
        <f t="shared" si="84"/>
        <v>0x6FB2</v>
      </c>
      <c r="C385" s="16" t="str">
        <f t="shared" si="85"/>
        <v>0x6FEF</v>
      </c>
      <c r="D385" s="16">
        <f t="shared" si="87"/>
        <v>28594</v>
      </c>
      <c r="E385" s="16">
        <f t="shared" si="86"/>
        <v>28655</v>
      </c>
      <c r="F385" s="1" t="s">
        <v>1299</v>
      </c>
      <c r="G385" s="16" t="s">
        <v>484</v>
      </c>
      <c r="H385" s="16" t="s">
        <v>427</v>
      </c>
      <c r="I385" s="16">
        <v>62</v>
      </c>
      <c r="J385" s="121"/>
    </row>
    <row r="386" spans="2:10">
      <c r="B386" s="16" t="str">
        <f t="shared" si="84"/>
        <v>0x6FF0</v>
      </c>
      <c r="C386" s="16" t="str">
        <f t="shared" si="85"/>
        <v>0x702D</v>
      </c>
      <c r="D386" s="16">
        <f t="shared" si="87"/>
        <v>28656</v>
      </c>
      <c r="E386" s="16">
        <f t="shared" si="86"/>
        <v>28717</v>
      </c>
      <c r="F386" s="1" t="s">
        <v>1300</v>
      </c>
      <c r="G386" s="16" t="s">
        <v>484</v>
      </c>
      <c r="H386" s="16" t="s">
        <v>427</v>
      </c>
      <c r="I386" s="16">
        <v>62</v>
      </c>
      <c r="J386" s="121"/>
    </row>
    <row r="387" spans="2:10">
      <c r="B387" s="16" t="str">
        <f t="shared" si="84"/>
        <v>0x702E</v>
      </c>
      <c r="C387" s="16" t="str">
        <f t="shared" si="85"/>
        <v>0x706B</v>
      </c>
      <c r="D387" s="16">
        <f t="shared" si="87"/>
        <v>28718</v>
      </c>
      <c r="E387" s="16">
        <f t="shared" si="86"/>
        <v>28779</v>
      </c>
      <c r="F387" s="1" t="s">
        <v>1301</v>
      </c>
      <c r="G387" s="16" t="s">
        <v>484</v>
      </c>
      <c r="H387" s="16" t="s">
        <v>427</v>
      </c>
      <c r="I387" s="16">
        <v>62</v>
      </c>
      <c r="J387" s="121"/>
    </row>
    <row r="388" spans="2:10">
      <c r="B388" s="16" t="str">
        <f t="shared" si="84"/>
        <v>0x706C</v>
      </c>
      <c r="C388" s="16" t="str">
        <f t="shared" si="85"/>
        <v>0x70A9</v>
      </c>
      <c r="D388" s="16">
        <f t="shared" si="87"/>
        <v>28780</v>
      </c>
      <c r="E388" s="16">
        <f t="shared" si="86"/>
        <v>28841</v>
      </c>
      <c r="F388" s="1" t="s">
        <v>1302</v>
      </c>
      <c r="G388" s="16" t="s">
        <v>484</v>
      </c>
      <c r="H388" s="16" t="s">
        <v>427</v>
      </c>
      <c r="I388" s="16">
        <v>62</v>
      </c>
      <c r="J388" s="121"/>
    </row>
    <row r="389" spans="2:10">
      <c r="B389" s="16" t="str">
        <f t="shared" si="84"/>
        <v>0x70AA</v>
      </c>
      <c r="C389" s="16" t="str">
        <f t="shared" si="85"/>
        <v>0x70E7</v>
      </c>
      <c r="D389" s="16">
        <f t="shared" si="87"/>
        <v>28842</v>
      </c>
      <c r="E389" s="16">
        <f t="shared" si="86"/>
        <v>28903</v>
      </c>
      <c r="F389" s="1" t="s">
        <v>1303</v>
      </c>
      <c r="G389" s="16" t="s">
        <v>484</v>
      </c>
      <c r="H389" s="16" t="s">
        <v>427</v>
      </c>
      <c r="I389" s="16">
        <v>62</v>
      </c>
      <c r="J389" s="121"/>
    </row>
  </sheetData>
  <mergeCells count="3">
    <mergeCell ref="J378:J380"/>
    <mergeCell ref="J381:J383"/>
    <mergeCell ref="J384:J389"/>
  </mergeCells>
  <phoneticPr fontId="4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73FA2-79DE-4BCE-99AF-452F34A688C4}">
  <dimension ref="A1:L176"/>
  <sheetViews>
    <sheetView workbookViewId="0">
      <pane ySplit="1" topLeftCell="A125" activePane="bottomLeft" state="frozen"/>
      <selection pane="bottomLeft" activeCell="A133" sqref="A133:XFD137"/>
    </sheetView>
  </sheetViews>
  <sheetFormatPr defaultColWidth="9" defaultRowHeight="12.75"/>
  <cols>
    <col min="1" max="1" width="31" style="16" customWidth="1"/>
    <col min="2" max="2" width="11.5703125" style="16" customWidth="1"/>
    <col min="3" max="5" width="9" style="16"/>
    <col min="6" max="6" width="33.7109375" style="16" customWidth="1"/>
    <col min="7" max="7" width="13.85546875" style="16" customWidth="1"/>
    <col min="8" max="9" width="9" style="16"/>
    <col min="10" max="10" width="18.28515625" style="16" customWidth="1"/>
    <col min="11" max="11" width="25.7109375" style="16" customWidth="1"/>
    <col min="12" max="16384" width="9" style="16"/>
  </cols>
  <sheetData>
    <row r="1" spans="1:12" s="39" customFormat="1">
      <c r="A1" s="39" t="s">
        <v>27</v>
      </c>
      <c r="B1" s="39" t="s">
        <v>414</v>
      </c>
      <c r="C1" s="39" t="s">
        <v>415</v>
      </c>
      <c r="D1" s="39" t="s">
        <v>416</v>
      </c>
      <c r="E1" s="39" t="s">
        <v>417</v>
      </c>
      <c r="F1" s="39" t="s">
        <v>418</v>
      </c>
      <c r="G1" s="39" t="s">
        <v>419</v>
      </c>
      <c r="H1" s="39" t="s">
        <v>421</v>
      </c>
      <c r="I1" s="39" t="s">
        <v>420</v>
      </c>
      <c r="J1" s="39" t="s">
        <v>422</v>
      </c>
      <c r="K1" s="39" t="s">
        <v>423</v>
      </c>
      <c r="L1" s="39" t="s">
        <v>424</v>
      </c>
    </row>
    <row r="2" spans="1:12">
      <c r="A2" s="26" t="s">
        <v>1304</v>
      </c>
    </row>
    <row r="3" spans="1:12">
      <c r="B3" s="16" t="str">
        <f t="shared" ref="B3:B44" si="0">"0x"&amp;DEC2HEX(D3,4)</f>
        <v>0x2000</v>
      </c>
      <c r="D3" s="16">
        <v>8192</v>
      </c>
      <c r="F3" s="16" t="s">
        <v>1073</v>
      </c>
      <c r="G3" s="16" t="s">
        <v>802</v>
      </c>
      <c r="H3" s="16" t="s">
        <v>427</v>
      </c>
      <c r="I3" s="16">
        <v>1</v>
      </c>
      <c r="J3" s="1" t="s">
        <v>1305</v>
      </c>
    </row>
    <row r="4" spans="1:12">
      <c r="B4" s="16" t="str">
        <f t="shared" si="0"/>
        <v>0x2001</v>
      </c>
      <c r="D4" s="16">
        <f t="shared" ref="D4:D44" si="1">D3+I3</f>
        <v>8193</v>
      </c>
      <c r="F4" s="16" t="s">
        <v>1306</v>
      </c>
      <c r="G4" s="16" t="s">
        <v>802</v>
      </c>
      <c r="H4" s="16" t="s">
        <v>427</v>
      </c>
      <c r="I4" s="16">
        <v>1</v>
      </c>
      <c r="J4" s="1" t="s">
        <v>1307</v>
      </c>
    </row>
    <row r="5" spans="1:12">
      <c r="B5" s="16" t="str">
        <f t="shared" si="0"/>
        <v>0x2002</v>
      </c>
      <c r="D5" s="16">
        <f t="shared" si="1"/>
        <v>8194</v>
      </c>
      <c r="F5" s="16" t="s">
        <v>1308</v>
      </c>
      <c r="G5" s="16" t="s">
        <v>802</v>
      </c>
      <c r="H5" s="16" t="s">
        <v>427</v>
      </c>
      <c r="I5" s="16">
        <v>1</v>
      </c>
      <c r="J5" s="1" t="s">
        <v>1307</v>
      </c>
    </row>
    <row r="6" spans="1:12">
      <c r="B6" s="16" t="str">
        <f t="shared" si="0"/>
        <v>0x2003</v>
      </c>
      <c r="D6" s="16">
        <f t="shared" si="1"/>
        <v>8195</v>
      </c>
      <c r="F6" s="16" t="s">
        <v>1309</v>
      </c>
      <c r="G6" s="16" t="s">
        <v>802</v>
      </c>
      <c r="H6" s="16" t="s">
        <v>427</v>
      </c>
      <c r="I6" s="16">
        <v>1</v>
      </c>
      <c r="J6" s="1" t="s">
        <v>1307</v>
      </c>
    </row>
    <row r="7" spans="1:12">
      <c r="B7" s="16" t="str">
        <f t="shared" si="0"/>
        <v>0x2004</v>
      </c>
      <c r="D7" s="16">
        <f t="shared" si="1"/>
        <v>8196</v>
      </c>
      <c r="F7" s="16" t="s">
        <v>1310</v>
      </c>
      <c r="G7" s="16" t="s">
        <v>802</v>
      </c>
      <c r="H7" s="16" t="s">
        <v>427</v>
      </c>
      <c r="I7" s="16">
        <v>1</v>
      </c>
      <c r="J7" s="1" t="s">
        <v>1307</v>
      </c>
    </row>
    <row r="8" spans="1:12">
      <c r="B8" s="16" t="str">
        <f t="shared" si="0"/>
        <v>0x2005</v>
      </c>
      <c r="D8" s="16">
        <f t="shared" si="1"/>
        <v>8197</v>
      </c>
      <c r="F8" s="16" t="s">
        <v>1311</v>
      </c>
      <c r="G8" s="16" t="s">
        <v>802</v>
      </c>
      <c r="H8" s="16" t="s">
        <v>427</v>
      </c>
      <c r="I8" s="16">
        <v>1</v>
      </c>
      <c r="J8" s="1" t="s">
        <v>1307</v>
      </c>
    </row>
    <row r="9" spans="1:12">
      <c r="B9" s="16" t="str">
        <f t="shared" si="0"/>
        <v>0x2006</v>
      </c>
      <c r="D9" s="16">
        <f t="shared" si="1"/>
        <v>8198</v>
      </c>
      <c r="F9" s="16" t="s">
        <v>1312</v>
      </c>
      <c r="G9" s="16" t="s">
        <v>802</v>
      </c>
      <c r="H9" s="16" t="s">
        <v>427</v>
      </c>
      <c r="I9" s="16">
        <v>1</v>
      </c>
      <c r="J9" s="1" t="s">
        <v>1307</v>
      </c>
    </row>
    <row r="10" spans="1:12">
      <c r="B10" s="16" t="str">
        <f t="shared" si="0"/>
        <v>0x2007</v>
      </c>
      <c r="D10" s="16">
        <f t="shared" si="1"/>
        <v>8199</v>
      </c>
      <c r="F10" s="16" t="s">
        <v>1313</v>
      </c>
      <c r="G10" s="16" t="s">
        <v>802</v>
      </c>
      <c r="H10" s="16" t="s">
        <v>427</v>
      </c>
      <c r="I10" s="16">
        <v>1</v>
      </c>
      <c r="J10" s="1" t="s">
        <v>1307</v>
      </c>
    </row>
    <row r="11" spans="1:12">
      <c r="B11" s="16" t="str">
        <f t="shared" si="0"/>
        <v>0x2008</v>
      </c>
      <c r="D11" s="16">
        <f t="shared" si="1"/>
        <v>8200</v>
      </c>
      <c r="F11" s="16" t="s">
        <v>1314</v>
      </c>
      <c r="G11" s="16" t="s">
        <v>802</v>
      </c>
      <c r="H11" s="16" t="s">
        <v>427</v>
      </c>
      <c r="I11" s="16">
        <v>1</v>
      </c>
      <c r="J11" s="1" t="s">
        <v>1307</v>
      </c>
    </row>
    <row r="12" spans="1:12">
      <c r="B12" s="16" t="str">
        <f t="shared" si="0"/>
        <v>0x2009</v>
      </c>
      <c r="D12" s="16">
        <f t="shared" si="1"/>
        <v>8201</v>
      </c>
      <c r="F12" s="16" t="s">
        <v>1315</v>
      </c>
      <c r="G12" s="16" t="s">
        <v>802</v>
      </c>
      <c r="H12" s="16" t="s">
        <v>427</v>
      </c>
      <c r="I12" s="16">
        <v>1</v>
      </c>
      <c r="J12" s="1" t="s">
        <v>1307</v>
      </c>
    </row>
    <row r="13" spans="1:12">
      <c r="B13" s="16" t="str">
        <f t="shared" si="0"/>
        <v>0x200A</v>
      </c>
      <c r="D13" s="16">
        <f t="shared" si="1"/>
        <v>8202</v>
      </c>
      <c r="F13" s="16" t="s">
        <v>1316</v>
      </c>
      <c r="G13" s="16" t="s">
        <v>802</v>
      </c>
      <c r="H13" s="16" t="s">
        <v>427</v>
      </c>
      <c r="I13" s="16">
        <v>1</v>
      </c>
      <c r="J13" s="1" t="s">
        <v>1307</v>
      </c>
    </row>
    <row r="14" spans="1:12">
      <c r="B14" s="16" t="str">
        <f t="shared" si="0"/>
        <v>0x200B</v>
      </c>
      <c r="D14" s="16">
        <f t="shared" si="1"/>
        <v>8203</v>
      </c>
      <c r="F14" s="16" t="s">
        <v>1317</v>
      </c>
      <c r="G14" s="16" t="s">
        <v>802</v>
      </c>
      <c r="H14" s="16" t="s">
        <v>427</v>
      </c>
      <c r="I14" s="16">
        <v>1</v>
      </c>
      <c r="J14" s="1" t="s">
        <v>1307</v>
      </c>
    </row>
    <row r="15" spans="1:12">
      <c r="B15" s="16" t="str">
        <f t="shared" si="0"/>
        <v>0x200C</v>
      </c>
      <c r="D15" s="16">
        <f t="shared" si="1"/>
        <v>8204</v>
      </c>
      <c r="F15" s="16" t="s">
        <v>1318</v>
      </c>
      <c r="G15" s="16" t="s">
        <v>802</v>
      </c>
      <c r="H15" s="16" t="s">
        <v>427</v>
      </c>
      <c r="I15" s="16">
        <v>1</v>
      </c>
      <c r="J15" s="1" t="s">
        <v>1307</v>
      </c>
    </row>
    <row r="16" spans="1:12">
      <c r="B16" s="16" t="str">
        <f t="shared" si="0"/>
        <v>0x200D</v>
      </c>
      <c r="D16" s="16">
        <f t="shared" si="1"/>
        <v>8205</v>
      </c>
      <c r="F16" s="16" t="s">
        <v>1319</v>
      </c>
      <c r="G16" s="16" t="s">
        <v>802</v>
      </c>
      <c r="H16" s="16" t="s">
        <v>427</v>
      </c>
      <c r="I16" s="16">
        <v>1</v>
      </c>
      <c r="J16" s="1" t="s">
        <v>1307</v>
      </c>
    </row>
    <row r="17" spans="2:10">
      <c r="B17" s="16" t="str">
        <f t="shared" si="0"/>
        <v>0x200E</v>
      </c>
      <c r="D17" s="16">
        <f t="shared" si="1"/>
        <v>8206</v>
      </c>
      <c r="F17" s="16" t="s">
        <v>1320</v>
      </c>
      <c r="G17" s="16" t="s">
        <v>802</v>
      </c>
      <c r="H17" s="16" t="s">
        <v>427</v>
      </c>
      <c r="I17" s="16">
        <v>1</v>
      </c>
      <c r="J17" s="1" t="s">
        <v>1307</v>
      </c>
    </row>
    <row r="18" spans="2:10">
      <c r="B18" s="16" t="str">
        <f t="shared" si="0"/>
        <v>0x200F</v>
      </c>
      <c r="D18" s="16">
        <f t="shared" si="1"/>
        <v>8207</v>
      </c>
      <c r="F18" s="16" t="s">
        <v>1321</v>
      </c>
      <c r="G18" s="16" t="s">
        <v>802</v>
      </c>
      <c r="H18" s="16" t="s">
        <v>427</v>
      </c>
      <c r="I18" s="16">
        <v>1</v>
      </c>
      <c r="J18" s="1" t="s">
        <v>1307</v>
      </c>
    </row>
    <row r="19" spans="2:10">
      <c r="B19" s="16" t="str">
        <f t="shared" si="0"/>
        <v>0x2010</v>
      </c>
      <c r="D19" s="16">
        <f t="shared" si="1"/>
        <v>8208</v>
      </c>
      <c r="F19" s="16" t="s">
        <v>1322</v>
      </c>
      <c r="G19" s="16" t="s">
        <v>802</v>
      </c>
      <c r="H19" s="16" t="s">
        <v>427</v>
      </c>
      <c r="I19" s="16">
        <v>1</v>
      </c>
      <c r="J19" s="1" t="s">
        <v>1323</v>
      </c>
    </row>
    <row r="20" spans="2:10">
      <c r="B20" s="16" t="str">
        <f t="shared" si="0"/>
        <v>0x2011</v>
      </c>
      <c r="D20" s="16">
        <f t="shared" si="1"/>
        <v>8209</v>
      </c>
      <c r="F20" s="16" t="s">
        <v>1324</v>
      </c>
      <c r="G20" s="16" t="s">
        <v>802</v>
      </c>
      <c r="H20" s="16" t="s">
        <v>427</v>
      </c>
      <c r="I20" s="16">
        <v>1</v>
      </c>
      <c r="J20" s="1" t="s">
        <v>1323</v>
      </c>
    </row>
    <row r="21" spans="2:10">
      <c r="B21" s="16" t="str">
        <f t="shared" si="0"/>
        <v>0x2012</v>
      </c>
      <c r="D21" s="16">
        <f t="shared" si="1"/>
        <v>8210</v>
      </c>
      <c r="F21" s="16" t="s">
        <v>1325</v>
      </c>
      <c r="G21" s="16" t="s">
        <v>802</v>
      </c>
      <c r="H21" s="16" t="s">
        <v>427</v>
      </c>
      <c r="I21" s="16">
        <v>1</v>
      </c>
      <c r="J21" s="1" t="s">
        <v>1323</v>
      </c>
    </row>
    <row r="22" spans="2:10">
      <c r="B22" s="16" t="str">
        <f t="shared" si="0"/>
        <v>0x2013</v>
      </c>
      <c r="D22" s="16">
        <f t="shared" si="1"/>
        <v>8211</v>
      </c>
      <c r="F22" s="16" t="s">
        <v>1326</v>
      </c>
      <c r="G22" s="16" t="s">
        <v>802</v>
      </c>
      <c r="H22" s="16" t="s">
        <v>427</v>
      </c>
      <c r="I22" s="16">
        <v>1</v>
      </c>
      <c r="J22" s="1" t="s">
        <v>1323</v>
      </c>
    </row>
    <row r="23" spans="2:10">
      <c r="B23" s="16" t="str">
        <f t="shared" si="0"/>
        <v>0x2014</v>
      </c>
      <c r="D23" s="16">
        <f t="shared" si="1"/>
        <v>8212</v>
      </c>
      <c r="F23" s="16" t="s">
        <v>1327</v>
      </c>
      <c r="G23" s="16" t="s">
        <v>802</v>
      </c>
      <c r="H23" s="16" t="s">
        <v>427</v>
      </c>
      <c r="I23" s="16">
        <v>1</v>
      </c>
      <c r="J23" s="1" t="s">
        <v>1323</v>
      </c>
    </row>
    <row r="24" spans="2:10">
      <c r="B24" s="16" t="str">
        <f t="shared" si="0"/>
        <v>0x2015</v>
      </c>
      <c r="D24" s="16">
        <f t="shared" si="1"/>
        <v>8213</v>
      </c>
      <c r="F24" s="16" t="s">
        <v>1328</v>
      </c>
      <c r="G24" s="16" t="s">
        <v>802</v>
      </c>
      <c r="H24" s="16" t="s">
        <v>427</v>
      </c>
      <c r="I24" s="16">
        <v>1</v>
      </c>
      <c r="J24" s="1" t="s">
        <v>1323</v>
      </c>
    </row>
    <row r="25" spans="2:10">
      <c r="B25" s="16" t="str">
        <f t="shared" si="0"/>
        <v>0x2016</v>
      </c>
      <c r="D25" s="16">
        <f t="shared" si="1"/>
        <v>8214</v>
      </c>
      <c r="F25" s="16" t="s">
        <v>1329</v>
      </c>
      <c r="G25" s="16" t="s">
        <v>802</v>
      </c>
      <c r="H25" s="16" t="s">
        <v>427</v>
      </c>
      <c r="I25" s="16">
        <v>1</v>
      </c>
      <c r="J25" s="1" t="s">
        <v>1323</v>
      </c>
    </row>
    <row r="26" spans="2:10">
      <c r="B26" s="16" t="str">
        <f t="shared" si="0"/>
        <v>0x2017</v>
      </c>
      <c r="D26" s="16">
        <f t="shared" si="1"/>
        <v>8215</v>
      </c>
      <c r="F26" s="16" t="s">
        <v>1330</v>
      </c>
      <c r="G26" s="16" t="s">
        <v>802</v>
      </c>
      <c r="H26" s="16" t="s">
        <v>427</v>
      </c>
      <c r="I26" s="16">
        <v>1</v>
      </c>
      <c r="J26" s="1" t="s">
        <v>1323</v>
      </c>
    </row>
    <row r="27" spans="2:10">
      <c r="B27" s="16" t="str">
        <f t="shared" si="0"/>
        <v>0x2018</v>
      </c>
      <c r="D27" s="16">
        <f t="shared" si="1"/>
        <v>8216</v>
      </c>
      <c r="F27" s="16" t="s">
        <v>1331</v>
      </c>
      <c r="G27" s="16" t="s">
        <v>802</v>
      </c>
      <c r="H27" s="16" t="s">
        <v>427</v>
      </c>
      <c r="I27" s="16">
        <v>1</v>
      </c>
      <c r="J27" s="1" t="s">
        <v>1307</v>
      </c>
    </row>
    <row r="28" spans="2:10">
      <c r="B28" s="16" t="str">
        <f t="shared" si="0"/>
        <v>0x2019</v>
      </c>
      <c r="D28" s="16">
        <f t="shared" si="1"/>
        <v>8217</v>
      </c>
      <c r="F28" s="16" t="s">
        <v>1332</v>
      </c>
      <c r="G28" s="16" t="s">
        <v>802</v>
      </c>
      <c r="H28" s="16" t="s">
        <v>427</v>
      </c>
      <c r="I28" s="16">
        <v>1</v>
      </c>
      <c r="J28" s="1" t="s">
        <v>1307</v>
      </c>
    </row>
    <row r="29" spans="2:10">
      <c r="B29" s="16" t="str">
        <f t="shared" si="0"/>
        <v>0x201A</v>
      </c>
      <c r="D29" s="16">
        <f t="shared" si="1"/>
        <v>8218</v>
      </c>
      <c r="F29" s="16" t="s">
        <v>1333</v>
      </c>
      <c r="G29" s="16" t="s">
        <v>802</v>
      </c>
      <c r="H29" s="16" t="s">
        <v>427</v>
      </c>
      <c r="I29" s="16">
        <v>1</v>
      </c>
      <c r="J29" s="1" t="s">
        <v>1307</v>
      </c>
    </row>
    <row r="30" spans="2:10">
      <c r="B30" s="16" t="str">
        <f t="shared" si="0"/>
        <v>0x201B</v>
      </c>
      <c r="D30" s="16">
        <f t="shared" si="1"/>
        <v>8219</v>
      </c>
      <c r="F30" s="16" t="s">
        <v>1334</v>
      </c>
      <c r="G30" s="16" t="s">
        <v>802</v>
      </c>
      <c r="H30" s="16" t="s">
        <v>427</v>
      </c>
      <c r="I30" s="16">
        <v>1</v>
      </c>
      <c r="J30" s="1" t="s">
        <v>1307</v>
      </c>
    </row>
    <row r="31" spans="2:10">
      <c r="B31" s="16" t="str">
        <f t="shared" si="0"/>
        <v>0x201C</v>
      </c>
      <c r="D31" s="16">
        <f t="shared" si="1"/>
        <v>8220</v>
      </c>
      <c r="F31" s="16" t="s">
        <v>1335</v>
      </c>
      <c r="G31" s="16" t="s">
        <v>802</v>
      </c>
      <c r="H31" s="16" t="s">
        <v>427</v>
      </c>
      <c r="I31" s="16">
        <v>1</v>
      </c>
      <c r="J31" s="1" t="s">
        <v>1336</v>
      </c>
    </row>
    <row r="32" spans="2:10">
      <c r="B32" s="16" t="str">
        <f t="shared" si="0"/>
        <v>0x201D</v>
      </c>
      <c r="D32" s="16">
        <f t="shared" si="1"/>
        <v>8221</v>
      </c>
      <c r="F32" s="16" t="s">
        <v>1337</v>
      </c>
      <c r="G32" s="16" t="s">
        <v>802</v>
      </c>
      <c r="H32" s="16" t="s">
        <v>427</v>
      </c>
      <c r="I32" s="16">
        <v>1</v>
      </c>
      <c r="J32" s="1" t="s">
        <v>1336</v>
      </c>
    </row>
    <row r="33" spans="1:10">
      <c r="B33" s="16" t="str">
        <f t="shared" si="0"/>
        <v>0x201E</v>
      </c>
      <c r="D33" s="16">
        <f t="shared" si="1"/>
        <v>8222</v>
      </c>
      <c r="F33" s="16" t="s">
        <v>1338</v>
      </c>
      <c r="G33" s="16" t="s">
        <v>802</v>
      </c>
      <c r="H33" s="16" t="s">
        <v>427</v>
      </c>
      <c r="I33" s="16">
        <v>1</v>
      </c>
      <c r="J33" s="1" t="s">
        <v>1336</v>
      </c>
    </row>
    <row r="34" spans="1:10">
      <c r="B34" s="16" t="str">
        <f t="shared" si="0"/>
        <v>0x201F</v>
      </c>
      <c r="D34" s="16">
        <f t="shared" si="1"/>
        <v>8223</v>
      </c>
      <c r="F34" s="16" t="s">
        <v>1339</v>
      </c>
      <c r="G34" s="16" t="s">
        <v>802</v>
      </c>
      <c r="H34" s="16" t="s">
        <v>427</v>
      </c>
      <c r="I34" s="16">
        <v>1</v>
      </c>
      <c r="J34" s="1" t="s">
        <v>1336</v>
      </c>
    </row>
    <row r="35" spans="1:10">
      <c r="B35" s="16" t="str">
        <f t="shared" si="0"/>
        <v>0x2020</v>
      </c>
      <c r="D35" s="16">
        <f t="shared" si="1"/>
        <v>8224</v>
      </c>
      <c r="F35" s="16" t="s">
        <v>1340</v>
      </c>
      <c r="G35" s="16" t="s">
        <v>802</v>
      </c>
      <c r="H35" s="16" t="s">
        <v>427</v>
      </c>
      <c r="I35" s="16">
        <v>1</v>
      </c>
      <c r="J35" s="1" t="s">
        <v>1341</v>
      </c>
    </row>
    <row r="36" spans="1:10">
      <c r="B36" s="16" t="str">
        <f t="shared" si="0"/>
        <v>0x2021</v>
      </c>
      <c r="D36" s="16">
        <f t="shared" si="1"/>
        <v>8225</v>
      </c>
      <c r="F36" s="16" t="s">
        <v>1342</v>
      </c>
      <c r="G36" s="16" t="s">
        <v>802</v>
      </c>
      <c r="H36" s="16" t="s">
        <v>427</v>
      </c>
      <c r="I36" s="16">
        <v>1</v>
      </c>
      <c r="J36" s="1" t="s">
        <v>1341</v>
      </c>
    </row>
    <row r="37" spans="1:10">
      <c r="B37" s="16" t="str">
        <f t="shared" si="0"/>
        <v>0x2022</v>
      </c>
      <c r="D37" s="16">
        <f t="shared" si="1"/>
        <v>8226</v>
      </c>
      <c r="F37" s="16" t="s">
        <v>1343</v>
      </c>
      <c r="G37" s="16" t="s">
        <v>802</v>
      </c>
      <c r="H37" s="16" t="s">
        <v>427</v>
      </c>
      <c r="I37" s="16">
        <v>1</v>
      </c>
      <c r="J37" s="1" t="s">
        <v>1344</v>
      </c>
    </row>
    <row r="38" spans="1:10">
      <c r="B38" s="16" t="str">
        <f t="shared" si="0"/>
        <v>0x2023</v>
      </c>
      <c r="D38" s="16">
        <f t="shared" si="1"/>
        <v>8227</v>
      </c>
      <c r="F38" s="16" t="s">
        <v>1345</v>
      </c>
      <c r="G38" s="16" t="s">
        <v>802</v>
      </c>
      <c r="H38" s="16" t="s">
        <v>427</v>
      </c>
      <c r="I38" s="16">
        <v>1</v>
      </c>
      <c r="J38" s="1" t="s">
        <v>1323</v>
      </c>
    </row>
    <row r="39" spans="1:10">
      <c r="B39" s="16" t="str">
        <f t="shared" si="0"/>
        <v>0x2024</v>
      </c>
      <c r="D39" s="16">
        <f t="shared" si="1"/>
        <v>8228</v>
      </c>
      <c r="F39" s="16" t="s">
        <v>1346</v>
      </c>
      <c r="G39" s="16" t="s">
        <v>802</v>
      </c>
      <c r="H39" s="16" t="s">
        <v>427</v>
      </c>
      <c r="I39" s="16">
        <v>1</v>
      </c>
      <c r="J39" s="1" t="s">
        <v>1323</v>
      </c>
    </row>
    <row r="40" spans="1:10">
      <c r="B40" s="16" t="str">
        <f t="shared" si="0"/>
        <v>0x2025</v>
      </c>
      <c r="D40" s="16">
        <f t="shared" si="1"/>
        <v>8229</v>
      </c>
      <c r="F40" s="16" t="s">
        <v>1347</v>
      </c>
      <c r="G40" s="16" t="s">
        <v>802</v>
      </c>
      <c r="H40" s="16" t="s">
        <v>427</v>
      </c>
      <c r="I40" s="16">
        <v>1</v>
      </c>
      <c r="J40" s="1" t="s">
        <v>1307</v>
      </c>
    </row>
    <row r="41" spans="1:10">
      <c r="B41" s="16" t="str">
        <f t="shared" si="0"/>
        <v>0x2026</v>
      </c>
      <c r="D41" s="16">
        <f t="shared" si="1"/>
        <v>8230</v>
      </c>
      <c r="F41" s="16" t="s">
        <v>1348</v>
      </c>
      <c r="G41" s="16" t="s">
        <v>802</v>
      </c>
      <c r="H41" s="16" t="s">
        <v>427</v>
      </c>
      <c r="I41" s="16">
        <v>1</v>
      </c>
      <c r="J41" s="1" t="s">
        <v>1307</v>
      </c>
    </row>
    <row r="42" spans="1:10">
      <c r="B42" s="16" t="str">
        <f t="shared" si="0"/>
        <v>0x2027</v>
      </c>
      <c r="D42" s="16">
        <f t="shared" si="1"/>
        <v>8231</v>
      </c>
      <c r="F42" s="16" t="s">
        <v>1349</v>
      </c>
      <c r="G42" s="16" t="s">
        <v>802</v>
      </c>
      <c r="H42" s="16" t="s">
        <v>427</v>
      </c>
      <c r="I42" s="16">
        <v>1</v>
      </c>
      <c r="J42" s="1" t="s">
        <v>1307</v>
      </c>
    </row>
    <row r="43" spans="1:10">
      <c r="B43" s="16" t="str">
        <f t="shared" si="0"/>
        <v>0x2028</v>
      </c>
      <c r="D43" s="16">
        <f t="shared" si="1"/>
        <v>8232</v>
      </c>
      <c r="F43" s="16" t="s">
        <v>1350</v>
      </c>
      <c r="G43" s="16" t="s">
        <v>802</v>
      </c>
      <c r="H43" s="16" t="s">
        <v>427</v>
      </c>
      <c r="I43" s="16">
        <v>1</v>
      </c>
      <c r="J43" s="1" t="s">
        <v>1307</v>
      </c>
    </row>
    <row r="44" spans="1:10">
      <c r="B44" s="16" t="str">
        <f t="shared" si="0"/>
        <v>0x2029</v>
      </c>
      <c r="D44" s="16">
        <f t="shared" si="1"/>
        <v>8233</v>
      </c>
      <c r="F44" s="16" t="s">
        <v>1351</v>
      </c>
      <c r="G44" s="16" t="s">
        <v>802</v>
      </c>
      <c r="H44" s="16" t="s">
        <v>427</v>
      </c>
      <c r="I44" s="16">
        <v>1</v>
      </c>
      <c r="J44" s="1" t="s">
        <v>1307</v>
      </c>
    </row>
    <row r="45" spans="1:10">
      <c r="J45" s="1"/>
    </row>
    <row r="46" spans="1:10" s="26" customFormat="1">
      <c r="A46" s="26" t="s">
        <v>133</v>
      </c>
    </row>
    <row r="47" spans="1:10">
      <c r="B47" s="16" t="str">
        <f t="shared" ref="B47:B88" si="2">"0x"&amp;DEC2HEX(D47,4)</f>
        <v>0x2080</v>
      </c>
      <c r="C47" s="16" t="str">
        <f t="shared" ref="C47:C88" si="3">"0x"&amp;DEC2HEX(E47,4)</f>
        <v>0x2081</v>
      </c>
      <c r="D47" s="16">
        <v>8320</v>
      </c>
      <c r="E47" s="16">
        <f t="shared" ref="E47:E88" si="4">D47+I47-1</f>
        <v>8321</v>
      </c>
      <c r="F47" s="16" t="s">
        <v>1352</v>
      </c>
      <c r="G47" s="16" t="s">
        <v>1151</v>
      </c>
      <c r="H47" s="16" t="s">
        <v>471</v>
      </c>
      <c r="I47" s="16">
        <v>2</v>
      </c>
      <c r="J47" s="1" t="s">
        <v>1353</v>
      </c>
    </row>
    <row r="48" spans="1:10">
      <c r="B48" s="16" t="str">
        <f t="shared" si="2"/>
        <v>0x2082</v>
      </c>
      <c r="C48" s="16" t="str">
        <f t="shared" si="3"/>
        <v>0x2083</v>
      </c>
      <c r="D48" s="16">
        <f t="shared" ref="D48:D88" si="5">D47+I47</f>
        <v>8322</v>
      </c>
      <c r="E48" s="16">
        <f t="shared" si="4"/>
        <v>8323</v>
      </c>
      <c r="F48" s="16" t="s">
        <v>1354</v>
      </c>
      <c r="G48" s="16" t="s">
        <v>1151</v>
      </c>
      <c r="H48" s="16" t="s">
        <v>471</v>
      </c>
      <c r="I48" s="16">
        <v>2</v>
      </c>
      <c r="J48" s="1" t="s">
        <v>1353</v>
      </c>
    </row>
    <row r="49" spans="2:10">
      <c r="B49" s="16" t="str">
        <f t="shared" si="2"/>
        <v>0x2084</v>
      </c>
      <c r="C49" s="16" t="str">
        <f t="shared" si="3"/>
        <v>0x2085</v>
      </c>
      <c r="D49" s="16">
        <f t="shared" si="5"/>
        <v>8324</v>
      </c>
      <c r="E49" s="16">
        <f t="shared" si="4"/>
        <v>8325</v>
      </c>
      <c r="F49" s="1" t="s">
        <v>1355</v>
      </c>
      <c r="G49" s="16" t="s">
        <v>1151</v>
      </c>
      <c r="H49" s="16" t="s">
        <v>471</v>
      </c>
      <c r="I49" s="16">
        <v>2</v>
      </c>
      <c r="J49" s="1" t="s">
        <v>1353</v>
      </c>
    </row>
    <row r="50" spans="2:10" ht="38.25">
      <c r="B50" s="16" t="str">
        <f t="shared" si="2"/>
        <v>0x2086</v>
      </c>
      <c r="C50" s="16" t="str">
        <f t="shared" si="3"/>
        <v>0x2087</v>
      </c>
      <c r="D50" s="16">
        <f t="shared" si="5"/>
        <v>8326</v>
      </c>
      <c r="E50" s="16">
        <f t="shared" si="4"/>
        <v>8327</v>
      </c>
      <c r="F50" s="1" t="s">
        <v>1356</v>
      </c>
      <c r="G50" s="16" t="s">
        <v>1157</v>
      </c>
      <c r="H50" s="16" t="s">
        <v>471</v>
      </c>
      <c r="I50" s="16">
        <v>2</v>
      </c>
      <c r="J50" s="1" t="s">
        <v>1357</v>
      </c>
    </row>
    <row r="51" spans="2:10">
      <c r="B51" s="16" t="str">
        <f t="shared" si="2"/>
        <v>0x2088</v>
      </c>
      <c r="C51" s="16" t="str">
        <f t="shared" si="3"/>
        <v>0x2089</v>
      </c>
      <c r="D51" s="16">
        <f t="shared" si="5"/>
        <v>8328</v>
      </c>
      <c r="E51" s="16">
        <f t="shared" si="4"/>
        <v>8329</v>
      </c>
      <c r="F51" s="1" t="s">
        <v>1358</v>
      </c>
      <c r="G51" s="16" t="s">
        <v>1151</v>
      </c>
      <c r="H51" s="16" t="s">
        <v>471</v>
      </c>
      <c r="I51" s="16">
        <v>2</v>
      </c>
      <c r="J51" s="1" t="s">
        <v>1353</v>
      </c>
    </row>
    <row r="52" spans="2:10">
      <c r="B52" s="16" t="str">
        <f t="shared" si="2"/>
        <v>0x208A</v>
      </c>
      <c r="C52" s="16" t="str">
        <f t="shared" si="3"/>
        <v>0x208B</v>
      </c>
      <c r="D52" s="16">
        <f t="shared" si="5"/>
        <v>8330</v>
      </c>
      <c r="E52" s="16">
        <f t="shared" si="4"/>
        <v>8331</v>
      </c>
      <c r="F52" s="1" t="s">
        <v>1359</v>
      </c>
      <c r="G52" s="16" t="s">
        <v>1151</v>
      </c>
      <c r="H52" s="16" t="s">
        <v>471</v>
      </c>
      <c r="I52" s="16">
        <v>2</v>
      </c>
      <c r="J52" s="1" t="s">
        <v>1353</v>
      </c>
    </row>
    <row r="53" spans="2:10">
      <c r="B53" s="16" t="str">
        <f t="shared" si="2"/>
        <v>0x208C</v>
      </c>
      <c r="C53" s="16" t="str">
        <f t="shared" si="3"/>
        <v>0x208D</v>
      </c>
      <c r="D53" s="16">
        <f t="shared" si="5"/>
        <v>8332</v>
      </c>
      <c r="E53" s="16">
        <f t="shared" si="4"/>
        <v>8333</v>
      </c>
      <c r="F53" s="1" t="s">
        <v>1360</v>
      </c>
      <c r="G53" s="16" t="s">
        <v>1151</v>
      </c>
      <c r="H53" s="16" t="s">
        <v>471</v>
      </c>
      <c r="I53" s="16">
        <v>2</v>
      </c>
      <c r="J53" s="1" t="s">
        <v>1353</v>
      </c>
    </row>
    <row r="54" spans="2:10">
      <c r="B54" s="16" t="str">
        <f t="shared" si="2"/>
        <v>0x208E</v>
      </c>
      <c r="C54" s="16" t="str">
        <f t="shared" si="3"/>
        <v>0x208F</v>
      </c>
      <c r="D54" s="16">
        <f t="shared" si="5"/>
        <v>8334</v>
      </c>
      <c r="E54" s="16">
        <f t="shared" si="4"/>
        <v>8335</v>
      </c>
      <c r="F54" s="1" t="s">
        <v>1361</v>
      </c>
      <c r="G54" s="16" t="s">
        <v>1151</v>
      </c>
      <c r="H54" s="16" t="s">
        <v>471</v>
      </c>
      <c r="I54" s="16">
        <v>2</v>
      </c>
      <c r="J54" s="1" t="s">
        <v>1353</v>
      </c>
    </row>
    <row r="55" spans="2:10">
      <c r="B55" s="16" t="str">
        <f t="shared" si="2"/>
        <v>0x2090</v>
      </c>
      <c r="C55" s="16" t="str">
        <f t="shared" si="3"/>
        <v>0x2091</v>
      </c>
      <c r="D55" s="16">
        <f t="shared" si="5"/>
        <v>8336</v>
      </c>
      <c r="E55" s="16">
        <f t="shared" si="4"/>
        <v>8337</v>
      </c>
      <c r="F55" s="1" t="s">
        <v>1362</v>
      </c>
      <c r="G55" s="16" t="s">
        <v>1151</v>
      </c>
      <c r="H55" s="16" t="s">
        <v>471</v>
      </c>
      <c r="I55" s="16">
        <v>2</v>
      </c>
      <c r="J55" s="1" t="s">
        <v>1353</v>
      </c>
    </row>
    <row r="56" spans="2:10">
      <c r="B56" s="16" t="str">
        <f t="shared" si="2"/>
        <v>0x2092</v>
      </c>
      <c r="C56" s="16" t="str">
        <f t="shared" si="3"/>
        <v>0x2093</v>
      </c>
      <c r="D56" s="16">
        <f t="shared" si="5"/>
        <v>8338</v>
      </c>
      <c r="E56" s="16">
        <f t="shared" si="4"/>
        <v>8339</v>
      </c>
      <c r="F56" s="1" t="s">
        <v>1363</v>
      </c>
      <c r="G56" s="16" t="s">
        <v>1151</v>
      </c>
      <c r="H56" s="16" t="s">
        <v>471</v>
      </c>
      <c r="I56" s="16">
        <v>2</v>
      </c>
      <c r="J56" s="1" t="s">
        <v>1353</v>
      </c>
    </row>
    <row r="57" spans="2:10">
      <c r="B57" s="16" t="str">
        <f t="shared" si="2"/>
        <v>0x2094</v>
      </c>
      <c r="C57" s="16" t="str">
        <f t="shared" si="3"/>
        <v>0x2095</v>
      </c>
      <c r="D57" s="16">
        <f t="shared" si="5"/>
        <v>8340</v>
      </c>
      <c r="E57" s="16">
        <f t="shared" si="4"/>
        <v>8341</v>
      </c>
      <c r="F57" s="1" t="s">
        <v>1364</v>
      </c>
      <c r="G57" s="16" t="s">
        <v>1151</v>
      </c>
      <c r="H57" s="16" t="s">
        <v>471</v>
      </c>
      <c r="I57" s="16">
        <v>2</v>
      </c>
      <c r="J57" s="1" t="s">
        <v>1353</v>
      </c>
    </row>
    <row r="58" spans="2:10" ht="38.25">
      <c r="B58" s="16" t="str">
        <f t="shared" si="2"/>
        <v>0x2096</v>
      </c>
      <c r="C58" s="16" t="str">
        <f t="shared" si="3"/>
        <v>0x2097</v>
      </c>
      <c r="D58" s="16">
        <f t="shared" si="5"/>
        <v>8342</v>
      </c>
      <c r="E58" s="16">
        <f t="shared" si="4"/>
        <v>8343</v>
      </c>
      <c r="F58" s="1" t="s">
        <v>1365</v>
      </c>
      <c r="G58" s="16" t="s">
        <v>1157</v>
      </c>
      <c r="H58" s="16" t="s">
        <v>471</v>
      </c>
      <c r="I58" s="16">
        <v>2</v>
      </c>
      <c r="J58" s="1" t="s">
        <v>1357</v>
      </c>
    </row>
    <row r="59" spans="2:10">
      <c r="B59" s="16" t="str">
        <f t="shared" si="2"/>
        <v>0x2098</v>
      </c>
      <c r="C59" s="16" t="str">
        <f t="shared" si="3"/>
        <v>0x2099</v>
      </c>
      <c r="D59" s="16">
        <f t="shared" si="5"/>
        <v>8344</v>
      </c>
      <c r="E59" s="16">
        <f t="shared" si="4"/>
        <v>8345</v>
      </c>
      <c r="F59" s="1" t="s">
        <v>1366</v>
      </c>
      <c r="G59" s="16" t="s">
        <v>1151</v>
      </c>
      <c r="H59" s="16" t="s">
        <v>471</v>
      </c>
      <c r="I59" s="16">
        <v>2</v>
      </c>
      <c r="J59" s="1" t="s">
        <v>1353</v>
      </c>
    </row>
    <row r="60" spans="2:10">
      <c r="B60" s="16" t="str">
        <f t="shared" si="2"/>
        <v>0x209A</v>
      </c>
      <c r="C60" s="16" t="str">
        <f t="shared" si="3"/>
        <v>0x209B</v>
      </c>
      <c r="D60" s="16">
        <f t="shared" si="5"/>
        <v>8346</v>
      </c>
      <c r="E60" s="16">
        <f t="shared" si="4"/>
        <v>8347</v>
      </c>
      <c r="F60" s="1" t="s">
        <v>1367</v>
      </c>
      <c r="G60" s="16" t="s">
        <v>1151</v>
      </c>
      <c r="H60" s="16" t="s">
        <v>471</v>
      </c>
      <c r="I60" s="16">
        <v>2</v>
      </c>
      <c r="J60" s="1" t="s">
        <v>1353</v>
      </c>
    </row>
    <row r="61" spans="2:10">
      <c r="B61" s="16" t="str">
        <f t="shared" si="2"/>
        <v>0x209C</v>
      </c>
      <c r="C61" s="16" t="str">
        <f t="shared" si="3"/>
        <v>0x209D</v>
      </c>
      <c r="D61" s="16">
        <f t="shared" si="5"/>
        <v>8348</v>
      </c>
      <c r="E61" s="16">
        <f t="shared" si="4"/>
        <v>8349</v>
      </c>
      <c r="F61" s="1" t="s">
        <v>1368</v>
      </c>
      <c r="G61" s="16" t="s">
        <v>1151</v>
      </c>
      <c r="H61" s="16" t="s">
        <v>471</v>
      </c>
      <c r="I61" s="16">
        <v>2</v>
      </c>
      <c r="J61" s="1" t="s">
        <v>1353</v>
      </c>
    </row>
    <row r="62" spans="2:10">
      <c r="B62" s="16" t="str">
        <f t="shared" si="2"/>
        <v>0x209E</v>
      </c>
      <c r="C62" s="16" t="str">
        <f t="shared" si="3"/>
        <v>0x209F</v>
      </c>
      <c r="D62" s="16">
        <f t="shared" si="5"/>
        <v>8350</v>
      </c>
      <c r="E62" s="16">
        <f t="shared" si="4"/>
        <v>8351</v>
      </c>
      <c r="F62" s="1" t="s">
        <v>1369</v>
      </c>
      <c r="G62" s="16" t="s">
        <v>1151</v>
      </c>
      <c r="H62" s="16" t="s">
        <v>471</v>
      </c>
      <c r="I62" s="16">
        <v>2</v>
      </c>
      <c r="J62" s="1" t="s">
        <v>1353</v>
      </c>
    </row>
    <row r="63" spans="2:10">
      <c r="B63" s="16" t="str">
        <f t="shared" si="2"/>
        <v>0x20A0</v>
      </c>
      <c r="C63" s="16" t="str">
        <f t="shared" si="3"/>
        <v>0x20A1</v>
      </c>
      <c r="D63" s="16">
        <f t="shared" si="5"/>
        <v>8352</v>
      </c>
      <c r="E63" s="16">
        <f t="shared" si="4"/>
        <v>8353</v>
      </c>
      <c r="F63" s="1" t="s">
        <v>1370</v>
      </c>
      <c r="G63" s="16" t="s">
        <v>1151</v>
      </c>
      <c r="H63" s="16" t="s">
        <v>471</v>
      </c>
      <c r="I63" s="16">
        <v>2</v>
      </c>
      <c r="J63" s="1" t="s">
        <v>1353</v>
      </c>
    </row>
    <row r="64" spans="2:10">
      <c r="B64" s="16" t="str">
        <f t="shared" si="2"/>
        <v>0x20A2</v>
      </c>
      <c r="C64" s="16" t="str">
        <f t="shared" si="3"/>
        <v>0x20A3</v>
      </c>
      <c r="D64" s="16">
        <f t="shared" si="5"/>
        <v>8354</v>
      </c>
      <c r="E64" s="16">
        <f t="shared" si="4"/>
        <v>8355</v>
      </c>
      <c r="F64" s="1" t="s">
        <v>1371</v>
      </c>
      <c r="G64" s="16" t="s">
        <v>1151</v>
      </c>
      <c r="H64" s="16" t="s">
        <v>471</v>
      </c>
      <c r="I64" s="16">
        <v>2</v>
      </c>
      <c r="J64" s="1" t="s">
        <v>1353</v>
      </c>
    </row>
    <row r="65" spans="2:10">
      <c r="B65" s="16" t="str">
        <f t="shared" si="2"/>
        <v>0x20A4</v>
      </c>
      <c r="C65" s="16" t="str">
        <f t="shared" si="3"/>
        <v>0x20A5</v>
      </c>
      <c r="D65" s="16">
        <f t="shared" si="5"/>
        <v>8356</v>
      </c>
      <c r="E65" s="16">
        <f t="shared" si="4"/>
        <v>8357</v>
      </c>
      <c r="F65" s="1" t="s">
        <v>1372</v>
      </c>
      <c r="G65" s="16" t="s">
        <v>1151</v>
      </c>
      <c r="H65" s="16" t="s">
        <v>471</v>
      </c>
      <c r="I65" s="16">
        <v>2</v>
      </c>
      <c r="J65" s="1" t="s">
        <v>1353</v>
      </c>
    </row>
    <row r="66" spans="2:10" ht="38.25">
      <c r="B66" s="16" t="str">
        <f t="shared" si="2"/>
        <v>0x20A6</v>
      </c>
      <c r="C66" s="16" t="str">
        <f t="shared" si="3"/>
        <v>0x20A7</v>
      </c>
      <c r="D66" s="16">
        <f t="shared" si="5"/>
        <v>8358</v>
      </c>
      <c r="E66" s="16">
        <f t="shared" si="4"/>
        <v>8359</v>
      </c>
      <c r="F66" s="1" t="s">
        <v>1373</v>
      </c>
      <c r="G66" s="16" t="s">
        <v>1157</v>
      </c>
      <c r="H66" s="16" t="s">
        <v>471</v>
      </c>
      <c r="I66" s="16">
        <v>2</v>
      </c>
      <c r="J66" s="1" t="s">
        <v>1357</v>
      </c>
    </row>
    <row r="67" spans="2:10">
      <c r="B67" s="16" t="str">
        <f t="shared" si="2"/>
        <v>0x20A8</v>
      </c>
      <c r="C67" s="16" t="str">
        <f t="shared" si="3"/>
        <v>0x20A9</v>
      </c>
      <c r="D67" s="16">
        <f t="shared" si="5"/>
        <v>8360</v>
      </c>
      <c r="E67" s="16">
        <f t="shared" si="4"/>
        <v>8361</v>
      </c>
      <c r="F67" s="1" t="s">
        <v>1374</v>
      </c>
      <c r="G67" s="16" t="s">
        <v>1151</v>
      </c>
      <c r="H67" s="16" t="s">
        <v>471</v>
      </c>
      <c r="I67" s="16">
        <v>2</v>
      </c>
      <c r="J67" s="1" t="s">
        <v>1353</v>
      </c>
    </row>
    <row r="68" spans="2:10">
      <c r="B68" s="16" t="str">
        <f t="shared" si="2"/>
        <v>0x20AA</v>
      </c>
      <c r="C68" s="16" t="str">
        <f t="shared" si="3"/>
        <v>0x20AB</v>
      </c>
      <c r="D68" s="16">
        <f t="shared" si="5"/>
        <v>8362</v>
      </c>
      <c r="E68" s="16">
        <f t="shared" si="4"/>
        <v>8363</v>
      </c>
      <c r="F68" s="1" t="s">
        <v>1375</v>
      </c>
      <c r="G68" s="16" t="s">
        <v>1151</v>
      </c>
      <c r="H68" s="16" t="s">
        <v>471</v>
      </c>
      <c r="I68" s="16">
        <v>2</v>
      </c>
      <c r="J68" s="1" t="s">
        <v>1353</v>
      </c>
    </row>
    <row r="69" spans="2:10">
      <c r="B69" s="16" t="str">
        <f t="shared" si="2"/>
        <v>0x20AC</v>
      </c>
      <c r="C69" s="16" t="str">
        <f t="shared" si="3"/>
        <v>0x20AD</v>
      </c>
      <c r="D69" s="16">
        <f t="shared" si="5"/>
        <v>8364</v>
      </c>
      <c r="E69" s="16">
        <f t="shared" si="4"/>
        <v>8365</v>
      </c>
      <c r="F69" s="1" t="s">
        <v>1376</v>
      </c>
      <c r="G69" s="16" t="s">
        <v>1151</v>
      </c>
      <c r="H69" s="16" t="s">
        <v>471</v>
      </c>
      <c r="I69" s="16">
        <v>2</v>
      </c>
      <c r="J69" s="1" t="s">
        <v>1353</v>
      </c>
    </row>
    <row r="70" spans="2:10">
      <c r="B70" s="16" t="str">
        <f t="shared" si="2"/>
        <v>0x20AE</v>
      </c>
      <c r="C70" s="16" t="str">
        <f t="shared" si="3"/>
        <v>0x20AF</v>
      </c>
      <c r="D70" s="16">
        <f t="shared" si="5"/>
        <v>8366</v>
      </c>
      <c r="E70" s="16">
        <f t="shared" si="4"/>
        <v>8367</v>
      </c>
      <c r="F70" s="1" t="s">
        <v>1377</v>
      </c>
      <c r="G70" s="16" t="s">
        <v>1151</v>
      </c>
      <c r="H70" s="16" t="s">
        <v>471</v>
      </c>
      <c r="I70" s="16">
        <v>2</v>
      </c>
      <c r="J70" s="1" t="s">
        <v>1353</v>
      </c>
    </row>
    <row r="71" spans="2:10">
      <c r="B71" s="16" t="str">
        <f t="shared" si="2"/>
        <v>0x20B0</v>
      </c>
      <c r="C71" s="16" t="str">
        <f t="shared" si="3"/>
        <v>0x20B1</v>
      </c>
      <c r="D71" s="16">
        <f t="shared" si="5"/>
        <v>8368</v>
      </c>
      <c r="E71" s="16">
        <f t="shared" si="4"/>
        <v>8369</v>
      </c>
      <c r="F71" s="16" t="s">
        <v>1378</v>
      </c>
      <c r="G71" s="16" t="s">
        <v>1151</v>
      </c>
      <c r="H71" s="16" t="s">
        <v>471</v>
      </c>
      <c r="I71" s="16">
        <v>2</v>
      </c>
      <c r="J71" s="1" t="s">
        <v>1353</v>
      </c>
    </row>
    <row r="72" spans="2:10">
      <c r="B72" s="16" t="str">
        <f t="shared" si="2"/>
        <v>0x20B2</v>
      </c>
      <c r="C72" s="16" t="str">
        <f t="shared" si="3"/>
        <v>0x20B3</v>
      </c>
      <c r="D72" s="16">
        <f t="shared" si="5"/>
        <v>8370</v>
      </c>
      <c r="E72" s="16">
        <f t="shared" si="4"/>
        <v>8371</v>
      </c>
      <c r="F72" s="16" t="s">
        <v>1379</v>
      </c>
      <c r="G72" s="16" t="s">
        <v>1151</v>
      </c>
      <c r="H72" s="16" t="s">
        <v>471</v>
      </c>
      <c r="I72" s="16">
        <v>2</v>
      </c>
      <c r="J72" s="1" t="s">
        <v>1353</v>
      </c>
    </row>
    <row r="73" spans="2:10">
      <c r="B73" s="16" t="str">
        <f t="shared" si="2"/>
        <v>0x20B4</v>
      </c>
      <c r="C73" s="16" t="str">
        <f t="shared" si="3"/>
        <v>0x20B5</v>
      </c>
      <c r="D73" s="16">
        <f t="shared" si="5"/>
        <v>8372</v>
      </c>
      <c r="E73" s="16">
        <f t="shared" si="4"/>
        <v>8373</v>
      </c>
      <c r="F73" s="16" t="s">
        <v>1380</v>
      </c>
      <c r="G73" s="16" t="s">
        <v>1151</v>
      </c>
      <c r="H73" s="16" t="s">
        <v>471</v>
      </c>
      <c r="I73" s="16">
        <v>2</v>
      </c>
      <c r="J73" s="1" t="s">
        <v>1353</v>
      </c>
    </row>
    <row r="74" spans="2:10">
      <c r="B74" s="16" t="str">
        <f t="shared" si="2"/>
        <v>0x20B6</v>
      </c>
      <c r="C74" s="16" t="str">
        <f t="shared" si="3"/>
        <v>0x20B7</v>
      </c>
      <c r="D74" s="16">
        <f t="shared" si="5"/>
        <v>8374</v>
      </c>
      <c r="E74" s="16">
        <f t="shared" si="4"/>
        <v>8375</v>
      </c>
      <c r="F74" s="16" t="s">
        <v>1381</v>
      </c>
      <c r="G74" s="16" t="s">
        <v>1151</v>
      </c>
      <c r="H74" s="16" t="s">
        <v>471</v>
      </c>
      <c r="I74" s="16">
        <v>2</v>
      </c>
      <c r="J74" s="1" t="s">
        <v>1353</v>
      </c>
    </row>
    <row r="75" spans="2:10">
      <c r="B75" s="16" t="str">
        <f t="shared" si="2"/>
        <v>0x20B8</v>
      </c>
      <c r="C75" s="16" t="str">
        <f t="shared" si="3"/>
        <v>0x20B9</v>
      </c>
      <c r="D75" s="16">
        <f t="shared" si="5"/>
        <v>8376</v>
      </c>
      <c r="E75" s="16">
        <f t="shared" si="4"/>
        <v>8377</v>
      </c>
      <c r="F75" s="16" t="s">
        <v>1382</v>
      </c>
      <c r="G75" s="16" t="s">
        <v>1151</v>
      </c>
      <c r="H75" s="16" t="s">
        <v>471</v>
      </c>
      <c r="I75" s="16">
        <v>2</v>
      </c>
      <c r="J75" s="1" t="s">
        <v>1353</v>
      </c>
    </row>
    <row r="76" spans="2:10">
      <c r="B76" s="16" t="str">
        <f t="shared" si="2"/>
        <v>0x20BA</v>
      </c>
      <c r="C76" s="16" t="str">
        <f t="shared" si="3"/>
        <v>0x20BB</v>
      </c>
      <c r="D76" s="16">
        <f t="shared" si="5"/>
        <v>8378</v>
      </c>
      <c r="E76" s="16">
        <f t="shared" si="4"/>
        <v>8379</v>
      </c>
      <c r="F76" s="16" t="s">
        <v>1383</v>
      </c>
      <c r="G76" s="16" t="s">
        <v>1151</v>
      </c>
      <c r="H76" s="16" t="s">
        <v>471</v>
      </c>
      <c r="I76" s="16">
        <v>2</v>
      </c>
      <c r="J76" s="1" t="s">
        <v>1353</v>
      </c>
    </row>
    <row r="77" spans="2:10">
      <c r="B77" s="16" t="str">
        <f t="shared" si="2"/>
        <v>0x20BC</v>
      </c>
      <c r="C77" s="16" t="str">
        <f t="shared" si="3"/>
        <v>0x20BD</v>
      </c>
      <c r="D77" s="16">
        <f t="shared" si="5"/>
        <v>8380</v>
      </c>
      <c r="E77" s="16">
        <f t="shared" si="4"/>
        <v>8381</v>
      </c>
      <c r="F77" s="16" t="s">
        <v>1384</v>
      </c>
      <c r="G77" s="16" t="s">
        <v>1151</v>
      </c>
      <c r="H77" s="16" t="s">
        <v>471</v>
      </c>
      <c r="I77" s="16">
        <v>2</v>
      </c>
      <c r="J77" s="1" t="s">
        <v>1353</v>
      </c>
    </row>
    <row r="78" spans="2:10">
      <c r="B78" s="16" t="str">
        <f t="shared" si="2"/>
        <v>0x20BE</v>
      </c>
      <c r="C78" s="16" t="str">
        <f t="shared" si="3"/>
        <v>0x20BF</v>
      </c>
      <c r="D78" s="16">
        <f t="shared" si="5"/>
        <v>8382</v>
      </c>
      <c r="E78" s="16">
        <f t="shared" si="4"/>
        <v>8383</v>
      </c>
      <c r="F78" s="16" t="s">
        <v>1385</v>
      </c>
      <c r="G78" s="16" t="s">
        <v>1151</v>
      </c>
      <c r="H78" s="16" t="s">
        <v>471</v>
      </c>
      <c r="I78" s="16">
        <v>2</v>
      </c>
      <c r="J78" s="1" t="s">
        <v>1353</v>
      </c>
    </row>
    <row r="79" spans="2:10">
      <c r="B79" s="16" t="str">
        <f t="shared" si="2"/>
        <v>0x20C0</v>
      </c>
      <c r="C79" s="16" t="str">
        <f t="shared" si="3"/>
        <v>0x20C1</v>
      </c>
      <c r="D79" s="16">
        <f t="shared" si="5"/>
        <v>8384</v>
      </c>
      <c r="E79" s="16">
        <f t="shared" si="4"/>
        <v>8385</v>
      </c>
      <c r="F79" s="16" t="s">
        <v>1386</v>
      </c>
      <c r="G79" s="16" t="s">
        <v>1151</v>
      </c>
      <c r="H79" s="16" t="s">
        <v>471</v>
      </c>
      <c r="I79" s="16">
        <v>2</v>
      </c>
      <c r="J79" s="1" t="s">
        <v>1353</v>
      </c>
    </row>
    <row r="80" spans="2:10">
      <c r="B80" s="16" t="str">
        <f t="shared" si="2"/>
        <v>0x20C2</v>
      </c>
      <c r="C80" s="16" t="str">
        <f t="shared" si="3"/>
        <v>0x20C3</v>
      </c>
      <c r="D80" s="16">
        <f t="shared" si="5"/>
        <v>8386</v>
      </c>
      <c r="E80" s="16">
        <f t="shared" si="4"/>
        <v>8387</v>
      </c>
      <c r="F80" s="16" t="s">
        <v>1387</v>
      </c>
      <c r="G80" s="16" t="s">
        <v>1151</v>
      </c>
      <c r="H80" s="16" t="s">
        <v>471</v>
      </c>
      <c r="I80" s="16">
        <v>2</v>
      </c>
      <c r="J80" s="1" t="s">
        <v>1353</v>
      </c>
    </row>
    <row r="81" spans="1:10">
      <c r="B81" s="16" t="str">
        <f t="shared" si="2"/>
        <v>0x20C4</v>
      </c>
      <c r="C81" s="16" t="str">
        <f t="shared" si="3"/>
        <v>0x20C5</v>
      </c>
      <c r="D81" s="16">
        <f t="shared" si="5"/>
        <v>8388</v>
      </c>
      <c r="E81" s="16">
        <f t="shared" si="4"/>
        <v>8389</v>
      </c>
      <c r="F81" s="16" t="s">
        <v>1388</v>
      </c>
      <c r="G81" s="16" t="s">
        <v>1151</v>
      </c>
      <c r="H81" s="16" t="s">
        <v>471</v>
      </c>
      <c r="I81" s="16">
        <v>2</v>
      </c>
      <c r="J81" s="1" t="s">
        <v>1353</v>
      </c>
    </row>
    <row r="82" spans="1:10">
      <c r="B82" s="16" t="str">
        <f t="shared" si="2"/>
        <v>0x20C6</v>
      </c>
      <c r="C82" s="16" t="str">
        <f t="shared" si="3"/>
        <v>0x20C7</v>
      </c>
      <c r="D82" s="16">
        <f t="shared" si="5"/>
        <v>8390</v>
      </c>
      <c r="E82" s="16">
        <f t="shared" si="4"/>
        <v>8391</v>
      </c>
      <c r="F82" s="16" t="s">
        <v>1389</v>
      </c>
      <c r="G82" s="16" t="s">
        <v>1151</v>
      </c>
      <c r="H82" s="16" t="s">
        <v>471</v>
      </c>
      <c r="I82" s="16">
        <v>2</v>
      </c>
      <c r="J82" s="1" t="s">
        <v>1353</v>
      </c>
    </row>
    <row r="83" spans="1:10">
      <c r="B83" s="16" t="str">
        <f t="shared" si="2"/>
        <v>0x20C8</v>
      </c>
      <c r="C83" s="16" t="str">
        <f t="shared" si="3"/>
        <v>0x20C9</v>
      </c>
      <c r="D83" s="16">
        <f t="shared" si="5"/>
        <v>8392</v>
      </c>
      <c r="E83" s="16">
        <f t="shared" si="4"/>
        <v>8393</v>
      </c>
      <c r="F83" s="16" t="s">
        <v>1390</v>
      </c>
      <c r="G83" s="16" t="s">
        <v>1151</v>
      </c>
      <c r="H83" s="16" t="s">
        <v>471</v>
      </c>
      <c r="I83" s="16">
        <v>2</v>
      </c>
      <c r="J83" s="1" t="s">
        <v>1353</v>
      </c>
    </row>
    <row r="84" spans="1:10">
      <c r="B84" s="16" t="str">
        <f t="shared" si="2"/>
        <v>0x20CA</v>
      </c>
      <c r="C84" s="16" t="str">
        <f t="shared" si="3"/>
        <v>0x20CB</v>
      </c>
      <c r="D84" s="16">
        <f t="shared" si="5"/>
        <v>8394</v>
      </c>
      <c r="E84" s="16">
        <f t="shared" si="4"/>
        <v>8395</v>
      </c>
      <c r="F84" s="16" t="s">
        <v>1391</v>
      </c>
      <c r="G84" s="16" t="s">
        <v>1151</v>
      </c>
      <c r="H84" s="16" t="s">
        <v>471</v>
      </c>
      <c r="I84" s="16">
        <v>2</v>
      </c>
      <c r="J84" s="1" t="s">
        <v>1353</v>
      </c>
    </row>
    <row r="85" spans="1:10">
      <c r="B85" s="16" t="str">
        <f t="shared" si="2"/>
        <v>0x20CC</v>
      </c>
      <c r="C85" s="16" t="str">
        <f t="shared" si="3"/>
        <v>0x20CD</v>
      </c>
      <c r="D85" s="16">
        <f t="shared" si="5"/>
        <v>8396</v>
      </c>
      <c r="E85" s="16">
        <f t="shared" si="4"/>
        <v>8397</v>
      </c>
      <c r="F85" s="16" t="s">
        <v>1392</v>
      </c>
      <c r="G85" s="16" t="s">
        <v>1151</v>
      </c>
      <c r="H85" s="16" t="s">
        <v>471</v>
      </c>
      <c r="I85" s="16">
        <v>2</v>
      </c>
      <c r="J85" s="1" t="s">
        <v>1353</v>
      </c>
    </row>
    <row r="86" spans="1:10">
      <c r="B86" s="16" t="str">
        <f t="shared" si="2"/>
        <v>0x20CE</v>
      </c>
      <c r="C86" s="16" t="str">
        <f t="shared" si="3"/>
        <v>0x20CF</v>
      </c>
      <c r="D86" s="16">
        <f t="shared" si="5"/>
        <v>8398</v>
      </c>
      <c r="E86" s="16">
        <f t="shared" si="4"/>
        <v>8399</v>
      </c>
      <c r="F86" s="16" t="s">
        <v>1393</v>
      </c>
      <c r="G86" s="16" t="s">
        <v>1151</v>
      </c>
      <c r="H86" s="16" t="s">
        <v>471</v>
      </c>
      <c r="I86" s="16">
        <v>2</v>
      </c>
      <c r="J86" s="1" t="s">
        <v>1353</v>
      </c>
    </row>
    <row r="87" spans="1:10">
      <c r="B87" s="16" t="str">
        <f t="shared" si="2"/>
        <v>0x20D0</v>
      </c>
      <c r="C87" s="16" t="str">
        <f t="shared" si="3"/>
        <v>0x20D1</v>
      </c>
      <c r="D87" s="16">
        <f t="shared" si="5"/>
        <v>8400</v>
      </c>
      <c r="E87" s="16">
        <f t="shared" si="4"/>
        <v>8401</v>
      </c>
      <c r="F87" s="16" t="s">
        <v>1394</v>
      </c>
      <c r="G87" s="16" t="s">
        <v>1151</v>
      </c>
      <c r="H87" s="16" t="s">
        <v>471</v>
      </c>
      <c r="I87" s="16">
        <v>2</v>
      </c>
      <c r="J87" s="1" t="s">
        <v>1353</v>
      </c>
    </row>
    <row r="88" spans="1:10">
      <c r="B88" s="16" t="str">
        <f t="shared" si="2"/>
        <v>0x20D2</v>
      </c>
      <c r="C88" s="16" t="str">
        <f t="shared" si="3"/>
        <v>0x20D3</v>
      </c>
      <c r="D88" s="16">
        <f t="shared" si="5"/>
        <v>8402</v>
      </c>
      <c r="E88" s="16">
        <f t="shared" si="4"/>
        <v>8403</v>
      </c>
      <c r="F88" s="16" t="s">
        <v>1395</v>
      </c>
      <c r="G88" s="16" t="s">
        <v>1151</v>
      </c>
      <c r="H88" s="16" t="s">
        <v>471</v>
      </c>
      <c r="I88" s="16">
        <v>2</v>
      </c>
      <c r="J88" s="1" t="s">
        <v>1353</v>
      </c>
    </row>
    <row r="90" spans="1:10">
      <c r="A90" s="26" t="s">
        <v>1396</v>
      </c>
      <c r="J90" s="1"/>
    </row>
    <row r="91" spans="1:10">
      <c r="B91" s="16" t="str">
        <f t="shared" ref="B91:B132" si="6">"0x"&amp;DEC2HEX(D91,4)</f>
        <v>0x2180</v>
      </c>
      <c r="C91" s="16" t="str">
        <f t="shared" ref="C91:C137" si="7">"0x"&amp;DEC2HEX(E91,4)</f>
        <v>0x2181</v>
      </c>
      <c r="D91" s="16">
        <v>8576</v>
      </c>
      <c r="E91" s="16">
        <f t="shared" ref="E91:E137" si="8">D91+I91-1</f>
        <v>8577</v>
      </c>
      <c r="F91" s="16" t="s">
        <v>1073</v>
      </c>
      <c r="G91" s="16" t="s">
        <v>541</v>
      </c>
      <c r="H91" s="16" t="s">
        <v>427</v>
      </c>
      <c r="I91" s="16">
        <v>2</v>
      </c>
      <c r="J91" s="1"/>
    </row>
    <row r="92" spans="1:10">
      <c r="B92" s="16" t="str">
        <f t="shared" si="6"/>
        <v>0x2182</v>
      </c>
      <c r="C92" s="16" t="str">
        <f t="shared" si="7"/>
        <v>0x2183</v>
      </c>
      <c r="D92" s="16">
        <f t="shared" ref="D92:D137" si="9">D91+I91</f>
        <v>8578</v>
      </c>
      <c r="E92" s="16">
        <f t="shared" si="8"/>
        <v>8579</v>
      </c>
      <c r="F92" s="16" t="s">
        <v>1306</v>
      </c>
      <c r="G92" s="16" t="s">
        <v>541</v>
      </c>
      <c r="H92" s="16" t="s">
        <v>427</v>
      </c>
      <c r="I92" s="16">
        <v>2</v>
      </c>
      <c r="J92" s="1"/>
    </row>
    <row r="93" spans="1:10">
      <c r="B93" s="16" t="str">
        <f t="shared" si="6"/>
        <v>0x2184</v>
      </c>
      <c r="C93" s="16" t="str">
        <f t="shared" si="7"/>
        <v>0x2185</v>
      </c>
      <c r="D93" s="16">
        <f t="shared" si="9"/>
        <v>8580</v>
      </c>
      <c r="E93" s="16">
        <f t="shared" si="8"/>
        <v>8581</v>
      </c>
      <c r="F93" s="16" t="s">
        <v>1308</v>
      </c>
      <c r="G93" s="16" t="s">
        <v>541</v>
      </c>
      <c r="H93" s="16" t="s">
        <v>427</v>
      </c>
      <c r="I93" s="16">
        <v>2</v>
      </c>
      <c r="J93" s="1"/>
    </row>
    <row r="94" spans="1:10">
      <c r="B94" s="16" t="str">
        <f t="shared" si="6"/>
        <v>0x2186</v>
      </c>
      <c r="C94" s="16" t="str">
        <f t="shared" si="7"/>
        <v>0x2187</v>
      </c>
      <c r="D94" s="16">
        <f t="shared" si="9"/>
        <v>8582</v>
      </c>
      <c r="E94" s="16">
        <f t="shared" si="8"/>
        <v>8583</v>
      </c>
      <c r="F94" s="16" t="s">
        <v>1309</v>
      </c>
      <c r="G94" s="16" t="s">
        <v>541</v>
      </c>
      <c r="H94" s="16" t="s">
        <v>427</v>
      </c>
      <c r="I94" s="16">
        <v>2</v>
      </c>
    </row>
    <row r="95" spans="1:10">
      <c r="B95" s="16" t="str">
        <f t="shared" si="6"/>
        <v>0x2188</v>
      </c>
      <c r="C95" s="16" t="str">
        <f t="shared" si="7"/>
        <v>0x2189</v>
      </c>
      <c r="D95" s="16">
        <f t="shared" si="9"/>
        <v>8584</v>
      </c>
      <c r="E95" s="16">
        <f t="shared" si="8"/>
        <v>8585</v>
      </c>
      <c r="F95" s="16" t="s">
        <v>1310</v>
      </c>
      <c r="G95" s="16" t="s">
        <v>541</v>
      </c>
      <c r="H95" s="16" t="s">
        <v>427</v>
      </c>
      <c r="I95" s="16">
        <v>2</v>
      </c>
    </row>
    <row r="96" spans="1:10">
      <c r="B96" s="16" t="str">
        <f t="shared" si="6"/>
        <v>0x218A</v>
      </c>
      <c r="C96" s="16" t="str">
        <f t="shared" si="7"/>
        <v>0x218B</v>
      </c>
      <c r="D96" s="16">
        <f t="shared" si="9"/>
        <v>8586</v>
      </c>
      <c r="E96" s="16">
        <f t="shared" si="8"/>
        <v>8587</v>
      </c>
      <c r="F96" s="16" t="s">
        <v>1311</v>
      </c>
      <c r="G96" s="16" t="s">
        <v>541</v>
      </c>
      <c r="H96" s="16" t="s">
        <v>427</v>
      </c>
      <c r="I96" s="16">
        <v>2</v>
      </c>
    </row>
    <row r="97" spans="2:9">
      <c r="B97" s="16" t="str">
        <f t="shared" si="6"/>
        <v>0x218C</v>
      </c>
      <c r="C97" s="16" t="str">
        <f t="shared" si="7"/>
        <v>0x218D</v>
      </c>
      <c r="D97" s="16">
        <f t="shared" si="9"/>
        <v>8588</v>
      </c>
      <c r="E97" s="16">
        <f t="shared" si="8"/>
        <v>8589</v>
      </c>
      <c r="F97" s="16" t="s">
        <v>1312</v>
      </c>
      <c r="G97" s="16" t="s">
        <v>541</v>
      </c>
      <c r="H97" s="16" t="s">
        <v>427</v>
      </c>
      <c r="I97" s="16">
        <v>2</v>
      </c>
    </row>
    <row r="98" spans="2:9">
      <c r="B98" s="16" t="str">
        <f t="shared" si="6"/>
        <v>0x218E</v>
      </c>
      <c r="C98" s="16" t="str">
        <f t="shared" si="7"/>
        <v>0x218F</v>
      </c>
      <c r="D98" s="16">
        <f t="shared" si="9"/>
        <v>8590</v>
      </c>
      <c r="E98" s="16">
        <f t="shared" si="8"/>
        <v>8591</v>
      </c>
      <c r="F98" s="16" t="s">
        <v>1313</v>
      </c>
      <c r="G98" s="16" t="s">
        <v>541</v>
      </c>
      <c r="H98" s="16" t="s">
        <v>427</v>
      </c>
      <c r="I98" s="16">
        <v>2</v>
      </c>
    </row>
    <row r="99" spans="2:9">
      <c r="B99" s="16" t="str">
        <f t="shared" si="6"/>
        <v>0x2190</v>
      </c>
      <c r="C99" s="16" t="str">
        <f t="shared" si="7"/>
        <v>0x2191</v>
      </c>
      <c r="D99" s="16">
        <f t="shared" si="9"/>
        <v>8592</v>
      </c>
      <c r="E99" s="16">
        <f t="shared" si="8"/>
        <v>8593</v>
      </c>
      <c r="F99" s="16" t="s">
        <v>1314</v>
      </c>
      <c r="G99" s="16" t="s">
        <v>541</v>
      </c>
      <c r="H99" s="16" t="s">
        <v>427</v>
      </c>
      <c r="I99" s="16">
        <v>2</v>
      </c>
    </row>
    <row r="100" spans="2:9">
      <c r="B100" s="16" t="str">
        <f t="shared" si="6"/>
        <v>0x2192</v>
      </c>
      <c r="C100" s="16" t="str">
        <f t="shared" si="7"/>
        <v>0x2193</v>
      </c>
      <c r="D100" s="16">
        <f t="shared" si="9"/>
        <v>8594</v>
      </c>
      <c r="E100" s="16">
        <f t="shared" si="8"/>
        <v>8595</v>
      </c>
      <c r="F100" s="16" t="s">
        <v>1315</v>
      </c>
      <c r="G100" s="16" t="s">
        <v>541</v>
      </c>
      <c r="H100" s="16" t="s">
        <v>427</v>
      </c>
      <c r="I100" s="16">
        <v>2</v>
      </c>
    </row>
    <row r="101" spans="2:9">
      <c r="B101" s="16" t="str">
        <f t="shared" si="6"/>
        <v>0x2194</v>
      </c>
      <c r="C101" s="16" t="str">
        <f t="shared" si="7"/>
        <v>0x2195</v>
      </c>
      <c r="D101" s="16">
        <f t="shared" si="9"/>
        <v>8596</v>
      </c>
      <c r="E101" s="16">
        <f t="shared" si="8"/>
        <v>8597</v>
      </c>
      <c r="F101" s="16" t="s">
        <v>1316</v>
      </c>
      <c r="G101" s="16" t="s">
        <v>541</v>
      </c>
      <c r="H101" s="16" t="s">
        <v>427</v>
      </c>
      <c r="I101" s="16">
        <v>2</v>
      </c>
    </row>
    <row r="102" spans="2:9">
      <c r="B102" s="16" t="str">
        <f t="shared" si="6"/>
        <v>0x2196</v>
      </c>
      <c r="C102" s="16" t="str">
        <f t="shared" si="7"/>
        <v>0x2197</v>
      </c>
      <c r="D102" s="16">
        <f t="shared" si="9"/>
        <v>8598</v>
      </c>
      <c r="E102" s="16">
        <f t="shared" si="8"/>
        <v>8599</v>
      </c>
      <c r="F102" s="16" t="s">
        <v>1317</v>
      </c>
      <c r="G102" s="16" t="s">
        <v>541</v>
      </c>
      <c r="H102" s="16" t="s">
        <v>427</v>
      </c>
      <c r="I102" s="16">
        <v>2</v>
      </c>
    </row>
    <row r="103" spans="2:9">
      <c r="B103" s="16" t="str">
        <f t="shared" si="6"/>
        <v>0x2198</v>
      </c>
      <c r="C103" s="16" t="str">
        <f t="shared" si="7"/>
        <v>0x2199</v>
      </c>
      <c r="D103" s="16">
        <f t="shared" si="9"/>
        <v>8600</v>
      </c>
      <c r="E103" s="16">
        <f t="shared" si="8"/>
        <v>8601</v>
      </c>
      <c r="F103" s="16" t="s">
        <v>1318</v>
      </c>
      <c r="G103" s="16" t="s">
        <v>541</v>
      </c>
      <c r="H103" s="16" t="s">
        <v>427</v>
      </c>
      <c r="I103" s="16">
        <v>2</v>
      </c>
    </row>
    <row r="104" spans="2:9">
      <c r="B104" s="16" t="str">
        <f t="shared" si="6"/>
        <v>0x219A</v>
      </c>
      <c r="C104" s="16" t="str">
        <f t="shared" si="7"/>
        <v>0x219B</v>
      </c>
      <c r="D104" s="16">
        <f t="shared" si="9"/>
        <v>8602</v>
      </c>
      <c r="E104" s="16">
        <f t="shared" si="8"/>
        <v>8603</v>
      </c>
      <c r="F104" s="16" t="s">
        <v>1319</v>
      </c>
      <c r="G104" s="16" t="s">
        <v>541</v>
      </c>
      <c r="H104" s="16" t="s">
        <v>427</v>
      </c>
      <c r="I104" s="16">
        <v>2</v>
      </c>
    </row>
    <row r="105" spans="2:9">
      <c r="B105" s="16" t="str">
        <f t="shared" si="6"/>
        <v>0x219C</v>
      </c>
      <c r="C105" s="16" t="str">
        <f t="shared" si="7"/>
        <v>0x219D</v>
      </c>
      <c r="D105" s="16">
        <f t="shared" si="9"/>
        <v>8604</v>
      </c>
      <c r="E105" s="16">
        <f t="shared" si="8"/>
        <v>8605</v>
      </c>
      <c r="F105" s="16" t="s">
        <v>1320</v>
      </c>
      <c r="G105" s="16" t="s">
        <v>541</v>
      </c>
      <c r="H105" s="16" t="s">
        <v>427</v>
      </c>
      <c r="I105" s="16">
        <v>2</v>
      </c>
    </row>
    <row r="106" spans="2:9">
      <c r="B106" s="16" t="str">
        <f t="shared" si="6"/>
        <v>0x219E</v>
      </c>
      <c r="C106" s="16" t="str">
        <f t="shared" si="7"/>
        <v>0x219F</v>
      </c>
      <c r="D106" s="16">
        <f t="shared" si="9"/>
        <v>8606</v>
      </c>
      <c r="E106" s="16">
        <f t="shared" si="8"/>
        <v>8607</v>
      </c>
      <c r="F106" s="16" t="s">
        <v>1321</v>
      </c>
      <c r="G106" s="16" t="s">
        <v>541</v>
      </c>
      <c r="H106" s="16" t="s">
        <v>427</v>
      </c>
      <c r="I106" s="16">
        <v>2</v>
      </c>
    </row>
    <row r="107" spans="2:9">
      <c r="B107" s="16" t="str">
        <f t="shared" si="6"/>
        <v>0x21A0</v>
      </c>
      <c r="C107" s="16" t="str">
        <f t="shared" si="7"/>
        <v>0x21A1</v>
      </c>
      <c r="D107" s="16">
        <f t="shared" si="9"/>
        <v>8608</v>
      </c>
      <c r="E107" s="16">
        <f t="shared" si="8"/>
        <v>8609</v>
      </c>
      <c r="F107" s="16" t="s">
        <v>1322</v>
      </c>
      <c r="G107" s="16" t="s">
        <v>541</v>
      </c>
      <c r="H107" s="16" t="s">
        <v>427</v>
      </c>
      <c r="I107" s="16">
        <v>2</v>
      </c>
    </row>
    <row r="108" spans="2:9">
      <c r="B108" s="16" t="str">
        <f t="shared" si="6"/>
        <v>0x21A2</v>
      </c>
      <c r="C108" s="16" t="str">
        <f t="shared" si="7"/>
        <v>0x21A3</v>
      </c>
      <c r="D108" s="16">
        <f t="shared" si="9"/>
        <v>8610</v>
      </c>
      <c r="E108" s="16">
        <f t="shared" si="8"/>
        <v>8611</v>
      </c>
      <c r="F108" s="16" t="s">
        <v>1324</v>
      </c>
      <c r="G108" s="16" t="s">
        <v>541</v>
      </c>
      <c r="H108" s="16" t="s">
        <v>427</v>
      </c>
      <c r="I108" s="16">
        <v>2</v>
      </c>
    </row>
    <row r="109" spans="2:9">
      <c r="B109" s="16" t="str">
        <f t="shared" si="6"/>
        <v>0x21A4</v>
      </c>
      <c r="C109" s="16" t="str">
        <f t="shared" si="7"/>
        <v>0x21A5</v>
      </c>
      <c r="D109" s="16">
        <f t="shared" si="9"/>
        <v>8612</v>
      </c>
      <c r="E109" s="16">
        <f t="shared" si="8"/>
        <v>8613</v>
      </c>
      <c r="F109" s="16" t="s">
        <v>1325</v>
      </c>
      <c r="G109" s="16" t="s">
        <v>541</v>
      </c>
      <c r="H109" s="16" t="s">
        <v>427</v>
      </c>
      <c r="I109" s="16">
        <v>2</v>
      </c>
    </row>
    <row r="110" spans="2:9">
      <c r="B110" s="16" t="str">
        <f t="shared" si="6"/>
        <v>0x21A6</v>
      </c>
      <c r="C110" s="16" t="str">
        <f t="shared" si="7"/>
        <v>0x21A7</v>
      </c>
      <c r="D110" s="16">
        <f t="shared" si="9"/>
        <v>8614</v>
      </c>
      <c r="E110" s="16">
        <f t="shared" si="8"/>
        <v>8615</v>
      </c>
      <c r="F110" s="16" t="s">
        <v>1326</v>
      </c>
      <c r="G110" s="16" t="s">
        <v>541</v>
      </c>
      <c r="H110" s="16" t="s">
        <v>427</v>
      </c>
      <c r="I110" s="16">
        <v>2</v>
      </c>
    </row>
    <row r="111" spans="2:9">
      <c r="B111" s="16" t="str">
        <f t="shared" si="6"/>
        <v>0x21A8</v>
      </c>
      <c r="C111" s="16" t="str">
        <f t="shared" si="7"/>
        <v>0x21A9</v>
      </c>
      <c r="D111" s="16">
        <f t="shared" si="9"/>
        <v>8616</v>
      </c>
      <c r="E111" s="16">
        <f t="shared" si="8"/>
        <v>8617</v>
      </c>
      <c r="F111" s="16" t="s">
        <v>1327</v>
      </c>
      <c r="G111" s="16" t="s">
        <v>541</v>
      </c>
      <c r="H111" s="16" t="s">
        <v>427</v>
      </c>
      <c r="I111" s="16">
        <v>2</v>
      </c>
    </row>
    <row r="112" spans="2:9">
      <c r="B112" s="16" t="str">
        <f t="shared" si="6"/>
        <v>0x21AA</v>
      </c>
      <c r="C112" s="16" t="str">
        <f t="shared" si="7"/>
        <v>0x21AB</v>
      </c>
      <c r="D112" s="16">
        <f t="shared" si="9"/>
        <v>8618</v>
      </c>
      <c r="E112" s="16">
        <f t="shared" si="8"/>
        <v>8619</v>
      </c>
      <c r="F112" s="16" t="s">
        <v>1328</v>
      </c>
      <c r="G112" s="16" t="s">
        <v>541</v>
      </c>
      <c r="H112" s="16" t="s">
        <v>427</v>
      </c>
      <c r="I112" s="16">
        <v>2</v>
      </c>
    </row>
    <row r="113" spans="2:9">
      <c r="B113" s="16" t="str">
        <f t="shared" si="6"/>
        <v>0x21AC</v>
      </c>
      <c r="C113" s="16" t="str">
        <f t="shared" si="7"/>
        <v>0x21AD</v>
      </c>
      <c r="D113" s="16">
        <f t="shared" si="9"/>
        <v>8620</v>
      </c>
      <c r="E113" s="16">
        <f t="shared" si="8"/>
        <v>8621</v>
      </c>
      <c r="F113" s="16" t="s">
        <v>1329</v>
      </c>
      <c r="G113" s="16" t="s">
        <v>541</v>
      </c>
      <c r="H113" s="16" t="s">
        <v>427</v>
      </c>
      <c r="I113" s="16">
        <v>2</v>
      </c>
    </row>
    <row r="114" spans="2:9">
      <c r="B114" s="16" t="str">
        <f t="shared" si="6"/>
        <v>0x21AE</v>
      </c>
      <c r="C114" s="16" t="str">
        <f t="shared" si="7"/>
        <v>0x21AF</v>
      </c>
      <c r="D114" s="16">
        <f t="shared" si="9"/>
        <v>8622</v>
      </c>
      <c r="E114" s="16">
        <f t="shared" si="8"/>
        <v>8623</v>
      </c>
      <c r="F114" s="16" t="s">
        <v>1330</v>
      </c>
      <c r="G114" s="16" t="s">
        <v>541</v>
      </c>
      <c r="H114" s="16" t="s">
        <v>427</v>
      </c>
      <c r="I114" s="16">
        <v>2</v>
      </c>
    </row>
    <row r="115" spans="2:9">
      <c r="B115" s="16" t="str">
        <f t="shared" si="6"/>
        <v>0x21B0</v>
      </c>
      <c r="C115" s="16" t="str">
        <f t="shared" si="7"/>
        <v>0x21B1</v>
      </c>
      <c r="D115" s="16">
        <f t="shared" si="9"/>
        <v>8624</v>
      </c>
      <c r="E115" s="16">
        <f t="shared" si="8"/>
        <v>8625</v>
      </c>
      <c r="F115" s="16" t="s">
        <v>1331</v>
      </c>
      <c r="G115" s="16" t="s">
        <v>541</v>
      </c>
      <c r="H115" s="16" t="s">
        <v>427</v>
      </c>
      <c r="I115" s="16">
        <v>2</v>
      </c>
    </row>
    <row r="116" spans="2:9">
      <c r="B116" s="16" t="str">
        <f t="shared" si="6"/>
        <v>0x21B2</v>
      </c>
      <c r="C116" s="16" t="str">
        <f t="shared" si="7"/>
        <v>0x21B3</v>
      </c>
      <c r="D116" s="16">
        <f t="shared" si="9"/>
        <v>8626</v>
      </c>
      <c r="E116" s="16">
        <f t="shared" si="8"/>
        <v>8627</v>
      </c>
      <c r="F116" s="16" t="s">
        <v>1332</v>
      </c>
      <c r="G116" s="16" t="s">
        <v>541</v>
      </c>
      <c r="H116" s="16" t="s">
        <v>427</v>
      </c>
      <c r="I116" s="16">
        <v>2</v>
      </c>
    </row>
    <row r="117" spans="2:9">
      <c r="B117" s="16" t="str">
        <f t="shared" si="6"/>
        <v>0x21B4</v>
      </c>
      <c r="C117" s="16" t="str">
        <f t="shared" si="7"/>
        <v>0x21B5</v>
      </c>
      <c r="D117" s="16">
        <f t="shared" si="9"/>
        <v>8628</v>
      </c>
      <c r="E117" s="16">
        <f t="shared" si="8"/>
        <v>8629</v>
      </c>
      <c r="F117" s="16" t="s">
        <v>1333</v>
      </c>
      <c r="G117" s="16" t="s">
        <v>541</v>
      </c>
      <c r="H117" s="16" t="s">
        <v>427</v>
      </c>
      <c r="I117" s="16">
        <v>2</v>
      </c>
    </row>
    <row r="118" spans="2:9">
      <c r="B118" s="16" t="str">
        <f t="shared" si="6"/>
        <v>0x21B6</v>
      </c>
      <c r="C118" s="16" t="str">
        <f t="shared" si="7"/>
        <v>0x21B7</v>
      </c>
      <c r="D118" s="16">
        <f t="shared" si="9"/>
        <v>8630</v>
      </c>
      <c r="E118" s="16">
        <f t="shared" si="8"/>
        <v>8631</v>
      </c>
      <c r="F118" s="16" t="s">
        <v>1334</v>
      </c>
      <c r="G118" s="16" t="s">
        <v>541</v>
      </c>
      <c r="H118" s="16" t="s">
        <v>427</v>
      </c>
      <c r="I118" s="16">
        <v>2</v>
      </c>
    </row>
    <row r="119" spans="2:9">
      <c r="B119" s="16" t="str">
        <f t="shared" si="6"/>
        <v>0x21B8</v>
      </c>
      <c r="C119" s="16" t="str">
        <f t="shared" si="7"/>
        <v>0x21B9</v>
      </c>
      <c r="D119" s="16">
        <f t="shared" si="9"/>
        <v>8632</v>
      </c>
      <c r="E119" s="16">
        <f t="shared" si="8"/>
        <v>8633</v>
      </c>
      <c r="F119" s="16" t="s">
        <v>1335</v>
      </c>
      <c r="G119" s="16" t="s">
        <v>541</v>
      </c>
      <c r="H119" s="16" t="s">
        <v>427</v>
      </c>
      <c r="I119" s="16">
        <v>2</v>
      </c>
    </row>
    <row r="120" spans="2:9">
      <c r="B120" s="16" t="str">
        <f t="shared" si="6"/>
        <v>0x21BA</v>
      </c>
      <c r="C120" s="16" t="str">
        <f t="shared" si="7"/>
        <v>0x21BB</v>
      </c>
      <c r="D120" s="16">
        <f t="shared" si="9"/>
        <v>8634</v>
      </c>
      <c r="E120" s="16">
        <f t="shared" si="8"/>
        <v>8635</v>
      </c>
      <c r="F120" s="16" t="s">
        <v>1337</v>
      </c>
      <c r="G120" s="16" t="s">
        <v>541</v>
      </c>
      <c r="H120" s="16" t="s">
        <v>427</v>
      </c>
      <c r="I120" s="16">
        <v>2</v>
      </c>
    </row>
    <row r="121" spans="2:9">
      <c r="B121" s="16" t="str">
        <f t="shared" si="6"/>
        <v>0x21BC</v>
      </c>
      <c r="C121" s="16" t="str">
        <f t="shared" si="7"/>
        <v>0x21BD</v>
      </c>
      <c r="D121" s="16">
        <f t="shared" si="9"/>
        <v>8636</v>
      </c>
      <c r="E121" s="16">
        <f t="shared" si="8"/>
        <v>8637</v>
      </c>
      <c r="F121" s="16" t="s">
        <v>1338</v>
      </c>
      <c r="G121" s="16" t="s">
        <v>541</v>
      </c>
      <c r="H121" s="16" t="s">
        <v>427</v>
      </c>
      <c r="I121" s="16">
        <v>2</v>
      </c>
    </row>
    <row r="122" spans="2:9">
      <c r="B122" s="16" t="str">
        <f t="shared" si="6"/>
        <v>0x21BE</v>
      </c>
      <c r="C122" s="16" t="str">
        <f t="shared" si="7"/>
        <v>0x21BF</v>
      </c>
      <c r="D122" s="16">
        <f t="shared" si="9"/>
        <v>8638</v>
      </c>
      <c r="E122" s="16">
        <f t="shared" si="8"/>
        <v>8639</v>
      </c>
      <c r="F122" s="16" t="s">
        <v>1339</v>
      </c>
      <c r="G122" s="16" t="s">
        <v>541</v>
      </c>
      <c r="H122" s="16" t="s">
        <v>427</v>
      </c>
      <c r="I122" s="16">
        <v>2</v>
      </c>
    </row>
    <row r="123" spans="2:9">
      <c r="B123" s="16" t="str">
        <f t="shared" si="6"/>
        <v>0x21C0</v>
      </c>
      <c r="C123" s="16" t="str">
        <f t="shared" si="7"/>
        <v>0x21C1</v>
      </c>
      <c r="D123" s="16">
        <f t="shared" si="9"/>
        <v>8640</v>
      </c>
      <c r="E123" s="16">
        <f t="shared" si="8"/>
        <v>8641</v>
      </c>
      <c r="F123" s="16" t="s">
        <v>1340</v>
      </c>
      <c r="G123" s="16" t="s">
        <v>541</v>
      </c>
      <c r="H123" s="16" t="s">
        <v>427</v>
      </c>
      <c r="I123" s="16">
        <v>2</v>
      </c>
    </row>
    <row r="124" spans="2:9">
      <c r="B124" s="16" t="str">
        <f t="shared" si="6"/>
        <v>0x21C2</v>
      </c>
      <c r="C124" s="16" t="str">
        <f t="shared" si="7"/>
        <v>0x21C3</v>
      </c>
      <c r="D124" s="16">
        <f t="shared" si="9"/>
        <v>8642</v>
      </c>
      <c r="E124" s="16">
        <f t="shared" si="8"/>
        <v>8643</v>
      </c>
      <c r="F124" s="16" t="s">
        <v>1342</v>
      </c>
      <c r="G124" s="16" t="s">
        <v>541</v>
      </c>
      <c r="H124" s="16" t="s">
        <v>427</v>
      </c>
      <c r="I124" s="16">
        <v>2</v>
      </c>
    </row>
    <row r="125" spans="2:9">
      <c r="B125" s="16" t="str">
        <f t="shared" si="6"/>
        <v>0x21C4</v>
      </c>
      <c r="C125" s="16" t="str">
        <f t="shared" si="7"/>
        <v>0x21C5</v>
      </c>
      <c r="D125" s="16">
        <f t="shared" si="9"/>
        <v>8644</v>
      </c>
      <c r="E125" s="16">
        <f t="shared" si="8"/>
        <v>8645</v>
      </c>
      <c r="F125" s="16" t="s">
        <v>1343</v>
      </c>
      <c r="G125" s="16" t="s">
        <v>541</v>
      </c>
      <c r="H125" s="16" t="s">
        <v>427</v>
      </c>
      <c r="I125" s="16">
        <v>2</v>
      </c>
    </row>
    <row r="126" spans="2:9">
      <c r="B126" s="16" t="str">
        <f t="shared" si="6"/>
        <v>0x21C6</v>
      </c>
      <c r="C126" s="16" t="str">
        <f t="shared" si="7"/>
        <v>0x21C7</v>
      </c>
      <c r="D126" s="16">
        <f t="shared" si="9"/>
        <v>8646</v>
      </c>
      <c r="E126" s="16">
        <f t="shared" si="8"/>
        <v>8647</v>
      </c>
      <c r="F126" s="16" t="s">
        <v>1345</v>
      </c>
      <c r="G126" s="16" t="s">
        <v>541</v>
      </c>
      <c r="H126" s="16" t="s">
        <v>427</v>
      </c>
      <c r="I126" s="16">
        <v>2</v>
      </c>
    </row>
    <row r="127" spans="2:9">
      <c r="B127" s="16" t="str">
        <f t="shared" si="6"/>
        <v>0x21C8</v>
      </c>
      <c r="C127" s="16" t="str">
        <f t="shared" si="7"/>
        <v>0x21C9</v>
      </c>
      <c r="D127" s="16">
        <f t="shared" si="9"/>
        <v>8648</v>
      </c>
      <c r="E127" s="16">
        <f t="shared" si="8"/>
        <v>8649</v>
      </c>
      <c r="F127" s="16" t="s">
        <v>1346</v>
      </c>
      <c r="G127" s="16" t="s">
        <v>541</v>
      </c>
      <c r="H127" s="16" t="s">
        <v>427</v>
      </c>
      <c r="I127" s="16">
        <v>2</v>
      </c>
    </row>
    <row r="128" spans="2:9">
      <c r="B128" s="16" t="str">
        <f t="shared" si="6"/>
        <v>0x21CA</v>
      </c>
      <c r="C128" s="16" t="str">
        <f t="shared" si="7"/>
        <v>0x21CB</v>
      </c>
      <c r="D128" s="16">
        <f t="shared" si="9"/>
        <v>8650</v>
      </c>
      <c r="E128" s="16">
        <f t="shared" si="8"/>
        <v>8651</v>
      </c>
      <c r="F128" s="16" t="s">
        <v>1347</v>
      </c>
      <c r="G128" s="16" t="s">
        <v>541</v>
      </c>
      <c r="H128" s="16" t="s">
        <v>427</v>
      </c>
      <c r="I128" s="16">
        <v>2</v>
      </c>
    </row>
    <row r="129" spans="1:10">
      <c r="B129" s="16" t="str">
        <f t="shared" si="6"/>
        <v>0x21CC</v>
      </c>
      <c r="C129" s="16" t="str">
        <f t="shared" si="7"/>
        <v>0x21CD</v>
      </c>
      <c r="D129" s="16">
        <f t="shared" si="9"/>
        <v>8652</v>
      </c>
      <c r="E129" s="16">
        <f t="shared" si="8"/>
        <v>8653</v>
      </c>
      <c r="F129" s="16" t="s">
        <v>1348</v>
      </c>
      <c r="G129" s="16" t="s">
        <v>541</v>
      </c>
      <c r="H129" s="16" t="s">
        <v>427</v>
      </c>
      <c r="I129" s="16">
        <v>2</v>
      </c>
    </row>
    <row r="130" spans="1:10">
      <c r="B130" s="16" t="str">
        <f t="shared" si="6"/>
        <v>0x21CE</v>
      </c>
      <c r="C130" s="16" t="str">
        <f t="shared" si="7"/>
        <v>0x21CF</v>
      </c>
      <c r="D130" s="16">
        <f t="shared" si="9"/>
        <v>8654</v>
      </c>
      <c r="E130" s="16">
        <f t="shared" si="8"/>
        <v>8655</v>
      </c>
      <c r="F130" s="16" t="s">
        <v>1349</v>
      </c>
      <c r="G130" s="16" t="s">
        <v>541</v>
      </c>
      <c r="H130" s="16" t="s">
        <v>427</v>
      </c>
      <c r="I130" s="16">
        <v>2</v>
      </c>
    </row>
    <row r="131" spans="1:10">
      <c r="B131" s="16" t="str">
        <f t="shared" si="6"/>
        <v>0x21D0</v>
      </c>
      <c r="C131" s="16" t="str">
        <f t="shared" si="7"/>
        <v>0x21D1</v>
      </c>
      <c r="D131" s="16">
        <f t="shared" si="9"/>
        <v>8656</v>
      </c>
      <c r="E131" s="16">
        <f t="shared" si="8"/>
        <v>8657</v>
      </c>
      <c r="F131" s="16" t="s">
        <v>1350</v>
      </c>
      <c r="G131" s="16" t="s">
        <v>541</v>
      </c>
      <c r="H131" s="16" t="s">
        <v>427</v>
      </c>
      <c r="I131" s="16">
        <v>2</v>
      </c>
    </row>
    <row r="132" spans="1:10">
      <c r="B132" s="16" t="str">
        <f t="shared" si="6"/>
        <v>0x21D2</v>
      </c>
      <c r="C132" s="16" t="str">
        <f t="shared" si="7"/>
        <v>0x21D3</v>
      </c>
      <c r="D132" s="16">
        <f t="shared" si="9"/>
        <v>8658</v>
      </c>
      <c r="E132" s="16">
        <f t="shared" si="8"/>
        <v>8659</v>
      </c>
      <c r="F132" s="16" t="s">
        <v>1351</v>
      </c>
      <c r="G132" s="16" t="s">
        <v>541</v>
      </c>
      <c r="H132" s="16" t="s">
        <v>427</v>
      </c>
      <c r="I132" s="16">
        <v>2</v>
      </c>
    </row>
    <row r="133" spans="1:10" s="3" customFormat="1">
      <c r="A133" s="72" t="s">
        <v>170</v>
      </c>
      <c r="B133" s="3" t="str">
        <f>"0x"&amp;DEC2HEX(D133,4)</f>
        <v>0x21D4</v>
      </c>
      <c r="C133" s="3" t="str">
        <f t="shared" si="7"/>
        <v>0x21D5</v>
      </c>
      <c r="D133" s="3">
        <f t="shared" si="9"/>
        <v>8660</v>
      </c>
      <c r="E133" s="3">
        <f t="shared" si="8"/>
        <v>8661</v>
      </c>
      <c r="F133" s="4" t="s">
        <v>1211</v>
      </c>
      <c r="G133" s="3" t="s">
        <v>541</v>
      </c>
      <c r="H133" s="3" t="s">
        <v>427</v>
      </c>
      <c r="I133" s="3">
        <v>2</v>
      </c>
    </row>
    <row r="134" spans="1:10" s="3" customFormat="1">
      <c r="A134" s="72"/>
      <c r="B134" s="3" t="str">
        <f>"0x"&amp;DEC2HEX(D134,4)</f>
        <v>0x21D6</v>
      </c>
      <c r="C134" s="3" t="str">
        <f t="shared" si="7"/>
        <v>0x21D7</v>
      </c>
      <c r="D134" s="3">
        <f t="shared" si="9"/>
        <v>8662</v>
      </c>
      <c r="E134" s="3">
        <f t="shared" si="8"/>
        <v>8663</v>
      </c>
      <c r="F134" s="4" t="s">
        <v>1212</v>
      </c>
      <c r="G134" s="3" t="s">
        <v>541</v>
      </c>
      <c r="H134" s="3" t="s">
        <v>427</v>
      </c>
      <c r="I134" s="3">
        <v>2</v>
      </c>
    </row>
    <row r="135" spans="1:10" s="3" customFormat="1">
      <c r="A135" s="72"/>
      <c r="B135" s="3" t="str">
        <f>"0x"&amp;DEC2HEX(D135,4)</f>
        <v>0x21D8</v>
      </c>
      <c r="C135" s="3" t="str">
        <f t="shared" si="7"/>
        <v>0x21D9</v>
      </c>
      <c r="D135" s="3">
        <f t="shared" si="9"/>
        <v>8664</v>
      </c>
      <c r="E135" s="3">
        <f t="shared" si="8"/>
        <v>8665</v>
      </c>
      <c r="F135" s="4" t="s">
        <v>1213</v>
      </c>
      <c r="G135" s="3" t="s">
        <v>541</v>
      </c>
      <c r="H135" s="3" t="s">
        <v>427</v>
      </c>
      <c r="I135" s="3">
        <v>2</v>
      </c>
    </row>
    <row r="136" spans="1:10" s="3" customFormat="1">
      <c r="A136" s="72"/>
      <c r="B136" s="3" t="str">
        <f>"0x"&amp;DEC2HEX(D136,4)</f>
        <v>0x21DA</v>
      </c>
      <c r="C136" s="3" t="str">
        <f t="shared" si="7"/>
        <v>0x21DB</v>
      </c>
      <c r="D136" s="3">
        <f t="shared" si="9"/>
        <v>8666</v>
      </c>
      <c r="E136" s="3">
        <f t="shared" si="8"/>
        <v>8667</v>
      </c>
      <c r="F136" s="4" t="s">
        <v>1214</v>
      </c>
      <c r="G136" s="3" t="s">
        <v>541</v>
      </c>
      <c r="H136" s="3" t="s">
        <v>427</v>
      </c>
      <c r="I136" s="3">
        <v>2</v>
      </c>
    </row>
    <row r="137" spans="1:10" s="3" customFormat="1">
      <c r="A137" s="72"/>
      <c r="B137" s="3" t="str">
        <f>"0x"&amp;DEC2HEX(D137,4)</f>
        <v>0x21DC</v>
      </c>
      <c r="C137" s="3" t="str">
        <f t="shared" si="7"/>
        <v>0x21DD</v>
      </c>
      <c r="D137" s="3">
        <f t="shared" si="9"/>
        <v>8668</v>
      </c>
      <c r="E137" s="3">
        <f t="shared" si="8"/>
        <v>8669</v>
      </c>
      <c r="F137" s="4" t="s">
        <v>1215</v>
      </c>
      <c r="G137" s="3" t="s">
        <v>541</v>
      </c>
      <c r="H137" s="3" t="s">
        <v>427</v>
      </c>
      <c r="I137" s="3">
        <v>2</v>
      </c>
    </row>
    <row r="138" spans="1:10" ht="13.5" thickBot="1"/>
    <row r="139" spans="1:10" ht="13.5" thickBot="1">
      <c r="A139" s="79" t="s">
        <v>2870</v>
      </c>
      <c r="B139" s="80" t="str">
        <f t="shared" ref="B139:B176" si="10">"0x"&amp;DEC2HEX(D139,4)</f>
        <v>0x0600</v>
      </c>
      <c r="C139" s="80" t="str">
        <f t="shared" ref="C139:C176" si="11">"0x"&amp;DEC2HEX(E139,4)</f>
        <v>0x0601</v>
      </c>
      <c r="D139" s="80">
        <v>1536</v>
      </c>
      <c r="E139" s="80">
        <f t="shared" ref="E139:E176" si="12">D139+I139-1</f>
        <v>1537</v>
      </c>
      <c r="F139" s="81" t="s">
        <v>1089</v>
      </c>
      <c r="G139" s="82" t="s">
        <v>2869</v>
      </c>
      <c r="H139" s="83" t="s">
        <v>427</v>
      </c>
      <c r="I139" s="83">
        <v>2</v>
      </c>
      <c r="J139" s="122"/>
    </row>
    <row r="140" spans="1:10" ht="13.5" thickBot="1">
      <c r="A140" s="79"/>
      <c r="B140" s="80" t="str">
        <f t="shared" si="10"/>
        <v>0x0602</v>
      </c>
      <c r="C140" s="80" t="str">
        <f t="shared" si="11"/>
        <v>0x0603</v>
      </c>
      <c r="D140" s="80">
        <f t="shared" ref="D140:D176" si="13">E139+1</f>
        <v>1538</v>
      </c>
      <c r="E140" s="80">
        <f t="shared" si="12"/>
        <v>1539</v>
      </c>
      <c r="F140" s="81" t="s">
        <v>1090</v>
      </c>
      <c r="G140" s="82" t="s">
        <v>2869</v>
      </c>
      <c r="H140" s="83" t="s">
        <v>427</v>
      </c>
      <c r="I140" s="83">
        <v>2</v>
      </c>
      <c r="J140" s="122"/>
    </row>
    <row r="141" spans="1:10" ht="13.5" thickBot="1">
      <c r="A141" s="79"/>
      <c r="B141" s="80" t="str">
        <f t="shared" si="10"/>
        <v>0x0604</v>
      </c>
      <c r="C141" s="80" t="str">
        <f t="shared" si="11"/>
        <v>0x0605</v>
      </c>
      <c r="D141" s="80">
        <f t="shared" si="13"/>
        <v>1540</v>
      </c>
      <c r="E141" s="80">
        <f t="shared" si="12"/>
        <v>1541</v>
      </c>
      <c r="F141" s="81" t="s">
        <v>1091</v>
      </c>
      <c r="G141" s="82" t="s">
        <v>2869</v>
      </c>
      <c r="H141" s="83" t="s">
        <v>427</v>
      </c>
      <c r="I141" s="83">
        <v>2</v>
      </c>
      <c r="J141" s="122"/>
    </row>
    <row r="142" spans="1:10" ht="13.5" thickBot="1">
      <c r="A142" s="79"/>
      <c r="B142" s="80" t="str">
        <f t="shared" si="10"/>
        <v>0x0606</v>
      </c>
      <c r="C142" s="80" t="str">
        <f t="shared" si="11"/>
        <v>0x0607</v>
      </c>
      <c r="D142" s="80">
        <f t="shared" si="13"/>
        <v>1542</v>
      </c>
      <c r="E142" s="80">
        <f t="shared" si="12"/>
        <v>1543</v>
      </c>
      <c r="F142" s="81" t="s">
        <v>1092</v>
      </c>
      <c r="G142" s="82" t="s">
        <v>2869</v>
      </c>
      <c r="H142" s="83" t="s">
        <v>427</v>
      </c>
      <c r="I142" s="83">
        <v>2</v>
      </c>
      <c r="J142" s="122"/>
    </row>
    <row r="143" spans="1:10" ht="13.5" thickBot="1">
      <c r="A143" s="79"/>
      <c r="B143" s="80" t="str">
        <f t="shared" si="10"/>
        <v>0x0608</v>
      </c>
      <c r="C143" s="80" t="str">
        <f t="shared" si="11"/>
        <v>0x0609</v>
      </c>
      <c r="D143" s="80">
        <f t="shared" si="13"/>
        <v>1544</v>
      </c>
      <c r="E143" s="80">
        <f t="shared" si="12"/>
        <v>1545</v>
      </c>
      <c r="F143" s="81" t="s">
        <v>1094</v>
      </c>
      <c r="G143" s="82" t="s">
        <v>2869</v>
      </c>
      <c r="H143" s="83" t="s">
        <v>427</v>
      </c>
      <c r="I143" s="83">
        <v>2</v>
      </c>
      <c r="J143" s="122"/>
    </row>
    <row r="144" spans="1:10" ht="13.5" thickBot="1">
      <c r="A144" s="79"/>
      <c r="B144" s="80" t="str">
        <f t="shared" si="10"/>
        <v>0x060A</v>
      </c>
      <c r="C144" s="80" t="str">
        <f t="shared" si="11"/>
        <v>0x060B</v>
      </c>
      <c r="D144" s="80">
        <f t="shared" si="13"/>
        <v>1546</v>
      </c>
      <c r="E144" s="80">
        <f t="shared" si="12"/>
        <v>1547</v>
      </c>
      <c r="F144" s="81" t="s">
        <v>1095</v>
      </c>
      <c r="G144" s="82" t="s">
        <v>2869</v>
      </c>
      <c r="H144" s="83" t="s">
        <v>427</v>
      </c>
      <c r="I144" s="83">
        <v>2</v>
      </c>
      <c r="J144" s="122"/>
    </row>
    <row r="145" spans="1:10" ht="13.5" thickBot="1">
      <c r="A145" s="79"/>
      <c r="B145" s="80" t="str">
        <f t="shared" si="10"/>
        <v>0x060C</v>
      </c>
      <c r="C145" s="80" t="str">
        <f t="shared" si="11"/>
        <v>0x060D</v>
      </c>
      <c r="D145" s="80">
        <f t="shared" si="13"/>
        <v>1548</v>
      </c>
      <c r="E145" s="80">
        <f t="shared" si="12"/>
        <v>1549</v>
      </c>
      <c r="F145" s="81" t="s">
        <v>1096</v>
      </c>
      <c r="G145" s="82" t="s">
        <v>2869</v>
      </c>
      <c r="H145" s="83" t="s">
        <v>427</v>
      </c>
      <c r="I145" s="83">
        <v>2</v>
      </c>
      <c r="J145" s="122"/>
    </row>
    <row r="146" spans="1:10" ht="13.5" thickBot="1">
      <c r="A146" s="79"/>
      <c r="B146" s="80" t="str">
        <f t="shared" si="10"/>
        <v>0x060E</v>
      </c>
      <c r="C146" s="80" t="str">
        <f t="shared" si="11"/>
        <v>0x060F</v>
      </c>
      <c r="D146" s="80">
        <f t="shared" si="13"/>
        <v>1550</v>
      </c>
      <c r="E146" s="80">
        <f t="shared" si="12"/>
        <v>1551</v>
      </c>
      <c r="F146" s="81" t="s">
        <v>1056</v>
      </c>
      <c r="G146" s="82" t="s">
        <v>2869</v>
      </c>
      <c r="H146" s="83" t="s">
        <v>427</v>
      </c>
      <c r="I146" s="83">
        <v>2</v>
      </c>
      <c r="J146" s="122"/>
    </row>
    <row r="147" spans="1:10" ht="13.5" thickBot="1">
      <c r="A147" s="79"/>
      <c r="B147" s="80" t="str">
        <f t="shared" si="10"/>
        <v>0x0610</v>
      </c>
      <c r="C147" s="80" t="str">
        <f t="shared" si="11"/>
        <v>0x0611</v>
      </c>
      <c r="D147" s="80">
        <f t="shared" si="13"/>
        <v>1552</v>
      </c>
      <c r="E147" s="80">
        <f t="shared" si="12"/>
        <v>1553</v>
      </c>
      <c r="F147" s="81" t="s">
        <v>1058</v>
      </c>
      <c r="G147" s="82" t="s">
        <v>2869</v>
      </c>
      <c r="H147" s="83" t="s">
        <v>427</v>
      </c>
      <c r="I147" s="83">
        <v>2</v>
      </c>
      <c r="J147" s="122"/>
    </row>
    <row r="148" spans="1:10" ht="13.5" thickBot="1">
      <c r="A148" s="79"/>
      <c r="B148" s="80" t="str">
        <f t="shared" si="10"/>
        <v>0x0612</v>
      </c>
      <c r="C148" s="80" t="str">
        <f t="shared" si="11"/>
        <v>0x0613</v>
      </c>
      <c r="D148" s="80">
        <f t="shared" si="13"/>
        <v>1554</v>
      </c>
      <c r="E148" s="80">
        <f t="shared" si="12"/>
        <v>1555</v>
      </c>
      <c r="F148" s="81" t="s">
        <v>1059</v>
      </c>
      <c r="G148" s="82" t="s">
        <v>2869</v>
      </c>
      <c r="H148" s="83" t="s">
        <v>427</v>
      </c>
      <c r="I148" s="83">
        <v>2</v>
      </c>
      <c r="J148" s="122"/>
    </row>
    <row r="149" spans="1:10" ht="13.5" thickBot="1">
      <c r="A149" s="79"/>
      <c r="B149" s="80" t="str">
        <f t="shared" si="10"/>
        <v>0x0614</v>
      </c>
      <c r="C149" s="80" t="str">
        <f t="shared" si="11"/>
        <v>0x0615</v>
      </c>
      <c r="D149" s="80">
        <f t="shared" si="13"/>
        <v>1556</v>
      </c>
      <c r="E149" s="80">
        <f t="shared" si="12"/>
        <v>1557</v>
      </c>
      <c r="F149" s="81" t="s">
        <v>2871</v>
      </c>
      <c r="G149" s="82" t="s">
        <v>2869</v>
      </c>
      <c r="H149" s="83" t="s">
        <v>427</v>
      </c>
      <c r="I149" s="83">
        <v>2</v>
      </c>
      <c r="J149" s="77"/>
    </row>
    <row r="150" spans="1:10" ht="13.5" thickBot="1">
      <c r="A150" s="79"/>
      <c r="B150" s="80" t="str">
        <f t="shared" si="10"/>
        <v>0x0616</v>
      </c>
      <c r="C150" s="80" t="str">
        <f t="shared" si="11"/>
        <v>0x0617</v>
      </c>
      <c r="D150" s="80">
        <f t="shared" si="13"/>
        <v>1558</v>
      </c>
      <c r="E150" s="80">
        <f t="shared" si="12"/>
        <v>1559</v>
      </c>
      <c r="F150" s="81" t="s">
        <v>1103</v>
      </c>
      <c r="G150" s="82" t="s">
        <v>2869</v>
      </c>
      <c r="H150" s="83" t="s">
        <v>427</v>
      </c>
      <c r="I150" s="83">
        <v>2</v>
      </c>
      <c r="J150" s="122"/>
    </row>
    <row r="151" spans="1:10" ht="13.5" thickBot="1">
      <c r="A151" s="79"/>
      <c r="B151" s="80" t="str">
        <f t="shared" si="10"/>
        <v>0x0618</v>
      </c>
      <c r="C151" s="80" t="str">
        <f t="shared" si="11"/>
        <v>0x0619</v>
      </c>
      <c r="D151" s="80">
        <f t="shared" si="13"/>
        <v>1560</v>
      </c>
      <c r="E151" s="80">
        <f t="shared" si="12"/>
        <v>1561</v>
      </c>
      <c r="F151" s="81" t="s">
        <v>1104</v>
      </c>
      <c r="G151" s="82" t="s">
        <v>2869</v>
      </c>
      <c r="H151" s="83" t="s">
        <v>427</v>
      </c>
      <c r="I151" s="83">
        <v>2</v>
      </c>
      <c r="J151" s="122"/>
    </row>
    <row r="152" spans="1:10" ht="13.5" thickBot="1">
      <c r="A152" s="79"/>
      <c r="B152" s="80" t="str">
        <f t="shared" si="10"/>
        <v>0x061A</v>
      </c>
      <c r="C152" s="80" t="str">
        <f t="shared" si="11"/>
        <v>0x061B</v>
      </c>
      <c r="D152" s="80">
        <f t="shared" si="13"/>
        <v>1562</v>
      </c>
      <c r="E152" s="80">
        <f t="shared" si="12"/>
        <v>1563</v>
      </c>
      <c r="F152" s="81" t="s">
        <v>1105</v>
      </c>
      <c r="G152" s="82" t="s">
        <v>2869</v>
      </c>
      <c r="H152" s="83" t="s">
        <v>427</v>
      </c>
      <c r="I152" s="83">
        <v>2</v>
      </c>
      <c r="J152" s="122"/>
    </row>
    <row r="153" spans="1:10" ht="13.5" thickBot="1">
      <c r="A153" s="79"/>
      <c r="B153" s="80" t="str">
        <f t="shared" si="10"/>
        <v>0x061C</v>
      </c>
      <c r="C153" s="80" t="str">
        <f t="shared" si="11"/>
        <v>0x061D</v>
      </c>
      <c r="D153" s="80">
        <f t="shared" si="13"/>
        <v>1564</v>
      </c>
      <c r="E153" s="80">
        <f t="shared" si="12"/>
        <v>1565</v>
      </c>
      <c r="F153" s="81" t="s">
        <v>1106</v>
      </c>
      <c r="G153" s="82" t="s">
        <v>2869</v>
      </c>
      <c r="H153" s="83" t="s">
        <v>427</v>
      </c>
      <c r="I153" s="83">
        <v>2</v>
      </c>
      <c r="J153" s="122"/>
    </row>
    <row r="154" spans="1:10" ht="13.5" thickBot="1">
      <c r="A154" s="79"/>
      <c r="B154" s="80" t="str">
        <f t="shared" si="10"/>
        <v>0x061E</v>
      </c>
      <c r="C154" s="80" t="str">
        <f t="shared" si="11"/>
        <v>0x061F</v>
      </c>
      <c r="D154" s="80">
        <f t="shared" si="13"/>
        <v>1566</v>
      </c>
      <c r="E154" s="80">
        <f t="shared" si="12"/>
        <v>1567</v>
      </c>
      <c r="F154" s="81" t="s">
        <v>1107</v>
      </c>
      <c r="G154" s="82" t="s">
        <v>2869</v>
      </c>
      <c r="H154" s="83" t="s">
        <v>427</v>
      </c>
      <c r="I154" s="83">
        <v>2</v>
      </c>
      <c r="J154" s="122"/>
    </row>
    <row r="155" spans="1:10" ht="13.5" thickBot="1">
      <c r="A155" s="79"/>
      <c r="B155" s="80" t="str">
        <f t="shared" si="10"/>
        <v>0x0620</v>
      </c>
      <c r="C155" s="80" t="str">
        <f t="shared" si="11"/>
        <v>0x0621</v>
      </c>
      <c r="D155" s="80">
        <f t="shared" si="13"/>
        <v>1568</v>
      </c>
      <c r="E155" s="80">
        <f t="shared" si="12"/>
        <v>1569</v>
      </c>
      <c r="F155" s="81" t="s">
        <v>1108</v>
      </c>
      <c r="G155" s="82" t="s">
        <v>2869</v>
      </c>
      <c r="H155" s="83" t="s">
        <v>427</v>
      </c>
      <c r="I155" s="83">
        <v>2</v>
      </c>
      <c r="J155" s="122"/>
    </row>
    <row r="156" spans="1:10" ht="13.5" thickBot="1">
      <c r="A156" s="79"/>
      <c r="B156" s="80" t="str">
        <f t="shared" si="10"/>
        <v>0x0622</v>
      </c>
      <c r="C156" s="80" t="str">
        <f t="shared" si="11"/>
        <v>0x0623</v>
      </c>
      <c r="D156" s="80">
        <f t="shared" si="13"/>
        <v>1570</v>
      </c>
      <c r="E156" s="80">
        <f t="shared" si="12"/>
        <v>1571</v>
      </c>
      <c r="F156" s="81" t="s">
        <v>1109</v>
      </c>
      <c r="G156" s="82" t="s">
        <v>2869</v>
      </c>
      <c r="H156" s="83" t="s">
        <v>427</v>
      </c>
      <c r="I156" s="83">
        <v>2</v>
      </c>
      <c r="J156" s="122"/>
    </row>
    <row r="157" spans="1:10" ht="13.5" thickBot="1">
      <c r="A157" s="79"/>
      <c r="B157" s="80" t="str">
        <f t="shared" si="10"/>
        <v>0x0624</v>
      </c>
      <c r="C157" s="80" t="str">
        <f t="shared" si="11"/>
        <v>0x0625</v>
      </c>
      <c r="D157" s="80">
        <f t="shared" si="13"/>
        <v>1572</v>
      </c>
      <c r="E157" s="80">
        <f t="shared" si="12"/>
        <v>1573</v>
      </c>
      <c r="F157" s="81" t="s">
        <v>1110</v>
      </c>
      <c r="G157" s="82" t="s">
        <v>2869</v>
      </c>
      <c r="H157" s="83" t="s">
        <v>427</v>
      </c>
      <c r="I157" s="83">
        <v>2</v>
      </c>
      <c r="J157" s="122"/>
    </row>
    <row r="158" spans="1:10" ht="13.5" thickBot="1">
      <c r="A158" s="79"/>
      <c r="B158" s="80" t="str">
        <f t="shared" si="10"/>
        <v>0x0626</v>
      </c>
      <c r="C158" s="80" t="str">
        <f t="shared" si="11"/>
        <v>0x0627</v>
      </c>
      <c r="D158" s="80">
        <f t="shared" si="13"/>
        <v>1574</v>
      </c>
      <c r="E158" s="80">
        <f t="shared" si="12"/>
        <v>1575</v>
      </c>
      <c r="F158" s="81" t="s">
        <v>1114</v>
      </c>
      <c r="G158" s="82" t="s">
        <v>2869</v>
      </c>
      <c r="H158" s="83" t="s">
        <v>427</v>
      </c>
      <c r="I158" s="83">
        <v>2</v>
      </c>
      <c r="J158" s="122"/>
    </row>
    <row r="159" spans="1:10" ht="13.5" thickBot="1">
      <c r="A159" s="79"/>
      <c r="B159" s="80" t="str">
        <f t="shared" si="10"/>
        <v>0x0628</v>
      </c>
      <c r="C159" s="80" t="str">
        <f t="shared" si="11"/>
        <v>0x0629</v>
      </c>
      <c r="D159" s="80">
        <f t="shared" si="13"/>
        <v>1576</v>
      </c>
      <c r="E159" s="80">
        <f t="shared" si="12"/>
        <v>1577</v>
      </c>
      <c r="F159" s="81" t="s">
        <v>1115</v>
      </c>
      <c r="G159" s="82" t="s">
        <v>2869</v>
      </c>
      <c r="H159" s="83" t="s">
        <v>427</v>
      </c>
      <c r="I159" s="83">
        <v>2</v>
      </c>
      <c r="J159" s="122"/>
    </row>
    <row r="160" spans="1:10" ht="13.5" thickBot="1">
      <c r="A160" s="79"/>
      <c r="B160" s="80" t="str">
        <f t="shared" si="10"/>
        <v>0x062A</v>
      </c>
      <c r="C160" s="80" t="str">
        <f t="shared" si="11"/>
        <v>0x062B</v>
      </c>
      <c r="D160" s="80">
        <f t="shared" si="13"/>
        <v>1578</v>
      </c>
      <c r="E160" s="80">
        <f t="shared" si="12"/>
        <v>1579</v>
      </c>
      <c r="F160" s="81" t="s">
        <v>1116</v>
      </c>
      <c r="G160" s="82" t="s">
        <v>2869</v>
      </c>
      <c r="H160" s="83" t="s">
        <v>427</v>
      </c>
      <c r="I160" s="83">
        <v>2</v>
      </c>
      <c r="J160" s="122"/>
    </row>
    <row r="161" spans="1:10" ht="13.5" thickBot="1">
      <c r="A161" s="79"/>
      <c r="B161" s="80" t="str">
        <f t="shared" si="10"/>
        <v>0x062C</v>
      </c>
      <c r="C161" s="80" t="str">
        <f t="shared" si="11"/>
        <v>0x062D</v>
      </c>
      <c r="D161" s="80">
        <f t="shared" si="13"/>
        <v>1580</v>
      </c>
      <c r="E161" s="80">
        <f t="shared" si="12"/>
        <v>1581</v>
      </c>
      <c r="F161" s="81" t="s">
        <v>1117</v>
      </c>
      <c r="G161" s="82" t="s">
        <v>2869</v>
      </c>
      <c r="H161" s="83" t="s">
        <v>427</v>
      </c>
      <c r="I161" s="83">
        <v>2</v>
      </c>
      <c r="J161" s="122"/>
    </row>
    <row r="162" spans="1:10" ht="13.5" thickBot="1">
      <c r="A162" s="79"/>
      <c r="B162" s="80" t="str">
        <f t="shared" si="10"/>
        <v>0x062E</v>
      </c>
      <c r="C162" s="80" t="str">
        <f t="shared" si="11"/>
        <v>0x062F</v>
      </c>
      <c r="D162" s="80">
        <f t="shared" si="13"/>
        <v>1582</v>
      </c>
      <c r="E162" s="80">
        <f t="shared" si="12"/>
        <v>1583</v>
      </c>
      <c r="F162" s="81" t="s">
        <v>1118</v>
      </c>
      <c r="G162" s="82" t="s">
        <v>2869</v>
      </c>
      <c r="H162" s="83" t="s">
        <v>427</v>
      </c>
      <c r="I162" s="83">
        <v>2</v>
      </c>
      <c r="J162" s="122"/>
    </row>
    <row r="163" spans="1:10" ht="13.5" thickBot="1">
      <c r="A163" s="79"/>
      <c r="B163" s="80" t="str">
        <f t="shared" si="10"/>
        <v>0x0630</v>
      </c>
      <c r="C163" s="80" t="str">
        <f t="shared" si="11"/>
        <v>0x0631</v>
      </c>
      <c r="D163" s="80">
        <f t="shared" si="13"/>
        <v>1584</v>
      </c>
      <c r="E163" s="80">
        <f t="shared" si="12"/>
        <v>1585</v>
      </c>
      <c r="F163" s="81" t="s">
        <v>1120</v>
      </c>
      <c r="G163" s="82" t="s">
        <v>2869</v>
      </c>
      <c r="H163" s="83" t="s">
        <v>427</v>
      </c>
      <c r="I163" s="83">
        <v>2</v>
      </c>
      <c r="J163" s="122"/>
    </row>
    <row r="164" spans="1:10" ht="13.5" thickBot="1">
      <c r="A164" s="79"/>
      <c r="B164" s="80" t="str">
        <f t="shared" si="10"/>
        <v>0x0632</v>
      </c>
      <c r="C164" s="80" t="str">
        <f t="shared" si="11"/>
        <v>0x0633</v>
      </c>
      <c r="D164" s="80">
        <f t="shared" si="13"/>
        <v>1586</v>
      </c>
      <c r="E164" s="80">
        <f t="shared" si="12"/>
        <v>1587</v>
      </c>
      <c r="F164" s="81" t="s">
        <v>1121</v>
      </c>
      <c r="G164" s="82" t="s">
        <v>2869</v>
      </c>
      <c r="H164" s="83" t="s">
        <v>427</v>
      </c>
      <c r="I164" s="83">
        <v>2</v>
      </c>
      <c r="J164" s="122"/>
    </row>
    <row r="165" spans="1:10" ht="13.5" thickBot="1">
      <c r="A165" s="79"/>
      <c r="B165" s="80" t="str">
        <f t="shared" si="10"/>
        <v>0x0634</v>
      </c>
      <c r="C165" s="80" t="str">
        <f t="shared" si="11"/>
        <v>0x0635</v>
      </c>
      <c r="D165" s="80">
        <f t="shared" si="13"/>
        <v>1588</v>
      </c>
      <c r="E165" s="80">
        <f t="shared" si="12"/>
        <v>1589</v>
      </c>
      <c r="F165" s="83" t="s">
        <v>2867</v>
      </c>
      <c r="G165" s="82" t="s">
        <v>2869</v>
      </c>
      <c r="H165" s="83" t="s">
        <v>427</v>
      </c>
      <c r="I165" s="83">
        <v>2</v>
      </c>
      <c r="J165" s="122"/>
    </row>
    <row r="166" spans="1:10" ht="13.5" thickBot="1">
      <c r="A166" s="79"/>
      <c r="B166" s="80" t="str">
        <f t="shared" si="10"/>
        <v>0x0636</v>
      </c>
      <c r="C166" s="80" t="str">
        <f t="shared" si="11"/>
        <v>0x0637</v>
      </c>
      <c r="D166" s="80">
        <f t="shared" si="13"/>
        <v>1590</v>
      </c>
      <c r="E166" s="80">
        <f t="shared" si="12"/>
        <v>1591</v>
      </c>
      <c r="F166" s="81" t="s">
        <v>1111</v>
      </c>
      <c r="G166" s="82" t="s">
        <v>2869</v>
      </c>
      <c r="H166" s="83" t="s">
        <v>427</v>
      </c>
      <c r="I166" s="83">
        <v>2</v>
      </c>
      <c r="J166" s="122"/>
    </row>
    <row r="167" spans="1:10" ht="13.5" thickBot="1">
      <c r="A167" s="79"/>
      <c r="B167" s="80" t="str">
        <f t="shared" si="10"/>
        <v>0x0638</v>
      </c>
      <c r="C167" s="80" t="str">
        <f t="shared" si="11"/>
        <v>0x0639</v>
      </c>
      <c r="D167" s="80">
        <f t="shared" si="13"/>
        <v>1592</v>
      </c>
      <c r="E167" s="80">
        <f t="shared" si="12"/>
        <v>1593</v>
      </c>
      <c r="F167" s="81" t="s">
        <v>1112</v>
      </c>
      <c r="G167" s="82" t="s">
        <v>2869</v>
      </c>
      <c r="H167" s="83" t="s">
        <v>427</v>
      </c>
      <c r="I167" s="83">
        <v>2</v>
      </c>
      <c r="J167" s="122"/>
    </row>
    <row r="168" spans="1:10" ht="13.5" thickBot="1">
      <c r="A168" s="79"/>
      <c r="B168" s="80" t="str">
        <f t="shared" si="10"/>
        <v>0x063A</v>
      </c>
      <c r="C168" s="80" t="str">
        <f t="shared" si="11"/>
        <v>0x063B</v>
      </c>
      <c r="D168" s="80">
        <f t="shared" si="13"/>
        <v>1594</v>
      </c>
      <c r="E168" s="80">
        <f t="shared" si="12"/>
        <v>1595</v>
      </c>
      <c r="F168" s="81" t="s">
        <v>1113</v>
      </c>
      <c r="G168" s="82" t="s">
        <v>2869</v>
      </c>
      <c r="H168" s="83" t="s">
        <v>427</v>
      </c>
      <c r="I168" s="83">
        <v>2</v>
      </c>
      <c r="J168" s="122"/>
    </row>
    <row r="169" spans="1:10" ht="13.5" thickBot="1">
      <c r="A169" s="79"/>
      <c r="B169" s="80" t="str">
        <f t="shared" si="10"/>
        <v>0x063C</v>
      </c>
      <c r="C169" s="80" t="str">
        <f t="shared" si="11"/>
        <v>0x063D</v>
      </c>
      <c r="D169" s="80">
        <f t="shared" si="13"/>
        <v>1596</v>
      </c>
      <c r="E169" s="80">
        <f t="shared" si="12"/>
        <v>1597</v>
      </c>
      <c r="F169" s="83" t="s">
        <v>2867</v>
      </c>
      <c r="G169" s="82" t="s">
        <v>2869</v>
      </c>
      <c r="H169" s="83" t="s">
        <v>427</v>
      </c>
      <c r="I169" s="83">
        <v>2</v>
      </c>
      <c r="J169" s="122"/>
    </row>
    <row r="170" spans="1:10" ht="13.5" thickBot="1">
      <c r="A170" s="79"/>
      <c r="B170" s="80" t="str">
        <f t="shared" si="10"/>
        <v>0x063E</v>
      </c>
      <c r="C170" s="80" t="str">
        <f t="shared" si="11"/>
        <v>0x063F</v>
      </c>
      <c r="D170" s="80">
        <f t="shared" si="13"/>
        <v>1598</v>
      </c>
      <c r="E170" s="80">
        <f t="shared" si="12"/>
        <v>1599</v>
      </c>
      <c r="F170" s="81" t="s">
        <v>1125</v>
      </c>
      <c r="G170" s="82" t="s">
        <v>2869</v>
      </c>
      <c r="H170" s="82" t="s">
        <v>427</v>
      </c>
      <c r="I170" s="83">
        <v>2</v>
      </c>
      <c r="J170" s="122"/>
    </row>
    <row r="171" spans="1:10" ht="13.5" thickBot="1">
      <c r="A171" s="79"/>
      <c r="B171" s="80" t="str">
        <f t="shared" si="10"/>
        <v>0x0640</v>
      </c>
      <c r="C171" s="80" t="str">
        <f t="shared" si="11"/>
        <v>0x0641</v>
      </c>
      <c r="D171" s="80">
        <f t="shared" si="13"/>
        <v>1600</v>
      </c>
      <c r="E171" s="80">
        <f t="shared" si="12"/>
        <v>1601</v>
      </c>
      <c r="F171" s="81" t="s">
        <v>1123</v>
      </c>
      <c r="G171" s="82" t="s">
        <v>2869</v>
      </c>
      <c r="H171" s="82" t="s">
        <v>427</v>
      </c>
      <c r="I171" s="83">
        <v>2</v>
      </c>
      <c r="J171" s="122"/>
    </row>
    <row r="172" spans="1:10" ht="13.5" thickBot="1">
      <c r="A172" s="79"/>
      <c r="B172" s="80" t="str">
        <f t="shared" si="10"/>
        <v>0x0642</v>
      </c>
      <c r="C172" s="80" t="str">
        <f t="shared" si="11"/>
        <v>0x0643</v>
      </c>
      <c r="D172" s="80">
        <f t="shared" si="13"/>
        <v>1602</v>
      </c>
      <c r="E172" s="80">
        <f t="shared" si="12"/>
        <v>1603</v>
      </c>
      <c r="F172" s="81" t="s">
        <v>1124</v>
      </c>
      <c r="G172" s="82" t="s">
        <v>2869</v>
      </c>
      <c r="H172" s="82" t="s">
        <v>427</v>
      </c>
      <c r="I172" s="83">
        <v>2</v>
      </c>
      <c r="J172" s="122"/>
    </row>
    <row r="173" spans="1:10" ht="13.5" thickBot="1">
      <c r="A173" s="79"/>
      <c r="B173" s="80" t="str">
        <f t="shared" si="10"/>
        <v>0x0644</v>
      </c>
      <c r="C173" s="80" t="str">
        <f t="shared" si="11"/>
        <v>0x0645</v>
      </c>
      <c r="D173" s="80">
        <f t="shared" si="13"/>
        <v>1604</v>
      </c>
      <c r="E173" s="80">
        <f t="shared" si="12"/>
        <v>1605</v>
      </c>
      <c r="F173" s="81" t="s">
        <v>1126</v>
      </c>
      <c r="G173" s="82" t="s">
        <v>2869</v>
      </c>
      <c r="H173" s="82" t="s">
        <v>427</v>
      </c>
      <c r="I173" s="83">
        <v>2</v>
      </c>
      <c r="J173" s="122"/>
    </row>
    <row r="174" spans="1:10" ht="13.5" thickBot="1">
      <c r="A174" s="79"/>
      <c r="B174" s="80" t="str">
        <f t="shared" si="10"/>
        <v>0x0646</v>
      </c>
      <c r="C174" s="80" t="str">
        <f t="shared" si="11"/>
        <v>0x0647</v>
      </c>
      <c r="D174" s="80">
        <f t="shared" si="13"/>
        <v>1606</v>
      </c>
      <c r="E174" s="80">
        <f t="shared" si="12"/>
        <v>1607</v>
      </c>
      <c r="F174" s="81" t="s">
        <v>1127</v>
      </c>
      <c r="G174" s="82" t="s">
        <v>2869</v>
      </c>
      <c r="H174" s="82" t="s">
        <v>427</v>
      </c>
      <c r="I174" s="83">
        <v>2</v>
      </c>
      <c r="J174" s="122"/>
    </row>
    <row r="175" spans="1:10" ht="13.5" thickBot="1">
      <c r="A175" s="79"/>
      <c r="B175" s="80" t="str">
        <f t="shared" si="10"/>
        <v>0x0648</v>
      </c>
      <c r="C175" s="80" t="str">
        <f t="shared" si="11"/>
        <v>0x0649</v>
      </c>
      <c r="D175" s="80">
        <f t="shared" si="13"/>
        <v>1608</v>
      </c>
      <c r="E175" s="80">
        <f t="shared" si="12"/>
        <v>1609</v>
      </c>
      <c r="F175" s="81" t="s">
        <v>1128</v>
      </c>
      <c r="G175" s="82" t="s">
        <v>2869</v>
      </c>
      <c r="H175" s="82" t="s">
        <v>427</v>
      </c>
      <c r="I175" s="83">
        <v>2</v>
      </c>
      <c r="J175" s="122"/>
    </row>
    <row r="176" spans="1:10" ht="13.5" thickBot="1">
      <c r="A176" s="79"/>
      <c r="B176" s="80" t="str">
        <f t="shared" si="10"/>
        <v>0x064A</v>
      </c>
      <c r="C176" s="80" t="str">
        <f t="shared" si="11"/>
        <v>0x064B</v>
      </c>
      <c r="D176" s="80">
        <f t="shared" si="13"/>
        <v>1610</v>
      </c>
      <c r="E176" s="80">
        <f t="shared" si="12"/>
        <v>1611</v>
      </c>
      <c r="F176" s="83" t="s">
        <v>2867</v>
      </c>
      <c r="G176" s="82" t="s">
        <v>2869</v>
      </c>
      <c r="H176" s="83" t="s">
        <v>427</v>
      </c>
      <c r="I176" s="83">
        <v>2</v>
      </c>
      <c r="J176" s="78"/>
    </row>
  </sheetData>
  <mergeCells count="6">
    <mergeCell ref="J150:J158"/>
    <mergeCell ref="J159:J165"/>
    <mergeCell ref="J166:J169"/>
    <mergeCell ref="J170:J175"/>
    <mergeCell ref="J139:J145"/>
    <mergeCell ref="J146:J148"/>
  </mergeCells>
  <phoneticPr fontId="4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7E941-7D19-4F09-BCA0-FF62BF626F05}">
  <dimension ref="A1:L117"/>
  <sheetViews>
    <sheetView workbookViewId="0">
      <pane ySplit="1" topLeftCell="A71" activePane="bottomLeft" state="frozen"/>
      <selection pane="bottomLeft" activeCell="A107" sqref="A107:XFD117"/>
    </sheetView>
  </sheetViews>
  <sheetFormatPr defaultColWidth="9" defaultRowHeight="12.75"/>
  <cols>
    <col min="1" max="1" width="20.140625" style="16" customWidth="1"/>
    <col min="2" max="2" width="9.85546875" style="16" customWidth="1"/>
    <col min="3" max="5" width="9" style="16"/>
    <col min="6" max="6" width="47.7109375" style="16" customWidth="1"/>
    <col min="7" max="7" width="13.85546875" style="16" customWidth="1"/>
    <col min="8" max="9" width="9" style="16"/>
    <col min="10" max="10" width="28.42578125" style="16" customWidth="1"/>
    <col min="11" max="11" width="25.7109375" style="16" customWidth="1"/>
    <col min="12" max="16384" width="9" style="16"/>
  </cols>
  <sheetData>
    <row r="1" spans="1:12" s="39" customFormat="1">
      <c r="A1" s="39" t="s">
        <v>27</v>
      </c>
      <c r="B1" s="39" t="s">
        <v>414</v>
      </c>
      <c r="C1" s="39" t="s">
        <v>415</v>
      </c>
      <c r="D1" s="39" t="s">
        <v>416</v>
      </c>
      <c r="E1" s="39" t="s">
        <v>417</v>
      </c>
      <c r="F1" s="39" t="s">
        <v>418</v>
      </c>
      <c r="G1" s="39" t="s">
        <v>419</v>
      </c>
      <c r="H1" s="39" t="s">
        <v>421</v>
      </c>
      <c r="I1" s="39" t="s">
        <v>420</v>
      </c>
      <c r="J1" s="39" t="s">
        <v>422</v>
      </c>
      <c r="K1" s="39" t="s">
        <v>423</v>
      </c>
      <c r="L1" s="39" t="s">
        <v>424</v>
      </c>
    </row>
    <row r="2" spans="1:12">
      <c r="A2" s="26" t="s">
        <v>1304</v>
      </c>
    </row>
    <row r="3" spans="1:12">
      <c r="B3" s="16" t="str">
        <f t="shared" ref="B3:B34" si="0">"0x"&amp;DEC2HEX(D3,4)</f>
        <v>0x2400</v>
      </c>
      <c r="D3" s="16">
        <v>9216</v>
      </c>
      <c r="F3" s="16" t="s">
        <v>1397</v>
      </c>
      <c r="G3" s="16" t="s">
        <v>802</v>
      </c>
      <c r="H3" s="16" t="s">
        <v>427</v>
      </c>
      <c r="I3" s="16">
        <v>1</v>
      </c>
      <c r="J3" s="69" t="s">
        <v>1307</v>
      </c>
    </row>
    <row r="4" spans="1:12">
      <c r="B4" s="16" t="str">
        <f t="shared" si="0"/>
        <v>0x2401</v>
      </c>
      <c r="D4" s="16">
        <f t="shared" ref="D4:D34" si="1">D3+I3</f>
        <v>9217</v>
      </c>
      <c r="F4" s="16" t="s">
        <v>1398</v>
      </c>
      <c r="G4" s="16" t="s">
        <v>802</v>
      </c>
      <c r="H4" s="16" t="s">
        <v>427</v>
      </c>
      <c r="I4" s="16">
        <v>1</v>
      </c>
      <c r="J4" s="69" t="s">
        <v>1399</v>
      </c>
    </row>
    <row r="5" spans="1:12">
      <c r="B5" s="16" t="str">
        <f t="shared" si="0"/>
        <v>0x2402</v>
      </c>
      <c r="D5" s="16">
        <f t="shared" si="1"/>
        <v>9218</v>
      </c>
      <c r="F5" s="16" t="s">
        <v>1400</v>
      </c>
      <c r="G5" s="16" t="s">
        <v>802</v>
      </c>
      <c r="H5" s="16" t="s">
        <v>427</v>
      </c>
      <c r="I5" s="16">
        <v>1</v>
      </c>
      <c r="J5" s="69" t="s">
        <v>1323</v>
      </c>
    </row>
    <row r="6" spans="1:12">
      <c r="B6" s="16" t="str">
        <f t="shared" si="0"/>
        <v>0x2403</v>
      </c>
      <c r="D6" s="16">
        <f t="shared" si="1"/>
        <v>9219</v>
      </c>
      <c r="F6" s="16" t="s">
        <v>1401</v>
      </c>
      <c r="G6" s="16" t="s">
        <v>802</v>
      </c>
      <c r="H6" s="16" t="s">
        <v>427</v>
      </c>
      <c r="I6" s="16">
        <v>1</v>
      </c>
      <c r="J6" s="69" t="s">
        <v>1323</v>
      </c>
    </row>
    <row r="7" spans="1:12">
      <c r="B7" s="16" t="str">
        <f t="shared" si="0"/>
        <v>0x2404</v>
      </c>
      <c r="D7" s="16">
        <f t="shared" si="1"/>
        <v>9220</v>
      </c>
      <c r="F7" s="16" t="s">
        <v>1402</v>
      </c>
      <c r="G7" s="16" t="s">
        <v>802</v>
      </c>
      <c r="H7" s="16" t="s">
        <v>427</v>
      </c>
      <c r="I7" s="16">
        <v>1</v>
      </c>
      <c r="J7" s="69" t="s">
        <v>1307</v>
      </c>
    </row>
    <row r="8" spans="1:12">
      <c r="B8" s="16" t="str">
        <f t="shared" si="0"/>
        <v>0x2405</v>
      </c>
      <c r="D8" s="16">
        <f t="shared" si="1"/>
        <v>9221</v>
      </c>
      <c r="F8" s="16" t="s">
        <v>1403</v>
      </c>
      <c r="G8" s="16" t="s">
        <v>802</v>
      </c>
      <c r="H8" s="16" t="s">
        <v>427</v>
      </c>
      <c r="I8" s="16">
        <v>1</v>
      </c>
      <c r="J8" s="69" t="s">
        <v>1336</v>
      </c>
    </row>
    <row r="9" spans="1:12">
      <c r="B9" s="16" t="str">
        <f t="shared" si="0"/>
        <v>0x2406</v>
      </c>
      <c r="D9" s="16">
        <f t="shared" si="1"/>
        <v>9222</v>
      </c>
      <c r="F9" s="16" t="s">
        <v>1404</v>
      </c>
      <c r="G9" s="16" t="s">
        <v>802</v>
      </c>
      <c r="H9" s="16" t="s">
        <v>427</v>
      </c>
      <c r="I9" s="16">
        <v>1</v>
      </c>
      <c r="J9" s="69" t="s">
        <v>1344</v>
      </c>
    </row>
    <row r="10" spans="1:12">
      <c r="B10" s="16" t="str">
        <f t="shared" si="0"/>
        <v>0x2407</v>
      </c>
      <c r="D10" s="16">
        <f t="shared" si="1"/>
        <v>9223</v>
      </c>
      <c r="F10" s="16" t="s">
        <v>1405</v>
      </c>
      <c r="G10" s="16" t="s">
        <v>802</v>
      </c>
      <c r="H10" s="16" t="s">
        <v>427</v>
      </c>
      <c r="I10" s="16">
        <v>1</v>
      </c>
      <c r="J10" s="69" t="s">
        <v>1307</v>
      </c>
    </row>
    <row r="11" spans="1:12">
      <c r="B11" s="16" t="str">
        <f t="shared" si="0"/>
        <v>0x2408</v>
      </c>
      <c r="D11" s="16">
        <f t="shared" si="1"/>
        <v>9224</v>
      </c>
      <c r="F11" s="16" t="s">
        <v>1406</v>
      </c>
      <c r="G11" s="16" t="s">
        <v>802</v>
      </c>
      <c r="H11" s="16" t="s">
        <v>427</v>
      </c>
      <c r="I11" s="16">
        <v>1</v>
      </c>
      <c r="J11" s="69" t="s">
        <v>1307</v>
      </c>
    </row>
    <row r="12" spans="1:12">
      <c r="B12" s="16" t="str">
        <f t="shared" si="0"/>
        <v>0x2409</v>
      </c>
      <c r="D12" s="16">
        <f t="shared" si="1"/>
        <v>9225</v>
      </c>
      <c r="F12" s="16" t="s">
        <v>1407</v>
      </c>
      <c r="G12" s="16" t="s">
        <v>802</v>
      </c>
      <c r="H12" s="16" t="s">
        <v>427</v>
      </c>
      <c r="I12" s="16">
        <v>1</v>
      </c>
      <c r="J12" s="69" t="s">
        <v>1323</v>
      </c>
    </row>
    <row r="13" spans="1:12">
      <c r="B13" s="16" t="str">
        <f t="shared" si="0"/>
        <v>0x240A</v>
      </c>
      <c r="D13" s="16">
        <f t="shared" si="1"/>
        <v>9226</v>
      </c>
      <c r="F13" s="16" t="s">
        <v>1408</v>
      </c>
      <c r="G13" s="16" t="s">
        <v>802</v>
      </c>
      <c r="H13" s="16" t="s">
        <v>427</v>
      </c>
      <c r="I13" s="16">
        <v>1</v>
      </c>
      <c r="J13" s="69" t="s">
        <v>1323</v>
      </c>
    </row>
    <row r="14" spans="1:12">
      <c r="B14" s="16" t="str">
        <f t="shared" si="0"/>
        <v>0x240B</v>
      </c>
      <c r="D14" s="16">
        <f t="shared" si="1"/>
        <v>9227</v>
      </c>
      <c r="F14" s="16" t="s">
        <v>1409</v>
      </c>
      <c r="G14" s="16" t="s">
        <v>802</v>
      </c>
      <c r="H14" s="16" t="s">
        <v>427</v>
      </c>
      <c r="I14" s="16">
        <v>1</v>
      </c>
      <c r="J14" s="69" t="s">
        <v>1307</v>
      </c>
    </row>
    <row r="15" spans="1:12">
      <c r="B15" s="16" t="str">
        <f t="shared" si="0"/>
        <v>0x240C</v>
      </c>
      <c r="D15" s="16">
        <f t="shared" si="1"/>
        <v>9228</v>
      </c>
      <c r="F15" s="16" t="s">
        <v>1410</v>
      </c>
      <c r="G15" s="16" t="s">
        <v>802</v>
      </c>
      <c r="H15" s="16" t="s">
        <v>427</v>
      </c>
      <c r="I15" s="16">
        <v>1</v>
      </c>
      <c r="J15" s="69" t="s">
        <v>1336</v>
      </c>
    </row>
    <row r="16" spans="1:12">
      <c r="B16" s="16" t="str">
        <f t="shared" si="0"/>
        <v>0x240D</v>
      </c>
      <c r="D16" s="16">
        <f t="shared" si="1"/>
        <v>9229</v>
      </c>
      <c r="F16" s="16" t="s">
        <v>1411</v>
      </c>
      <c r="G16" s="16" t="s">
        <v>802</v>
      </c>
      <c r="H16" s="16" t="s">
        <v>427</v>
      </c>
      <c r="I16" s="16">
        <v>1</v>
      </c>
      <c r="J16" s="69" t="s">
        <v>1344</v>
      </c>
    </row>
    <row r="17" spans="2:10">
      <c r="B17" s="16" t="str">
        <f t="shared" si="0"/>
        <v>0x240E</v>
      </c>
      <c r="D17" s="16">
        <f t="shared" si="1"/>
        <v>9230</v>
      </c>
      <c r="F17" s="16" t="s">
        <v>1412</v>
      </c>
      <c r="G17" s="16" t="s">
        <v>802</v>
      </c>
      <c r="H17" s="16" t="s">
        <v>427</v>
      </c>
      <c r="I17" s="16">
        <v>1</v>
      </c>
      <c r="J17" s="69" t="s">
        <v>1344</v>
      </c>
    </row>
    <row r="18" spans="2:10">
      <c r="B18" s="16" t="str">
        <f t="shared" si="0"/>
        <v>0x240F</v>
      </c>
      <c r="D18" s="16">
        <f t="shared" si="1"/>
        <v>9231</v>
      </c>
      <c r="F18" s="16" t="s">
        <v>1413</v>
      </c>
      <c r="G18" s="16" t="s">
        <v>802</v>
      </c>
      <c r="H18" s="16" t="s">
        <v>427</v>
      </c>
      <c r="I18" s="16">
        <v>1</v>
      </c>
      <c r="J18" s="69" t="s">
        <v>1344</v>
      </c>
    </row>
    <row r="19" spans="2:10">
      <c r="B19" s="16" t="str">
        <f t="shared" si="0"/>
        <v>0x2410</v>
      </c>
      <c r="D19" s="16">
        <f t="shared" si="1"/>
        <v>9232</v>
      </c>
      <c r="F19" s="16" t="s">
        <v>1414</v>
      </c>
      <c r="G19" s="16" t="s">
        <v>802</v>
      </c>
      <c r="H19" s="16" t="s">
        <v>427</v>
      </c>
      <c r="I19" s="16">
        <v>1</v>
      </c>
      <c r="J19" s="69" t="s">
        <v>1344</v>
      </c>
    </row>
    <row r="20" spans="2:10">
      <c r="B20" s="16" t="str">
        <f t="shared" si="0"/>
        <v>0x2411</v>
      </c>
      <c r="D20" s="16">
        <f t="shared" si="1"/>
        <v>9233</v>
      </c>
      <c r="F20" s="16" t="s">
        <v>1415</v>
      </c>
      <c r="G20" s="16" t="s">
        <v>802</v>
      </c>
      <c r="H20" s="16" t="s">
        <v>427</v>
      </c>
      <c r="I20" s="16">
        <v>1</v>
      </c>
      <c r="J20" s="69" t="s">
        <v>1323</v>
      </c>
    </row>
    <row r="21" spans="2:10">
      <c r="B21" s="16" t="str">
        <f t="shared" si="0"/>
        <v>0x2412</v>
      </c>
      <c r="D21" s="16">
        <f t="shared" si="1"/>
        <v>9234</v>
      </c>
      <c r="F21" s="16" t="s">
        <v>1416</v>
      </c>
      <c r="G21" s="16" t="s">
        <v>802</v>
      </c>
      <c r="H21" s="16" t="s">
        <v>427</v>
      </c>
      <c r="I21" s="16">
        <v>1</v>
      </c>
      <c r="J21" s="69" t="s">
        <v>1323</v>
      </c>
    </row>
    <row r="22" spans="2:10">
      <c r="B22" s="16" t="str">
        <f t="shared" si="0"/>
        <v>0x2413</v>
      </c>
      <c r="D22" s="16">
        <f t="shared" si="1"/>
        <v>9235</v>
      </c>
      <c r="F22" s="16" t="s">
        <v>1417</v>
      </c>
      <c r="G22" s="16" t="s">
        <v>802</v>
      </c>
      <c r="H22" s="16" t="s">
        <v>427</v>
      </c>
      <c r="I22" s="16">
        <v>1</v>
      </c>
      <c r="J22" s="69" t="s">
        <v>1307</v>
      </c>
    </row>
    <row r="23" spans="2:10">
      <c r="B23" s="16" t="str">
        <f t="shared" si="0"/>
        <v>0x2414</v>
      </c>
      <c r="D23" s="16">
        <f t="shared" si="1"/>
        <v>9236</v>
      </c>
      <c r="F23" s="16" t="s">
        <v>1418</v>
      </c>
      <c r="G23" s="16" t="s">
        <v>802</v>
      </c>
      <c r="H23" s="16" t="s">
        <v>427</v>
      </c>
      <c r="I23" s="16">
        <v>1</v>
      </c>
      <c r="J23" s="69" t="s">
        <v>1323</v>
      </c>
    </row>
    <row r="24" spans="2:10">
      <c r="B24" s="16" t="str">
        <f t="shared" si="0"/>
        <v>0x2415</v>
      </c>
      <c r="D24" s="16">
        <f t="shared" si="1"/>
        <v>9237</v>
      </c>
      <c r="F24" s="16" t="s">
        <v>1419</v>
      </c>
      <c r="G24" s="16" t="s">
        <v>802</v>
      </c>
      <c r="H24" s="16" t="s">
        <v>427</v>
      </c>
      <c r="I24" s="16">
        <v>1</v>
      </c>
      <c r="J24" s="69" t="s">
        <v>1323</v>
      </c>
    </row>
    <row r="25" spans="2:10">
      <c r="B25" s="16" t="str">
        <f t="shared" si="0"/>
        <v>0x2416</v>
      </c>
      <c r="D25" s="16">
        <f t="shared" si="1"/>
        <v>9238</v>
      </c>
      <c r="F25" s="16" t="s">
        <v>1420</v>
      </c>
      <c r="G25" s="16" t="s">
        <v>802</v>
      </c>
      <c r="H25" s="16" t="s">
        <v>427</v>
      </c>
      <c r="I25" s="16">
        <v>1</v>
      </c>
      <c r="J25" s="69" t="s">
        <v>1323</v>
      </c>
    </row>
    <row r="26" spans="2:10">
      <c r="B26" s="16" t="str">
        <f t="shared" si="0"/>
        <v>0x2417</v>
      </c>
      <c r="D26" s="16">
        <f t="shared" si="1"/>
        <v>9239</v>
      </c>
      <c r="F26" s="16" t="s">
        <v>1421</v>
      </c>
      <c r="G26" s="16" t="s">
        <v>802</v>
      </c>
      <c r="H26" s="16" t="s">
        <v>427</v>
      </c>
      <c r="I26" s="16">
        <v>1</v>
      </c>
      <c r="J26" s="69" t="s">
        <v>1307</v>
      </c>
    </row>
    <row r="27" spans="2:10">
      <c r="B27" s="16" t="str">
        <f t="shared" si="0"/>
        <v>0x2418</v>
      </c>
      <c r="D27" s="16">
        <f t="shared" si="1"/>
        <v>9240</v>
      </c>
      <c r="F27" s="16" t="s">
        <v>1422</v>
      </c>
      <c r="G27" s="16" t="s">
        <v>802</v>
      </c>
      <c r="H27" s="16" t="s">
        <v>427</v>
      </c>
      <c r="I27" s="16">
        <v>1</v>
      </c>
      <c r="J27" s="69" t="s">
        <v>1323</v>
      </c>
    </row>
    <row r="28" spans="2:10">
      <c r="B28" s="16" t="str">
        <f t="shared" si="0"/>
        <v>0x2419</v>
      </c>
      <c r="D28" s="16">
        <f t="shared" si="1"/>
        <v>9241</v>
      </c>
      <c r="F28" s="16" t="s">
        <v>1423</v>
      </c>
      <c r="G28" s="16" t="s">
        <v>802</v>
      </c>
      <c r="H28" s="16" t="s">
        <v>427</v>
      </c>
      <c r="I28" s="16">
        <v>1</v>
      </c>
      <c r="J28" s="69" t="s">
        <v>1323</v>
      </c>
    </row>
    <row r="29" spans="2:10">
      <c r="B29" s="16" t="str">
        <f t="shared" si="0"/>
        <v>0x241A</v>
      </c>
      <c r="D29" s="16">
        <f t="shared" si="1"/>
        <v>9242</v>
      </c>
      <c r="F29" s="16" t="s">
        <v>1424</v>
      </c>
      <c r="G29" s="16" t="s">
        <v>802</v>
      </c>
      <c r="H29" s="16" t="s">
        <v>427</v>
      </c>
      <c r="I29" s="16">
        <v>1</v>
      </c>
      <c r="J29" s="69" t="s">
        <v>1323</v>
      </c>
    </row>
    <row r="30" spans="2:10">
      <c r="B30" s="16" t="str">
        <f t="shared" si="0"/>
        <v>0x241B</v>
      </c>
      <c r="D30" s="16">
        <f t="shared" si="1"/>
        <v>9243</v>
      </c>
      <c r="F30" s="16" t="s">
        <v>1425</v>
      </c>
      <c r="G30" s="16" t="s">
        <v>802</v>
      </c>
      <c r="H30" s="16" t="s">
        <v>427</v>
      </c>
      <c r="I30" s="16">
        <v>1</v>
      </c>
      <c r="J30" s="69" t="s">
        <v>1307</v>
      </c>
    </row>
    <row r="31" spans="2:10">
      <c r="B31" s="16" t="str">
        <f t="shared" si="0"/>
        <v>0x241C</v>
      </c>
      <c r="D31" s="16">
        <f t="shared" si="1"/>
        <v>9244</v>
      </c>
      <c r="F31" s="16" t="s">
        <v>1426</v>
      </c>
      <c r="G31" s="16" t="s">
        <v>802</v>
      </c>
      <c r="H31" s="16" t="s">
        <v>427</v>
      </c>
      <c r="I31" s="16">
        <v>1</v>
      </c>
      <c r="J31" s="69" t="s">
        <v>1323</v>
      </c>
    </row>
    <row r="32" spans="2:10">
      <c r="B32" s="16" t="str">
        <f t="shared" si="0"/>
        <v>0x241D</v>
      </c>
      <c r="D32" s="16">
        <f t="shared" si="1"/>
        <v>9245</v>
      </c>
      <c r="F32" s="16" t="s">
        <v>1427</v>
      </c>
      <c r="G32" s="16" t="s">
        <v>802</v>
      </c>
      <c r="H32" s="16" t="s">
        <v>427</v>
      </c>
      <c r="I32" s="16">
        <v>1</v>
      </c>
      <c r="J32" s="69" t="s">
        <v>1323</v>
      </c>
    </row>
    <row r="33" spans="1:10">
      <c r="B33" s="16" t="str">
        <f t="shared" si="0"/>
        <v>0x241E</v>
      </c>
      <c r="D33" s="16">
        <f t="shared" si="1"/>
        <v>9246</v>
      </c>
      <c r="F33" s="16" t="s">
        <v>1428</v>
      </c>
      <c r="G33" s="16" t="s">
        <v>802</v>
      </c>
      <c r="H33" s="16" t="s">
        <v>427</v>
      </c>
      <c r="I33" s="16">
        <v>1</v>
      </c>
      <c r="J33" s="69" t="s">
        <v>1307</v>
      </c>
    </row>
    <row r="34" spans="1:10">
      <c r="B34" s="16" t="str">
        <f t="shared" si="0"/>
        <v>0x241F</v>
      </c>
      <c r="D34" s="16">
        <f t="shared" si="1"/>
        <v>9247</v>
      </c>
      <c r="F34" s="16" t="s">
        <v>1429</v>
      </c>
      <c r="G34" s="16" t="s">
        <v>802</v>
      </c>
      <c r="H34" s="16" t="s">
        <v>427</v>
      </c>
      <c r="I34" s="16">
        <v>1</v>
      </c>
      <c r="J34" s="69" t="s">
        <v>1307</v>
      </c>
    </row>
    <row r="35" spans="1:10">
      <c r="J35" s="69"/>
    </row>
    <row r="36" spans="1:10" s="26" customFormat="1">
      <c r="A36" s="26" t="s">
        <v>133</v>
      </c>
    </row>
    <row r="37" spans="1:10">
      <c r="B37" s="16" t="str">
        <f t="shared" ref="B37:B71" si="2">"0x"&amp;DEC2HEX(D37,4)</f>
        <v>0x2500</v>
      </c>
      <c r="C37" s="16" t="str">
        <f t="shared" ref="C37:C71" si="3">"0x"&amp;DEC2HEX(E37,4)</f>
        <v>0x2501</v>
      </c>
      <c r="D37" s="16">
        <v>9472</v>
      </c>
      <c r="E37" s="16">
        <f t="shared" ref="E37:E71" si="4">D37+I37-1</f>
        <v>9473</v>
      </c>
      <c r="F37" s="16" t="s">
        <v>1430</v>
      </c>
      <c r="G37" s="16" t="s">
        <v>1151</v>
      </c>
      <c r="H37" s="16" t="s">
        <v>471</v>
      </c>
      <c r="I37" s="16">
        <v>2</v>
      </c>
      <c r="J37" s="1" t="s">
        <v>1431</v>
      </c>
    </row>
    <row r="38" spans="1:10">
      <c r="B38" s="16" t="str">
        <f t="shared" si="2"/>
        <v>0x2502</v>
      </c>
      <c r="C38" s="16" t="str">
        <f t="shared" si="3"/>
        <v>0x2503</v>
      </c>
      <c r="D38" s="16">
        <v>9474</v>
      </c>
      <c r="E38" s="16">
        <f t="shared" si="4"/>
        <v>9475</v>
      </c>
      <c r="F38" s="16" t="s">
        <v>1432</v>
      </c>
      <c r="G38" s="16" t="s">
        <v>1151</v>
      </c>
      <c r="H38" s="16" t="s">
        <v>471</v>
      </c>
      <c r="I38" s="16">
        <v>2</v>
      </c>
      <c r="J38" s="1" t="s">
        <v>1431</v>
      </c>
    </row>
    <row r="39" spans="1:10">
      <c r="B39" s="16" t="str">
        <f t="shared" si="2"/>
        <v>0x2504</v>
      </c>
      <c r="C39" s="16" t="str">
        <f t="shared" si="3"/>
        <v>0x2505</v>
      </c>
      <c r="D39" s="16">
        <v>9476</v>
      </c>
      <c r="E39" s="16">
        <f t="shared" si="4"/>
        <v>9477</v>
      </c>
      <c r="F39" s="70" t="s">
        <v>1433</v>
      </c>
      <c r="G39" s="16" t="s">
        <v>1151</v>
      </c>
      <c r="H39" s="16" t="s">
        <v>471</v>
      </c>
      <c r="I39" s="16">
        <v>2</v>
      </c>
      <c r="J39" s="1" t="s">
        <v>1431</v>
      </c>
    </row>
    <row r="40" spans="1:10">
      <c r="B40" s="16" t="str">
        <f t="shared" si="2"/>
        <v>0x2506</v>
      </c>
      <c r="C40" s="16" t="str">
        <f t="shared" si="3"/>
        <v>0x2507</v>
      </c>
      <c r="D40" s="16">
        <v>9478</v>
      </c>
      <c r="E40" s="16">
        <f t="shared" si="4"/>
        <v>9479</v>
      </c>
      <c r="F40" s="70" t="s">
        <v>1434</v>
      </c>
      <c r="G40" s="16" t="s">
        <v>1151</v>
      </c>
      <c r="H40" s="16" t="s">
        <v>471</v>
      </c>
      <c r="I40" s="16">
        <v>2</v>
      </c>
      <c r="J40" s="1" t="s">
        <v>1431</v>
      </c>
    </row>
    <row r="41" spans="1:10">
      <c r="B41" s="16" t="str">
        <f t="shared" si="2"/>
        <v>0x2508</v>
      </c>
      <c r="C41" s="16" t="str">
        <f t="shared" si="3"/>
        <v>0x2509</v>
      </c>
      <c r="D41" s="16">
        <v>9480</v>
      </c>
      <c r="E41" s="16">
        <f t="shared" si="4"/>
        <v>9481</v>
      </c>
      <c r="F41" s="1" t="s">
        <v>1435</v>
      </c>
      <c r="G41" s="16" t="s">
        <v>1151</v>
      </c>
      <c r="H41" s="16" t="s">
        <v>471</v>
      </c>
      <c r="I41" s="16">
        <v>2</v>
      </c>
      <c r="J41" s="1" t="s">
        <v>1431</v>
      </c>
    </row>
    <row r="42" spans="1:10">
      <c r="B42" s="16" t="str">
        <f t="shared" si="2"/>
        <v>0x250A</v>
      </c>
      <c r="C42" s="16" t="str">
        <f t="shared" si="3"/>
        <v>0x250B</v>
      </c>
      <c r="D42" s="16">
        <v>9482</v>
      </c>
      <c r="E42" s="16">
        <f t="shared" si="4"/>
        <v>9483</v>
      </c>
      <c r="F42" s="1" t="s">
        <v>1436</v>
      </c>
      <c r="G42" s="16" t="s">
        <v>1151</v>
      </c>
      <c r="H42" s="16" t="s">
        <v>471</v>
      </c>
      <c r="I42" s="16">
        <v>2</v>
      </c>
      <c r="J42" s="1" t="s">
        <v>1431</v>
      </c>
    </row>
    <row r="43" spans="1:10">
      <c r="B43" s="16" t="str">
        <f t="shared" si="2"/>
        <v>0x250C</v>
      </c>
      <c r="C43" s="16" t="str">
        <f t="shared" si="3"/>
        <v>0x250D</v>
      </c>
      <c r="D43" s="16">
        <v>9484</v>
      </c>
      <c r="E43" s="16">
        <f t="shared" si="4"/>
        <v>9485</v>
      </c>
      <c r="F43" s="1" t="s">
        <v>1437</v>
      </c>
      <c r="G43" s="16" t="s">
        <v>1151</v>
      </c>
      <c r="H43" s="16" t="s">
        <v>471</v>
      </c>
      <c r="I43" s="16">
        <v>2</v>
      </c>
      <c r="J43" s="1" t="s">
        <v>1431</v>
      </c>
    </row>
    <row r="44" spans="1:10">
      <c r="B44" s="16" t="str">
        <f t="shared" si="2"/>
        <v>0x250E</v>
      </c>
      <c r="C44" s="16" t="str">
        <f t="shared" si="3"/>
        <v>0x250F</v>
      </c>
      <c r="D44" s="16">
        <v>9486</v>
      </c>
      <c r="E44" s="16">
        <f t="shared" si="4"/>
        <v>9487</v>
      </c>
      <c r="F44" s="1" t="s">
        <v>1438</v>
      </c>
      <c r="G44" s="16" t="s">
        <v>1151</v>
      </c>
      <c r="H44" s="16" t="s">
        <v>471</v>
      </c>
      <c r="I44" s="16">
        <v>2</v>
      </c>
      <c r="J44" s="1" t="s">
        <v>1431</v>
      </c>
    </row>
    <row r="45" spans="1:10">
      <c r="B45" s="16" t="str">
        <f t="shared" si="2"/>
        <v>0x2510</v>
      </c>
      <c r="C45" s="16" t="str">
        <f t="shared" si="3"/>
        <v>0x2511</v>
      </c>
      <c r="D45" s="16">
        <v>9488</v>
      </c>
      <c r="E45" s="16">
        <f t="shared" si="4"/>
        <v>9489</v>
      </c>
      <c r="F45" s="1" t="s">
        <v>1439</v>
      </c>
      <c r="G45" s="16" t="s">
        <v>1151</v>
      </c>
      <c r="H45" s="16" t="s">
        <v>471</v>
      </c>
      <c r="I45" s="16">
        <v>2</v>
      </c>
      <c r="J45" s="1" t="s">
        <v>1431</v>
      </c>
    </row>
    <row r="46" spans="1:10">
      <c r="B46" s="16" t="str">
        <f t="shared" si="2"/>
        <v>0x2512</v>
      </c>
      <c r="C46" s="16" t="str">
        <f t="shared" si="3"/>
        <v>0x2513</v>
      </c>
      <c r="D46" s="16">
        <v>9490</v>
      </c>
      <c r="E46" s="16">
        <f t="shared" si="4"/>
        <v>9491</v>
      </c>
      <c r="F46" s="1" t="s">
        <v>1440</v>
      </c>
      <c r="G46" s="16" t="s">
        <v>1151</v>
      </c>
      <c r="H46" s="16" t="s">
        <v>471</v>
      </c>
      <c r="I46" s="16">
        <v>2</v>
      </c>
      <c r="J46" s="1" t="s">
        <v>1431</v>
      </c>
    </row>
    <row r="47" spans="1:10">
      <c r="B47" s="16" t="str">
        <f t="shared" si="2"/>
        <v>0x2514</v>
      </c>
      <c r="C47" s="16" t="str">
        <f t="shared" si="3"/>
        <v>0x2515</v>
      </c>
      <c r="D47" s="16">
        <v>9492</v>
      </c>
      <c r="E47" s="16">
        <f t="shared" si="4"/>
        <v>9493</v>
      </c>
      <c r="F47" s="1" t="s">
        <v>1441</v>
      </c>
      <c r="G47" s="16" t="s">
        <v>1151</v>
      </c>
      <c r="H47" s="16" t="s">
        <v>471</v>
      </c>
      <c r="I47" s="16">
        <v>2</v>
      </c>
      <c r="J47" s="1" t="s">
        <v>1431</v>
      </c>
    </row>
    <row r="48" spans="1:10">
      <c r="B48" s="16" t="str">
        <f t="shared" si="2"/>
        <v>0x2516</v>
      </c>
      <c r="C48" s="16" t="str">
        <f t="shared" si="3"/>
        <v>0x2517</v>
      </c>
      <c r="D48" s="16">
        <v>9494</v>
      </c>
      <c r="E48" s="16">
        <f t="shared" si="4"/>
        <v>9495</v>
      </c>
      <c r="F48" s="1" t="s">
        <v>1442</v>
      </c>
      <c r="G48" s="16" t="s">
        <v>1151</v>
      </c>
      <c r="H48" s="16" t="s">
        <v>471</v>
      </c>
      <c r="I48" s="16">
        <v>2</v>
      </c>
      <c r="J48" s="1" t="s">
        <v>1431</v>
      </c>
    </row>
    <row r="49" spans="2:10">
      <c r="B49" s="16" t="str">
        <f t="shared" si="2"/>
        <v>0x2518</v>
      </c>
      <c r="C49" s="16" t="str">
        <f t="shared" si="3"/>
        <v>0x2519</v>
      </c>
      <c r="D49" s="16">
        <v>9496</v>
      </c>
      <c r="E49" s="16">
        <f t="shared" si="4"/>
        <v>9497</v>
      </c>
      <c r="F49" s="1" t="s">
        <v>1443</v>
      </c>
      <c r="G49" s="16" t="s">
        <v>1151</v>
      </c>
      <c r="H49" s="16" t="s">
        <v>471</v>
      </c>
      <c r="I49" s="16">
        <v>2</v>
      </c>
      <c r="J49" s="1" t="s">
        <v>1431</v>
      </c>
    </row>
    <row r="50" spans="2:10">
      <c r="B50" s="16" t="str">
        <f t="shared" si="2"/>
        <v>0x251A</v>
      </c>
      <c r="C50" s="16" t="str">
        <f t="shared" si="3"/>
        <v>0x251B</v>
      </c>
      <c r="D50" s="16">
        <v>9498</v>
      </c>
      <c r="E50" s="16">
        <f t="shared" si="4"/>
        <v>9499</v>
      </c>
      <c r="F50" s="1" t="s">
        <v>1444</v>
      </c>
      <c r="G50" s="16" t="s">
        <v>1151</v>
      </c>
      <c r="H50" s="16" t="s">
        <v>471</v>
      </c>
      <c r="I50" s="16">
        <v>2</v>
      </c>
      <c r="J50" s="1" t="s">
        <v>1431</v>
      </c>
    </row>
    <row r="51" spans="2:10">
      <c r="B51" s="16" t="str">
        <f t="shared" si="2"/>
        <v>0x251C</v>
      </c>
      <c r="C51" s="16" t="str">
        <f t="shared" si="3"/>
        <v>0x251D</v>
      </c>
      <c r="D51" s="16">
        <v>9500</v>
      </c>
      <c r="E51" s="16">
        <f t="shared" si="4"/>
        <v>9501</v>
      </c>
      <c r="F51" s="1" t="s">
        <v>1445</v>
      </c>
      <c r="G51" s="16" t="s">
        <v>1157</v>
      </c>
      <c r="H51" s="16" t="s">
        <v>471</v>
      </c>
      <c r="I51" s="16">
        <v>2</v>
      </c>
      <c r="J51" s="1" t="s">
        <v>1357</v>
      </c>
    </row>
    <row r="52" spans="2:10">
      <c r="B52" s="16" t="str">
        <f t="shared" si="2"/>
        <v>0x251E</v>
      </c>
      <c r="C52" s="16" t="str">
        <f t="shared" si="3"/>
        <v>0x251F</v>
      </c>
      <c r="D52" s="16">
        <v>9502</v>
      </c>
      <c r="E52" s="16">
        <f t="shared" si="4"/>
        <v>9503</v>
      </c>
      <c r="F52" s="70" t="s">
        <v>1446</v>
      </c>
      <c r="G52" s="16" t="s">
        <v>1151</v>
      </c>
      <c r="H52" s="16" t="s">
        <v>471</v>
      </c>
      <c r="I52" s="16">
        <v>2</v>
      </c>
      <c r="J52" s="1" t="s">
        <v>1431</v>
      </c>
    </row>
    <row r="53" spans="2:10">
      <c r="B53" s="16" t="str">
        <f t="shared" si="2"/>
        <v>0x2520</v>
      </c>
      <c r="C53" s="16" t="str">
        <f t="shared" si="3"/>
        <v>0x2521</v>
      </c>
      <c r="D53" s="16">
        <v>9504</v>
      </c>
      <c r="E53" s="16">
        <f t="shared" si="4"/>
        <v>9505</v>
      </c>
      <c r="F53" s="70" t="s">
        <v>1447</v>
      </c>
      <c r="G53" s="16" t="s">
        <v>1151</v>
      </c>
      <c r="H53" s="16" t="s">
        <v>471</v>
      </c>
      <c r="I53" s="16">
        <v>2</v>
      </c>
      <c r="J53" s="1" t="s">
        <v>1431</v>
      </c>
    </row>
    <row r="54" spans="2:10">
      <c r="B54" s="16" t="str">
        <f t="shared" si="2"/>
        <v>0x2522</v>
      </c>
      <c r="C54" s="16" t="str">
        <f t="shared" si="3"/>
        <v>0x2523</v>
      </c>
      <c r="D54" s="16">
        <v>9506</v>
      </c>
      <c r="E54" s="16">
        <f t="shared" si="4"/>
        <v>9507</v>
      </c>
      <c r="F54" s="70" t="s">
        <v>1448</v>
      </c>
      <c r="G54" s="16" t="s">
        <v>1151</v>
      </c>
      <c r="H54" s="16" t="s">
        <v>471</v>
      </c>
      <c r="I54" s="16">
        <v>2</v>
      </c>
      <c r="J54" s="1" t="s">
        <v>1431</v>
      </c>
    </row>
    <row r="55" spans="2:10">
      <c r="B55" s="16" t="str">
        <f t="shared" si="2"/>
        <v>0x2524</v>
      </c>
      <c r="C55" s="16" t="str">
        <f t="shared" si="3"/>
        <v>0x2525</v>
      </c>
      <c r="D55" s="16">
        <v>9508</v>
      </c>
      <c r="E55" s="16">
        <f t="shared" si="4"/>
        <v>9509</v>
      </c>
      <c r="F55" s="70" t="s">
        <v>1449</v>
      </c>
      <c r="G55" s="16" t="s">
        <v>1157</v>
      </c>
      <c r="H55" s="16" t="s">
        <v>471</v>
      </c>
      <c r="I55" s="16">
        <v>2</v>
      </c>
      <c r="J55" s="1" t="s">
        <v>1357</v>
      </c>
    </row>
    <row r="56" spans="2:10">
      <c r="B56" s="16" t="str">
        <f t="shared" si="2"/>
        <v>0x2526</v>
      </c>
      <c r="C56" s="16" t="str">
        <f t="shared" si="3"/>
        <v>0x2527</v>
      </c>
      <c r="D56" s="16">
        <v>9510</v>
      </c>
      <c r="E56" s="16">
        <f t="shared" si="4"/>
        <v>9511</v>
      </c>
      <c r="F56" s="16" t="s">
        <v>1450</v>
      </c>
      <c r="G56" s="16" t="s">
        <v>1151</v>
      </c>
      <c r="H56" s="16" t="s">
        <v>471</v>
      </c>
      <c r="I56" s="16">
        <v>2</v>
      </c>
      <c r="J56" s="1" t="s">
        <v>1431</v>
      </c>
    </row>
    <row r="57" spans="2:10">
      <c r="B57" s="16" t="str">
        <f t="shared" si="2"/>
        <v>0x2528</v>
      </c>
      <c r="C57" s="16" t="str">
        <f t="shared" si="3"/>
        <v>0x2529</v>
      </c>
      <c r="D57" s="16">
        <v>9512</v>
      </c>
      <c r="E57" s="16">
        <f t="shared" si="4"/>
        <v>9513</v>
      </c>
      <c r="F57" s="16" t="s">
        <v>1451</v>
      </c>
      <c r="G57" s="16" t="s">
        <v>1151</v>
      </c>
      <c r="H57" s="16" t="s">
        <v>471</v>
      </c>
      <c r="I57" s="16">
        <v>2</v>
      </c>
      <c r="J57" s="1" t="s">
        <v>1431</v>
      </c>
    </row>
    <row r="58" spans="2:10">
      <c r="B58" s="16" t="str">
        <f t="shared" si="2"/>
        <v>0x252A</v>
      </c>
      <c r="C58" s="16" t="str">
        <f t="shared" si="3"/>
        <v>0x252B</v>
      </c>
      <c r="D58" s="16">
        <v>9514</v>
      </c>
      <c r="E58" s="16">
        <f t="shared" si="4"/>
        <v>9515</v>
      </c>
      <c r="F58" s="28" t="s">
        <v>1452</v>
      </c>
      <c r="G58" s="16" t="s">
        <v>1151</v>
      </c>
      <c r="H58" s="16" t="s">
        <v>471</v>
      </c>
      <c r="I58" s="16">
        <v>2</v>
      </c>
      <c r="J58" s="1" t="s">
        <v>1431</v>
      </c>
    </row>
    <row r="59" spans="2:10">
      <c r="B59" s="16" t="str">
        <f t="shared" si="2"/>
        <v>0x252C</v>
      </c>
      <c r="C59" s="16" t="str">
        <f t="shared" si="3"/>
        <v>0x252D</v>
      </c>
      <c r="D59" s="16">
        <v>9516</v>
      </c>
      <c r="E59" s="16">
        <f t="shared" si="4"/>
        <v>9517</v>
      </c>
      <c r="F59" s="28" t="s">
        <v>1453</v>
      </c>
      <c r="G59" s="16" t="s">
        <v>1157</v>
      </c>
      <c r="H59" s="16" t="s">
        <v>471</v>
      </c>
      <c r="I59" s="16">
        <v>2</v>
      </c>
      <c r="J59" s="1" t="s">
        <v>1357</v>
      </c>
    </row>
    <row r="60" spans="2:10">
      <c r="B60" s="16" t="str">
        <f t="shared" si="2"/>
        <v>0x252E</v>
      </c>
      <c r="C60" s="16" t="str">
        <f t="shared" si="3"/>
        <v>0x252F</v>
      </c>
      <c r="D60" s="16">
        <v>9518</v>
      </c>
      <c r="E60" s="16">
        <f t="shared" si="4"/>
        <v>9519</v>
      </c>
      <c r="F60" s="16" t="s">
        <v>1454</v>
      </c>
      <c r="G60" s="16" t="s">
        <v>1151</v>
      </c>
      <c r="H60" s="16" t="s">
        <v>471</v>
      </c>
      <c r="I60" s="16">
        <v>2</v>
      </c>
      <c r="J60" s="1" t="s">
        <v>1431</v>
      </c>
    </row>
    <row r="61" spans="2:10">
      <c r="B61" s="16" t="str">
        <f t="shared" si="2"/>
        <v>0x2530</v>
      </c>
      <c r="C61" s="16" t="str">
        <f t="shared" si="3"/>
        <v>0x2531</v>
      </c>
      <c r="D61" s="16">
        <v>9520</v>
      </c>
      <c r="E61" s="16">
        <f t="shared" si="4"/>
        <v>9521</v>
      </c>
      <c r="F61" s="16" t="s">
        <v>1455</v>
      </c>
      <c r="G61" s="16" t="s">
        <v>1151</v>
      </c>
      <c r="H61" s="16" t="s">
        <v>471</v>
      </c>
      <c r="I61" s="16">
        <v>2</v>
      </c>
      <c r="J61" s="1" t="s">
        <v>1431</v>
      </c>
    </row>
    <row r="62" spans="2:10">
      <c r="B62" s="16" t="str">
        <f t="shared" si="2"/>
        <v>0x2532</v>
      </c>
      <c r="C62" s="16" t="str">
        <f t="shared" si="3"/>
        <v>0x2533</v>
      </c>
      <c r="D62" s="16">
        <v>9522</v>
      </c>
      <c r="E62" s="16">
        <f t="shared" si="4"/>
        <v>9523</v>
      </c>
      <c r="F62" s="28" t="s">
        <v>1456</v>
      </c>
      <c r="G62" s="16" t="s">
        <v>1151</v>
      </c>
      <c r="H62" s="16" t="s">
        <v>471</v>
      </c>
      <c r="I62" s="16">
        <v>2</v>
      </c>
      <c r="J62" s="1" t="s">
        <v>1431</v>
      </c>
    </row>
    <row r="63" spans="2:10">
      <c r="B63" s="16" t="str">
        <f t="shared" si="2"/>
        <v>0x2534</v>
      </c>
      <c r="C63" s="16" t="str">
        <f t="shared" si="3"/>
        <v>0x2535</v>
      </c>
      <c r="D63" s="16">
        <v>9524</v>
      </c>
      <c r="E63" s="16">
        <f t="shared" si="4"/>
        <v>9525</v>
      </c>
      <c r="F63" s="28" t="s">
        <v>1457</v>
      </c>
      <c r="G63" s="16" t="s">
        <v>1151</v>
      </c>
      <c r="H63" s="16" t="s">
        <v>471</v>
      </c>
      <c r="I63" s="16">
        <v>2</v>
      </c>
      <c r="J63" s="1" t="s">
        <v>1431</v>
      </c>
    </row>
    <row r="64" spans="2:10">
      <c r="B64" s="16" t="str">
        <f t="shared" si="2"/>
        <v>0x2536</v>
      </c>
      <c r="C64" s="16" t="str">
        <f t="shared" si="3"/>
        <v>0x2537</v>
      </c>
      <c r="D64" s="16">
        <v>9526</v>
      </c>
      <c r="E64" s="16">
        <f t="shared" si="4"/>
        <v>9527</v>
      </c>
      <c r="F64" s="16" t="s">
        <v>1458</v>
      </c>
      <c r="G64" s="16" t="s">
        <v>1151</v>
      </c>
      <c r="H64" s="16" t="s">
        <v>471</v>
      </c>
      <c r="I64" s="16">
        <v>2</v>
      </c>
      <c r="J64" s="1" t="s">
        <v>1431</v>
      </c>
    </row>
    <row r="65" spans="1:10">
      <c r="B65" s="16" t="str">
        <f t="shared" si="2"/>
        <v>0x2538</v>
      </c>
      <c r="C65" s="16" t="str">
        <f t="shared" si="3"/>
        <v>0x2539</v>
      </c>
      <c r="D65" s="16">
        <v>9528</v>
      </c>
      <c r="E65" s="16">
        <f t="shared" si="4"/>
        <v>9529</v>
      </c>
      <c r="F65" s="16" t="s">
        <v>1459</v>
      </c>
      <c r="G65" s="16" t="s">
        <v>1151</v>
      </c>
      <c r="H65" s="16" t="s">
        <v>471</v>
      </c>
      <c r="I65" s="16">
        <v>2</v>
      </c>
      <c r="J65" s="1" t="s">
        <v>1431</v>
      </c>
    </row>
    <row r="66" spans="1:10">
      <c r="B66" s="16" t="str">
        <f t="shared" si="2"/>
        <v>0x253A</v>
      </c>
      <c r="C66" s="16" t="str">
        <f t="shared" si="3"/>
        <v>0x253B</v>
      </c>
      <c r="D66" s="16">
        <v>9530</v>
      </c>
      <c r="E66" s="16">
        <f t="shared" si="4"/>
        <v>9531</v>
      </c>
      <c r="F66" s="28" t="s">
        <v>1460</v>
      </c>
      <c r="G66" s="16" t="s">
        <v>1151</v>
      </c>
      <c r="H66" s="16" t="s">
        <v>471</v>
      </c>
      <c r="I66" s="16">
        <v>2</v>
      </c>
      <c r="J66" s="1" t="s">
        <v>1431</v>
      </c>
    </row>
    <row r="67" spans="1:10">
      <c r="B67" s="16" t="str">
        <f t="shared" si="2"/>
        <v>0x253C</v>
      </c>
      <c r="C67" s="16" t="str">
        <f t="shared" si="3"/>
        <v>0x253D</v>
      </c>
      <c r="D67" s="16">
        <v>9532</v>
      </c>
      <c r="E67" s="16">
        <f t="shared" si="4"/>
        <v>9533</v>
      </c>
      <c r="F67" s="28" t="s">
        <v>1461</v>
      </c>
      <c r="G67" s="16" t="s">
        <v>1151</v>
      </c>
      <c r="H67" s="16" t="s">
        <v>471</v>
      </c>
      <c r="I67" s="16">
        <v>2</v>
      </c>
      <c r="J67" s="1" t="s">
        <v>1431</v>
      </c>
    </row>
    <row r="68" spans="1:10">
      <c r="B68" s="16" t="str">
        <f t="shared" si="2"/>
        <v>0x253E</v>
      </c>
      <c r="C68" s="16" t="str">
        <f t="shared" si="3"/>
        <v>0x253F</v>
      </c>
      <c r="D68" s="16">
        <v>9534</v>
      </c>
      <c r="E68" s="16">
        <f t="shared" si="4"/>
        <v>9535</v>
      </c>
      <c r="F68" s="28" t="s">
        <v>1462</v>
      </c>
      <c r="G68" s="16" t="s">
        <v>1151</v>
      </c>
      <c r="H68" s="16" t="s">
        <v>471</v>
      </c>
      <c r="I68" s="16">
        <v>2</v>
      </c>
      <c r="J68" s="1" t="s">
        <v>1431</v>
      </c>
    </row>
    <row r="69" spans="1:10">
      <c r="B69" s="16" t="str">
        <f t="shared" si="2"/>
        <v>0x2540</v>
      </c>
      <c r="C69" s="16" t="str">
        <f t="shared" si="3"/>
        <v>0x2541</v>
      </c>
      <c r="D69" s="16">
        <v>9536</v>
      </c>
      <c r="E69" s="16">
        <f t="shared" si="4"/>
        <v>9537</v>
      </c>
      <c r="F69" s="28" t="s">
        <v>1463</v>
      </c>
      <c r="G69" s="16" t="s">
        <v>1151</v>
      </c>
      <c r="H69" s="16" t="s">
        <v>471</v>
      </c>
      <c r="I69" s="16">
        <v>2</v>
      </c>
      <c r="J69" s="1" t="s">
        <v>1431</v>
      </c>
    </row>
    <row r="70" spans="1:10">
      <c r="B70" s="16" t="str">
        <f t="shared" si="2"/>
        <v>0x2542</v>
      </c>
      <c r="C70" s="16" t="str">
        <f t="shared" si="3"/>
        <v>0x2543</v>
      </c>
      <c r="D70" s="16">
        <v>9538</v>
      </c>
      <c r="E70" s="16">
        <f t="shared" si="4"/>
        <v>9539</v>
      </c>
      <c r="F70" s="28" t="s">
        <v>1464</v>
      </c>
      <c r="G70" s="16" t="s">
        <v>1151</v>
      </c>
      <c r="H70" s="16" t="s">
        <v>471</v>
      </c>
      <c r="I70" s="16">
        <v>2</v>
      </c>
      <c r="J70" s="1" t="s">
        <v>1431</v>
      </c>
    </row>
    <row r="71" spans="1:10">
      <c r="B71" s="16" t="str">
        <f t="shared" si="2"/>
        <v>0x2544</v>
      </c>
      <c r="C71" s="16" t="str">
        <f t="shared" si="3"/>
        <v>0x2545</v>
      </c>
      <c r="D71" s="16">
        <v>9540</v>
      </c>
      <c r="E71" s="16">
        <f t="shared" si="4"/>
        <v>9541</v>
      </c>
      <c r="F71" s="28" t="s">
        <v>1465</v>
      </c>
      <c r="G71" s="16" t="s">
        <v>1151</v>
      </c>
      <c r="H71" s="16" t="s">
        <v>471</v>
      </c>
      <c r="I71" s="16">
        <v>2</v>
      </c>
      <c r="J71" s="1" t="s">
        <v>1431</v>
      </c>
    </row>
    <row r="72" spans="1:10">
      <c r="F72" s="28"/>
      <c r="J72" s="1"/>
    </row>
    <row r="73" spans="1:10">
      <c r="A73" s="26" t="s">
        <v>1396</v>
      </c>
      <c r="J73" s="71"/>
    </row>
    <row r="74" spans="1:10">
      <c r="B74" s="16" t="str">
        <f t="shared" ref="B74:B105" si="5">"0x"&amp;DEC2HEX(D74,4)</f>
        <v>0x2600</v>
      </c>
      <c r="C74" s="16" t="str">
        <f t="shared" ref="C74:C105" si="6">"0x"&amp;DEC2HEX(E74,4)</f>
        <v>0x2601</v>
      </c>
      <c r="D74" s="16">
        <v>9728</v>
      </c>
      <c r="E74" s="16">
        <f t="shared" ref="E74:E105" si="7">D74+I74-1</f>
        <v>9729</v>
      </c>
      <c r="F74" s="16" t="s">
        <v>1397</v>
      </c>
      <c r="G74" s="16" t="s">
        <v>541</v>
      </c>
      <c r="H74" s="16" t="s">
        <v>427</v>
      </c>
      <c r="I74" s="16">
        <v>2</v>
      </c>
      <c r="J74" s="1"/>
    </row>
    <row r="75" spans="1:10">
      <c r="B75" s="16" t="str">
        <f t="shared" si="5"/>
        <v>0x2602</v>
      </c>
      <c r="C75" s="16" t="str">
        <f t="shared" si="6"/>
        <v>0x2603</v>
      </c>
      <c r="D75" s="16">
        <f t="shared" ref="D75:D105" si="8">D74+I74</f>
        <v>9730</v>
      </c>
      <c r="E75" s="16">
        <f t="shared" si="7"/>
        <v>9731</v>
      </c>
      <c r="F75" s="16" t="s">
        <v>1398</v>
      </c>
      <c r="G75" s="16" t="s">
        <v>541</v>
      </c>
      <c r="H75" s="16" t="s">
        <v>427</v>
      </c>
      <c r="I75" s="16">
        <v>2</v>
      </c>
      <c r="J75" s="1"/>
    </row>
    <row r="76" spans="1:10">
      <c r="B76" s="16" t="str">
        <f t="shared" si="5"/>
        <v>0x2604</v>
      </c>
      <c r="C76" s="16" t="str">
        <f t="shared" si="6"/>
        <v>0x2605</v>
      </c>
      <c r="D76" s="16">
        <f t="shared" si="8"/>
        <v>9732</v>
      </c>
      <c r="E76" s="16">
        <f t="shared" si="7"/>
        <v>9733</v>
      </c>
      <c r="F76" s="16" t="s">
        <v>1400</v>
      </c>
      <c r="G76" s="16" t="s">
        <v>541</v>
      </c>
      <c r="H76" s="16" t="s">
        <v>427</v>
      </c>
      <c r="I76" s="16">
        <v>2</v>
      </c>
      <c r="J76" s="1"/>
    </row>
    <row r="77" spans="1:10">
      <c r="B77" s="16" t="str">
        <f t="shared" si="5"/>
        <v>0x2606</v>
      </c>
      <c r="C77" s="16" t="str">
        <f t="shared" si="6"/>
        <v>0x2607</v>
      </c>
      <c r="D77" s="16">
        <f t="shared" si="8"/>
        <v>9734</v>
      </c>
      <c r="E77" s="16">
        <f t="shared" si="7"/>
        <v>9735</v>
      </c>
      <c r="F77" s="16" t="s">
        <v>1401</v>
      </c>
      <c r="G77" s="16" t="s">
        <v>541</v>
      </c>
      <c r="H77" s="16" t="s">
        <v>427</v>
      </c>
      <c r="I77" s="16">
        <v>2</v>
      </c>
      <c r="J77" s="1"/>
    </row>
    <row r="78" spans="1:10">
      <c r="B78" s="16" t="str">
        <f t="shared" si="5"/>
        <v>0x2608</v>
      </c>
      <c r="C78" s="16" t="str">
        <f t="shared" si="6"/>
        <v>0x2609</v>
      </c>
      <c r="D78" s="16">
        <f t="shared" si="8"/>
        <v>9736</v>
      </c>
      <c r="E78" s="16">
        <f t="shared" si="7"/>
        <v>9737</v>
      </c>
      <c r="F78" s="16" t="s">
        <v>1402</v>
      </c>
      <c r="G78" s="16" t="s">
        <v>541</v>
      </c>
      <c r="H78" s="16" t="s">
        <v>427</v>
      </c>
      <c r="I78" s="16">
        <v>2</v>
      </c>
      <c r="J78" s="1"/>
    </row>
    <row r="79" spans="1:10">
      <c r="B79" s="16" t="str">
        <f t="shared" si="5"/>
        <v>0x260A</v>
      </c>
      <c r="C79" s="16" t="str">
        <f t="shared" si="6"/>
        <v>0x260B</v>
      </c>
      <c r="D79" s="16">
        <f t="shared" si="8"/>
        <v>9738</v>
      </c>
      <c r="E79" s="16">
        <f t="shared" si="7"/>
        <v>9739</v>
      </c>
      <c r="F79" s="16" t="s">
        <v>1403</v>
      </c>
      <c r="G79" s="16" t="s">
        <v>541</v>
      </c>
      <c r="H79" s="16" t="s">
        <v>427</v>
      </c>
      <c r="I79" s="16">
        <v>2</v>
      </c>
      <c r="J79" s="1"/>
    </row>
    <row r="80" spans="1:10">
      <c r="B80" s="16" t="str">
        <f t="shared" si="5"/>
        <v>0x260C</v>
      </c>
      <c r="C80" s="16" t="str">
        <f t="shared" si="6"/>
        <v>0x260D</v>
      </c>
      <c r="D80" s="16">
        <f t="shared" si="8"/>
        <v>9740</v>
      </c>
      <c r="E80" s="16">
        <f t="shared" si="7"/>
        <v>9741</v>
      </c>
      <c r="F80" s="16" t="s">
        <v>1404</v>
      </c>
      <c r="G80" s="16" t="s">
        <v>541</v>
      </c>
      <c r="H80" s="16" t="s">
        <v>427</v>
      </c>
      <c r="I80" s="16">
        <v>2</v>
      </c>
      <c r="J80" s="1"/>
    </row>
    <row r="81" spans="2:10">
      <c r="B81" s="16" t="str">
        <f t="shared" si="5"/>
        <v>0x260E</v>
      </c>
      <c r="C81" s="16" t="str">
        <f t="shared" si="6"/>
        <v>0x260F</v>
      </c>
      <c r="D81" s="16">
        <f t="shared" si="8"/>
        <v>9742</v>
      </c>
      <c r="E81" s="16">
        <f t="shared" si="7"/>
        <v>9743</v>
      </c>
      <c r="F81" s="16" t="s">
        <v>1405</v>
      </c>
      <c r="G81" s="16" t="s">
        <v>541</v>
      </c>
      <c r="H81" s="16" t="s">
        <v>427</v>
      </c>
      <c r="I81" s="16">
        <v>2</v>
      </c>
      <c r="J81" s="1"/>
    </row>
    <row r="82" spans="2:10">
      <c r="B82" s="16" t="str">
        <f t="shared" si="5"/>
        <v>0x2610</v>
      </c>
      <c r="C82" s="16" t="str">
        <f t="shared" si="6"/>
        <v>0x2611</v>
      </c>
      <c r="D82" s="16">
        <f t="shared" si="8"/>
        <v>9744</v>
      </c>
      <c r="E82" s="16">
        <f t="shared" si="7"/>
        <v>9745</v>
      </c>
      <c r="F82" s="16" t="s">
        <v>1406</v>
      </c>
      <c r="G82" s="16" t="s">
        <v>541</v>
      </c>
      <c r="H82" s="16" t="s">
        <v>427</v>
      </c>
      <c r="I82" s="16">
        <v>2</v>
      </c>
      <c r="J82" s="1"/>
    </row>
    <row r="83" spans="2:10">
      <c r="B83" s="16" t="str">
        <f t="shared" si="5"/>
        <v>0x2612</v>
      </c>
      <c r="C83" s="16" t="str">
        <f t="shared" si="6"/>
        <v>0x2613</v>
      </c>
      <c r="D83" s="16">
        <f t="shared" si="8"/>
        <v>9746</v>
      </c>
      <c r="E83" s="16">
        <f t="shared" si="7"/>
        <v>9747</v>
      </c>
      <c r="F83" s="16" t="s">
        <v>1407</v>
      </c>
      <c r="G83" s="16" t="s">
        <v>541</v>
      </c>
      <c r="H83" s="16" t="s">
        <v>427</v>
      </c>
      <c r="I83" s="16">
        <v>2</v>
      </c>
      <c r="J83" s="1"/>
    </row>
    <row r="84" spans="2:10">
      <c r="B84" s="16" t="str">
        <f t="shared" si="5"/>
        <v>0x2614</v>
      </c>
      <c r="C84" s="16" t="str">
        <f t="shared" si="6"/>
        <v>0x2615</v>
      </c>
      <c r="D84" s="16">
        <f t="shared" si="8"/>
        <v>9748</v>
      </c>
      <c r="E84" s="16">
        <f t="shared" si="7"/>
        <v>9749</v>
      </c>
      <c r="F84" s="16" t="s">
        <v>1408</v>
      </c>
      <c r="G84" s="16" t="s">
        <v>541</v>
      </c>
      <c r="H84" s="16" t="s">
        <v>427</v>
      </c>
      <c r="I84" s="16">
        <v>2</v>
      </c>
      <c r="J84" s="1"/>
    </row>
    <row r="85" spans="2:10">
      <c r="B85" s="16" t="str">
        <f t="shared" si="5"/>
        <v>0x2616</v>
      </c>
      <c r="C85" s="16" t="str">
        <f t="shared" si="6"/>
        <v>0x2617</v>
      </c>
      <c r="D85" s="16">
        <f t="shared" si="8"/>
        <v>9750</v>
      </c>
      <c r="E85" s="16">
        <f t="shared" si="7"/>
        <v>9751</v>
      </c>
      <c r="F85" s="16" t="s">
        <v>1409</v>
      </c>
      <c r="G85" s="16" t="s">
        <v>541</v>
      </c>
      <c r="H85" s="16" t="s">
        <v>427</v>
      </c>
      <c r="I85" s="16">
        <v>2</v>
      </c>
      <c r="J85" s="1"/>
    </row>
    <row r="86" spans="2:10">
      <c r="B86" s="16" t="str">
        <f t="shared" si="5"/>
        <v>0x2618</v>
      </c>
      <c r="C86" s="16" t="str">
        <f t="shared" si="6"/>
        <v>0x2619</v>
      </c>
      <c r="D86" s="16">
        <f t="shared" si="8"/>
        <v>9752</v>
      </c>
      <c r="E86" s="16">
        <f t="shared" si="7"/>
        <v>9753</v>
      </c>
      <c r="F86" s="16" t="s">
        <v>1410</v>
      </c>
      <c r="G86" s="16" t="s">
        <v>541</v>
      </c>
      <c r="H86" s="16" t="s">
        <v>427</v>
      </c>
      <c r="I86" s="16">
        <v>2</v>
      </c>
      <c r="J86" s="1"/>
    </row>
    <row r="87" spans="2:10">
      <c r="B87" s="16" t="str">
        <f t="shared" si="5"/>
        <v>0x261A</v>
      </c>
      <c r="C87" s="16" t="str">
        <f t="shared" si="6"/>
        <v>0x261B</v>
      </c>
      <c r="D87" s="16">
        <f t="shared" si="8"/>
        <v>9754</v>
      </c>
      <c r="E87" s="16">
        <f t="shared" si="7"/>
        <v>9755</v>
      </c>
      <c r="F87" s="16" t="s">
        <v>1411</v>
      </c>
      <c r="G87" s="16" t="s">
        <v>541</v>
      </c>
      <c r="H87" s="16" t="s">
        <v>427</v>
      </c>
      <c r="I87" s="16">
        <v>2</v>
      </c>
      <c r="J87" s="1"/>
    </row>
    <row r="88" spans="2:10">
      <c r="B88" s="16" t="str">
        <f t="shared" si="5"/>
        <v>0x261C</v>
      </c>
      <c r="C88" s="16" t="str">
        <f t="shared" si="6"/>
        <v>0x261D</v>
      </c>
      <c r="D88" s="16">
        <f t="shared" si="8"/>
        <v>9756</v>
      </c>
      <c r="E88" s="16">
        <f t="shared" si="7"/>
        <v>9757</v>
      </c>
      <c r="F88" s="16" t="s">
        <v>1412</v>
      </c>
      <c r="G88" s="16" t="s">
        <v>541</v>
      </c>
      <c r="H88" s="16" t="s">
        <v>427</v>
      </c>
      <c r="I88" s="16">
        <v>2</v>
      </c>
      <c r="J88" s="1"/>
    </row>
    <row r="89" spans="2:10">
      <c r="B89" s="16" t="str">
        <f t="shared" si="5"/>
        <v>0x261E</v>
      </c>
      <c r="C89" s="16" t="str">
        <f t="shared" si="6"/>
        <v>0x261F</v>
      </c>
      <c r="D89" s="16">
        <f t="shared" si="8"/>
        <v>9758</v>
      </c>
      <c r="E89" s="16">
        <f t="shared" si="7"/>
        <v>9759</v>
      </c>
      <c r="F89" s="16" t="s">
        <v>1413</v>
      </c>
      <c r="G89" s="16" t="s">
        <v>541</v>
      </c>
      <c r="H89" s="16" t="s">
        <v>427</v>
      </c>
      <c r="I89" s="16">
        <v>2</v>
      </c>
    </row>
    <row r="90" spans="2:10">
      <c r="B90" s="16" t="str">
        <f t="shared" si="5"/>
        <v>0x2620</v>
      </c>
      <c r="C90" s="16" t="str">
        <f t="shared" si="6"/>
        <v>0x2621</v>
      </c>
      <c r="D90" s="16">
        <f t="shared" si="8"/>
        <v>9760</v>
      </c>
      <c r="E90" s="16">
        <f t="shared" si="7"/>
        <v>9761</v>
      </c>
      <c r="F90" s="16" t="s">
        <v>1414</v>
      </c>
      <c r="G90" s="16" t="s">
        <v>541</v>
      </c>
      <c r="H90" s="16" t="s">
        <v>427</v>
      </c>
      <c r="I90" s="16">
        <v>2</v>
      </c>
    </row>
    <row r="91" spans="2:10">
      <c r="B91" s="16" t="str">
        <f t="shared" si="5"/>
        <v>0x2622</v>
      </c>
      <c r="C91" s="16" t="str">
        <f t="shared" si="6"/>
        <v>0x2623</v>
      </c>
      <c r="D91" s="16">
        <f t="shared" si="8"/>
        <v>9762</v>
      </c>
      <c r="E91" s="16">
        <f t="shared" si="7"/>
        <v>9763</v>
      </c>
      <c r="F91" s="16" t="s">
        <v>1415</v>
      </c>
      <c r="G91" s="16" t="s">
        <v>541</v>
      </c>
      <c r="H91" s="16" t="s">
        <v>427</v>
      </c>
      <c r="I91" s="16">
        <v>2</v>
      </c>
    </row>
    <row r="92" spans="2:10">
      <c r="B92" s="16" t="str">
        <f t="shared" si="5"/>
        <v>0x2624</v>
      </c>
      <c r="C92" s="16" t="str">
        <f t="shared" si="6"/>
        <v>0x2625</v>
      </c>
      <c r="D92" s="16">
        <f t="shared" si="8"/>
        <v>9764</v>
      </c>
      <c r="E92" s="16">
        <f t="shared" si="7"/>
        <v>9765</v>
      </c>
      <c r="F92" s="16" t="s">
        <v>1416</v>
      </c>
      <c r="G92" s="16" t="s">
        <v>541</v>
      </c>
      <c r="H92" s="16" t="s">
        <v>427</v>
      </c>
      <c r="I92" s="16">
        <v>2</v>
      </c>
    </row>
    <row r="93" spans="2:10">
      <c r="B93" s="16" t="str">
        <f t="shared" si="5"/>
        <v>0x2626</v>
      </c>
      <c r="C93" s="16" t="str">
        <f t="shared" si="6"/>
        <v>0x2627</v>
      </c>
      <c r="D93" s="16">
        <f t="shared" si="8"/>
        <v>9766</v>
      </c>
      <c r="E93" s="16">
        <f t="shared" si="7"/>
        <v>9767</v>
      </c>
      <c r="F93" s="16" t="s">
        <v>1417</v>
      </c>
      <c r="G93" s="16" t="s">
        <v>541</v>
      </c>
      <c r="H93" s="16" t="s">
        <v>427</v>
      </c>
      <c r="I93" s="16">
        <v>2</v>
      </c>
    </row>
    <row r="94" spans="2:10">
      <c r="B94" s="16" t="str">
        <f t="shared" si="5"/>
        <v>0x2628</v>
      </c>
      <c r="C94" s="16" t="str">
        <f t="shared" si="6"/>
        <v>0x2629</v>
      </c>
      <c r="D94" s="16">
        <f t="shared" si="8"/>
        <v>9768</v>
      </c>
      <c r="E94" s="16">
        <f t="shared" si="7"/>
        <v>9769</v>
      </c>
      <c r="F94" s="16" t="s">
        <v>1418</v>
      </c>
      <c r="G94" s="16" t="s">
        <v>541</v>
      </c>
      <c r="H94" s="16" t="s">
        <v>427</v>
      </c>
      <c r="I94" s="16">
        <v>2</v>
      </c>
    </row>
    <row r="95" spans="2:10">
      <c r="B95" s="16" t="str">
        <f t="shared" si="5"/>
        <v>0x262A</v>
      </c>
      <c r="C95" s="16" t="str">
        <f t="shared" si="6"/>
        <v>0x262B</v>
      </c>
      <c r="D95" s="16">
        <f t="shared" si="8"/>
        <v>9770</v>
      </c>
      <c r="E95" s="16">
        <f t="shared" si="7"/>
        <v>9771</v>
      </c>
      <c r="F95" s="16" t="s">
        <v>1419</v>
      </c>
      <c r="G95" s="16" t="s">
        <v>541</v>
      </c>
      <c r="H95" s="16" t="s">
        <v>427</v>
      </c>
      <c r="I95" s="16">
        <v>2</v>
      </c>
    </row>
    <row r="96" spans="2:10">
      <c r="B96" s="16" t="str">
        <f t="shared" si="5"/>
        <v>0x262C</v>
      </c>
      <c r="C96" s="16" t="str">
        <f t="shared" si="6"/>
        <v>0x262D</v>
      </c>
      <c r="D96" s="16">
        <f t="shared" si="8"/>
        <v>9772</v>
      </c>
      <c r="E96" s="16">
        <f t="shared" si="7"/>
        <v>9773</v>
      </c>
      <c r="F96" s="16" t="s">
        <v>1420</v>
      </c>
      <c r="G96" s="16" t="s">
        <v>541</v>
      </c>
      <c r="H96" s="16" t="s">
        <v>427</v>
      </c>
      <c r="I96" s="16">
        <v>2</v>
      </c>
    </row>
    <row r="97" spans="1:12">
      <c r="B97" s="16" t="str">
        <f t="shared" si="5"/>
        <v>0x262E</v>
      </c>
      <c r="C97" s="16" t="str">
        <f t="shared" si="6"/>
        <v>0x262F</v>
      </c>
      <c r="D97" s="16">
        <f t="shared" si="8"/>
        <v>9774</v>
      </c>
      <c r="E97" s="16">
        <f t="shared" si="7"/>
        <v>9775</v>
      </c>
      <c r="F97" s="16" t="s">
        <v>1421</v>
      </c>
      <c r="G97" s="16" t="s">
        <v>541</v>
      </c>
      <c r="H97" s="16" t="s">
        <v>427</v>
      </c>
      <c r="I97" s="16">
        <v>2</v>
      </c>
    </row>
    <row r="98" spans="1:12">
      <c r="B98" s="16" t="str">
        <f t="shared" si="5"/>
        <v>0x2630</v>
      </c>
      <c r="C98" s="16" t="str">
        <f t="shared" si="6"/>
        <v>0x2631</v>
      </c>
      <c r="D98" s="16">
        <f t="shared" si="8"/>
        <v>9776</v>
      </c>
      <c r="E98" s="16">
        <f t="shared" si="7"/>
        <v>9777</v>
      </c>
      <c r="F98" s="16" t="s">
        <v>1422</v>
      </c>
      <c r="G98" s="16" t="s">
        <v>541</v>
      </c>
      <c r="H98" s="16" t="s">
        <v>427</v>
      </c>
      <c r="I98" s="16">
        <v>2</v>
      </c>
    </row>
    <row r="99" spans="1:12">
      <c r="B99" s="16" t="str">
        <f t="shared" si="5"/>
        <v>0x2632</v>
      </c>
      <c r="C99" s="16" t="str">
        <f t="shared" si="6"/>
        <v>0x2633</v>
      </c>
      <c r="D99" s="16">
        <f t="shared" si="8"/>
        <v>9778</v>
      </c>
      <c r="E99" s="16">
        <f t="shared" si="7"/>
        <v>9779</v>
      </c>
      <c r="F99" s="16" t="s">
        <v>1423</v>
      </c>
      <c r="G99" s="16" t="s">
        <v>541</v>
      </c>
      <c r="H99" s="16" t="s">
        <v>427</v>
      </c>
      <c r="I99" s="16">
        <v>2</v>
      </c>
    </row>
    <row r="100" spans="1:12">
      <c r="B100" s="16" t="str">
        <f t="shared" si="5"/>
        <v>0x2634</v>
      </c>
      <c r="C100" s="16" t="str">
        <f t="shared" si="6"/>
        <v>0x2635</v>
      </c>
      <c r="D100" s="16">
        <f t="shared" si="8"/>
        <v>9780</v>
      </c>
      <c r="E100" s="16">
        <f t="shared" si="7"/>
        <v>9781</v>
      </c>
      <c r="F100" s="16" t="s">
        <v>1424</v>
      </c>
      <c r="G100" s="16" t="s">
        <v>541</v>
      </c>
      <c r="H100" s="16" t="s">
        <v>427</v>
      </c>
      <c r="I100" s="16">
        <v>2</v>
      </c>
    </row>
    <row r="101" spans="1:12">
      <c r="B101" s="16" t="str">
        <f t="shared" si="5"/>
        <v>0x2636</v>
      </c>
      <c r="C101" s="16" t="str">
        <f t="shared" si="6"/>
        <v>0x2637</v>
      </c>
      <c r="D101" s="16">
        <f t="shared" si="8"/>
        <v>9782</v>
      </c>
      <c r="E101" s="16">
        <f t="shared" si="7"/>
        <v>9783</v>
      </c>
      <c r="F101" s="16" t="s">
        <v>1425</v>
      </c>
      <c r="G101" s="16" t="s">
        <v>541</v>
      </c>
      <c r="H101" s="16" t="s">
        <v>427</v>
      </c>
      <c r="I101" s="16">
        <v>2</v>
      </c>
    </row>
    <row r="102" spans="1:12">
      <c r="B102" s="16" t="str">
        <f t="shared" si="5"/>
        <v>0x2638</v>
      </c>
      <c r="C102" s="16" t="str">
        <f t="shared" si="6"/>
        <v>0x2639</v>
      </c>
      <c r="D102" s="16">
        <f t="shared" si="8"/>
        <v>9784</v>
      </c>
      <c r="E102" s="16">
        <f t="shared" si="7"/>
        <v>9785</v>
      </c>
      <c r="F102" s="16" t="s">
        <v>1426</v>
      </c>
      <c r="G102" s="16" t="s">
        <v>541</v>
      </c>
      <c r="H102" s="16" t="s">
        <v>427</v>
      </c>
      <c r="I102" s="16">
        <v>2</v>
      </c>
    </row>
    <row r="103" spans="1:12">
      <c r="B103" s="16" t="str">
        <f t="shared" si="5"/>
        <v>0x263A</v>
      </c>
      <c r="C103" s="16" t="str">
        <f t="shared" si="6"/>
        <v>0x263B</v>
      </c>
      <c r="D103" s="16">
        <f t="shared" si="8"/>
        <v>9786</v>
      </c>
      <c r="E103" s="16">
        <f t="shared" si="7"/>
        <v>9787</v>
      </c>
      <c r="F103" s="16" t="s">
        <v>1427</v>
      </c>
      <c r="G103" s="16" t="s">
        <v>541</v>
      </c>
      <c r="H103" s="16" t="s">
        <v>427</v>
      </c>
      <c r="I103" s="16">
        <v>2</v>
      </c>
    </row>
    <row r="104" spans="1:12">
      <c r="B104" s="16" t="str">
        <f t="shared" si="5"/>
        <v>0x263C</v>
      </c>
      <c r="C104" s="16" t="str">
        <f t="shared" si="6"/>
        <v>0x263D</v>
      </c>
      <c r="D104" s="16">
        <f t="shared" si="8"/>
        <v>9788</v>
      </c>
      <c r="E104" s="16">
        <f t="shared" si="7"/>
        <v>9789</v>
      </c>
      <c r="F104" s="16" t="s">
        <v>1428</v>
      </c>
      <c r="G104" s="16" t="s">
        <v>541</v>
      </c>
      <c r="H104" s="16" t="s">
        <v>427</v>
      </c>
      <c r="I104" s="16">
        <v>2</v>
      </c>
    </row>
    <row r="105" spans="1:12">
      <c r="B105" s="16" t="str">
        <f t="shared" si="5"/>
        <v>0x263E</v>
      </c>
      <c r="C105" s="16" t="str">
        <f t="shared" si="6"/>
        <v>0x263F</v>
      </c>
      <c r="D105" s="16">
        <f t="shared" si="8"/>
        <v>9790</v>
      </c>
      <c r="E105" s="16">
        <f t="shared" si="7"/>
        <v>9791</v>
      </c>
      <c r="F105" s="16" t="s">
        <v>1429</v>
      </c>
      <c r="G105" s="16" t="s">
        <v>541</v>
      </c>
      <c r="H105" s="16" t="s">
        <v>427</v>
      </c>
      <c r="I105" s="16">
        <v>2</v>
      </c>
    </row>
    <row r="107" spans="1:12">
      <c r="A107" s="26" t="s">
        <v>1466</v>
      </c>
      <c r="C107" s="26"/>
      <c r="D107" s="26"/>
      <c r="E107" s="26"/>
      <c r="F107" s="26"/>
      <c r="G107" s="26"/>
      <c r="H107" s="26"/>
      <c r="I107" s="26"/>
      <c r="J107" s="26"/>
      <c r="K107" s="26"/>
      <c r="L107" s="26"/>
    </row>
    <row r="108" spans="1:12">
      <c r="B108" s="16" t="str">
        <f t="shared" ref="B108:B113" si="9">"0x"&amp;DEC2HEX(D108,4)</f>
        <v>0x5220</v>
      </c>
      <c r="D108" s="16">
        <v>21024</v>
      </c>
      <c r="F108" s="16" t="s">
        <v>1467</v>
      </c>
      <c r="G108" s="16" t="s">
        <v>484</v>
      </c>
      <c r="H108" s="16" t="s">
        <v>1163</v>
      </c>
      <c r="I108" s="16">
        <v>1</v>
      </c>
    </row>
    <row r="109" spans="1:12">
      <c r="B109" s="16" t="str">
        <f t="shared" si="9"/>
        <v>0x5221</v>
      </c>
      <c r="C109" s="16" t="str">
        <f>"0x"&amp;DEC2HEX(E109,4)</f>
        <v>0x523E</v>
      </c>
      <c r="D109" s="16">
        <f>D108+I108</f>
        <v>21025</v>
      </c>
      <c r="E109" s="16">
        <f>D109+I109-1</f>
        <v>21054</v>
      </c>
      <c r="F109" s="1" t="s">
        <v>1468</v>
      </c>
      <c r="G109" s="16" t="s">
        <v>484</v>
      </c>
      <c r="H109" s="16" t="s">
        <v>427</v>
      </c>
      <c r="I109" s="16">
        <v>30</v>
      </c>
    </row>
    <row r="110" spans="1:12">
      <c r="B110" s="16" t="str">
        <f t="shared" si="9"/>
        <v>0x523F</v>
      </c>
      <c r="D110" s="16">
        <f>D109+I109</f>
        <v>21055</v>
      </c>
      <c r="F110" s="16" t="s">
        <v>1469</v>
      </c>
      <c r="G110" s="16" t="s">
        <v>484</v>
      </c>
      <c r="H110" s="16" t="s">
        <v>427</v>
      </c>
      <c r="I110" s="16">
        <v>1</v>
      </c>
    </row>
    <row r="111" spans="1:12">
      <c r="B111" s="16" t="str">
        <f t="shared" si="9"/>
        <v>0x5240</v>
      </c>
      <c r="D111" s="16">
        <f>D110+I110</f>
        <v>21056</v>
      </c>
      <c r="F111" s="16" t="s">
        <v>1470</v>
      </c>
      <c r="G111" s="16" t="s">
        <v>484</v>
      </c>
      <c r="H111" s="16" t="s">
        <v>427</v>
      </c>
      <c r="I111" s="16">
        <v>1</v>
      </c>
    </row>
    <row r="112" spans="1:12">
      <c r="B112" s="16" t="str">
        <f t="shared" si="9"/>
        <v>0x5241</v>
      </c>
      <c r="D112" s="16">
        <f>D111+I111</f>
        <v>21057</v>
      </c>
      <c r="F112" s="16" t="s">
        <v>1471</v>
      </c>
      <c r="G112" s="16" t="s">
        <v>484</v>
      </c>
      <c r="H112" s="16" t="s">
        <v>427</v>
      </c>
      <c r="I112" s="16">
        <v>1</v>
      </c>
    </row>
    <row r="113" spans="1:10">
      <c r="B113" s="16" t="str">
        <f t="shared" si="9"/>
        <v>0x5242</v>
      </c>
      <c r="C113" s="16" t="str">
        <f>"0x"&amp;DEC2HEX(E113,4)</f>
        <v>0x5261</v>
      </c>
      <c r="D113" s="16">
        <f>D112+I112</f>
        <v>21058</v>
      </c>
      <c r="E113" s="16">
        <f>D113+I113-1</f>
        <v>21089</v>
      </c>
      <c r="F113" s="1" t="s">
        <v>1472</v>
      </c>
      <c r="G113" s="16" t="s">
        <v>484</v>
      </c>
      <c r="H113" s="16" t="s">
        <v>427</v>
      </c>
      <c r="I113" s="16">
        <v>32</v>
      </c>
    </row>
    <row r="115" spans="1:10">
      <c r="A115" s="26" t="s">
        <v>1473</v>
      </c>
    </row>
    <row r="116" spans="1:10" ht="34.5" customHeight="1">
      <c r="B116" s="16" t="str">
        <f>"0x"&amp;DEC2HEX(D116,4)</f>
        <v>0x5262</v>
      </c>
      <c r="C116" s="16" t="str">
        <f>"0x"&amp;DEC2HEX(E116,4)</f>
        <v>0x529F</v>
      </c>
      <c r="D116" s="16">
        <f>E113+1</f>
        <v>21090</v>
      </c>
      <c r="E116" s="16">
        <f>D116+I116-1</f>
        <v>21151</v>
      </c>
      <c r="F116" s="16" t="s">
        <v>1474</v>
      </c>
      <c r="G116" s="16" t="s">
        <v>484</v>
      </c>
      <c r="H116" s="16" t="s">
        <v>427</v>
      </c>
      <c r="I116" s="16">
        <v>62</v>
      </c>
      <c r="J116" s="1" t="s">
        <v>1294</v>
      </c>
    </row>
    <row r="117" spans="1:10" ht="33" customHeight="1">
      <c r="B117" s="16" t="str">
        <f>"0x"&amp;DEC2HEX(D117,4)</f>
        <v>0x52A0</v>
      </c>
      <c r="C117" s="16" t="str">
        <f>"0x"&amp;DEC2HEX(E117,4)</f>
        <v>0x52DD</v>
      </c>
      <c r="D117" s="16">
        <f>E116+1</f>
        <v>21152</v>
      </c>
      <c r="E117" s="16">
        <f>D117+I117-1</f>
        <v>21213</v>
      </c>
      <c r="F117" s="16" t="s">
        <v>1475</v>
      </c>
      <c r="G117" s="16" t="s">
        <v>484</v>
      </c>
      <c r="H117" s="16" t="s">
        <v>427</v>
      </c>
      <c r="I117" s="16">
        <v>62</v>
      </c>
      <c r="J117" s="1" t="s">
        <v>1298</v>
      </c>
    </row>
  </sheetData>
  <phoneticPr fontId="4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38"/>
  <sheetViews>
    <sheetView workbookViewId="0">
      <pane ySplit="1" topLeftCell="A15" activePane="bottomLeft" state="frozen"/>
      <selection activeCell="F1" sqref="F1"/>
      <selection pane="bottomLeft" activeCell="D21" sqref="D21"/>
    </sheetView>
  </sheetViews>
  <sheetFormatPr defaultColWidth="8.7109375" defaultRowHeight="12.75"/>
  <cols>
    <col min="1" max="1" width="25.28515625" style="43" customWidth="1"/>
    <col min="2" max="2" width="10.140625" style="7" customWidth="1"/>
    <col min="3" max="3" width="11.5703125" style="7" customWidth="1"/>
    <col min="4" max="4" width="11.42578125" style="7" customWidth="1"/>
    <col min="5" max="5" width="11.140625" style="7" customWidth="1"/>
    <col min="6" max="6" width="29.85546875" style="7" customWidth="1"/>
    <col min="7" max="7" width="17.7109375" style="7" customWidth="1"/>
    <col min="8" max="9" width="8.7109375" style="7"/>
    <col min="10" max="10" width="27.140625" style="7" customWidth="1"/>
    <col min="11" max="16384" width="8.7109375" style="7"/>
  </cols>
  <sheetData>
    <row r="1" spans="1:12" s="50" customFormat="1" ht="25.5">
      <c r="A1" s="51" t="s">
        <v>27</v>
      </c>
      <c r="B1" s="51" t="s">
        <v>414</v>
      </c>
      <c r="C1" s="51" t="s">
        <v>415</v>
      </c>
      <c r="D1" s="51" t="s">
        <v>416</v>
      </c>
      <c r="E1" s="51" t="s">
        <v>417</v>
      </c>
      <c r="F1" s="51" t="s">
        <v>418</v>
      </c>
      <c r="G1" s="51" t="s">
        <v>419</v>
      </c>
      <c r="H1" s="51" t="s">
        <v>421</v>
      </c>
      <c r="I1" s="51" t="s">
        <v>420</v>
      </c>
      <c r="J1" s="51" t="s">
        <v>422</v>
      </c>
      <c r="K1" s="51" t="s">
        <v>480</v>
      </c>
      <c r="L1" s="51" t="s">
        <v>481</v>
      </c>
    </row>
    <row r="2" spans="1:12" ht="25.5">
      <c r="A2" s="43" t="s">
        <v>1476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</row>
    <row r="3" spans="1:12" ht="41.25" customHeight="1">
      <c r="B3" s="7" t="str">
        <f t="shared" ref="B3:B10" si="0">"0x"&amp;DEC2HEX(D3,4)</f>
        <v>0x1680</v>
      </c>
      <c r="C3" s="7" t="str">
        <f t="shared" ref="C3:C10" si="1">"0x"&amp;DEC2HEX(E3,4)</f>
        <v>0x1680</v>
      </c>
      <c r="D3" s="7">
        <v>5760</v>
      </c>
      <c r="E3" s="7">
        <f t="shared" ref="E3:E10" si="2">D3+I3-1</f>
        <v>5760</v>
      </c>
      <c r="F3" s="15" t="s">
        <v>1477</v>
      </c>
      <c r="G3" s="7" t="s">
        <v>474</v>
      </c>
      <c r="H3" s="7" t="s">
        <v>471</v>
      </c>
      <c r="I3" s="7">
        <v>1</v>
      </c>
      <c r="J3" s="15" t="s">
        <v>1478</v>
      </c>
      <c r="K3" s="7">
        <v>0</v>
      </c>
      <c r="L3" s="7">
        <v>0</v>
      </c>
    </row>
    <row r="4" spans="1:12" ht="39" customHeight="1">
      <c r="B4" s="7" t="str">
        <f t="shared" si="0"/>
        <v>0x1681</v>
      </c>
      <c r="C4" s="7" t="str">
        <f t="shared" si="1"/>
        <v>0x1681</v>
      </c>
      <c r="D4" s="7">
        <f t="shared" ref="D4:D10" si="3">D3+I3</f>
        <v>5761</v>
      </c>
      <c r="E4" s="7">
        <f t="shared" si="2"/>
        <v>5761</v>
      </c>
      <c r="F4" s="15" t="s">
        <v>1479</v>
      </c>
      <c r="G4" s="7" t="s">
        <v>474</v>
      </c>
      <c r="H4" s="7" t="s">
        <v>471</v>
      </c>
      <c r="I4" s="7">
        <v>1</v>
      </c>
      <c r="J4" s="124" t="s">
        <v>1480</v>
      </c>
      <c r="K4" s="7">
        <v>0</v>
      </c>
      <c r="L4" s="7">
        <v>0</v>
      </c>
    </row>
    <row r="5" spans="1:12" ht="43.5" customHeight="1">
      <c r="B5" s="7" t="str">
        <f t="shared" si="0"/>
        <v>0x1682</v>
      </c>
      <c r="C5" s="7" t="str">
        <f t="shared" si="1"/>
        <v>0x1682</v>
      </c>
      <c r="D5" s="7">
        <f t="shared" si="3"/>
        <v>5762</v>
      </c>
      <c r="E5" s="7">
        <f t="shared" si="2"/>
        <v>5762</v>
      </c>
      <c r="F5" s="15" t="s">
        <v>1481</v>
      </c>
      <c r="G5" s="7" t="s">
        <v>474</v>
      </c>
      <c r="H5" s="7" t="s">
        <v>471</v>
      </c>
      <c r="I5" s="7">
        <v>1</v>
      </c>
      <c r="J5" s="124"/>
      <c r="K5" s="7">
        <v>0</v>
      </c>
      <c r="L5" s="7">
        <v>0</v>
      </c>
    </row>
    <row r="6" spans="1:12" ht="93.95" customHeight="1">
      <c r="B6" s="7" t="str">
        <f t="shared" si="0"/>
        <v>0x1683</v>
      </c>
      <c r="C6" s="7" t="str">
        <f t="shared" si="1"/>
        <v>0x1683</v>
      </c>
      <c r="D6" s="7">
        <f t="shared" si="3"/>
        <v>5763</v>
      </c>
      <c r="E6" s="7">
        <f t="shared" si="2"/>
        <v>5763</v>
      </c>
      <c r="F6" s="15" t="s">
        <v>1482</v>
      </c>
      <c r="G6" s="7" t="s">
        <v>474</v>
      </c>
      <c r="H6" s="7" t="s">
        <v>471</v>
      </c>
      <c r="I6" s="7">
        <v>1</v>
      </c>
      <c r="J6" s="124"/>
      <c r="K6" s="7">
        <v>0</v>
      </c>
      <c r="L6" s="7">
        <v>0</v>
      </c>
    </row>
    <row r="7" spans="1:12" ht="38.25">
      <c r="B7" s="7" t="str">
        <f t="shared" si="0"/>
        <v>0x1684</v>
      </c>
      <c r="C7" s="7" t="str">
        <f t="shared" si="1"/>
        <v>0x1684</v>
      </c>
      <c r="D7" s="7">
        <f t="shared" si="3"/>
        <v>5764</v>
      </c>
      <c r="E7" s="7">
        <f t="shared" si="2"/>
        <v>5764</v>
      </c>
      <c r="F7" s="15" t="s">
        <v>1483</v>
      </c>
      <c r="G7" s="7" t="s">
        <v>474</v>
      </c>
      <c r="H7" s="7" t="s">
        <v>471</v>
      </c>
      <c r="I7" s="7">
        <v>1</v>
      </c>
      <c r="J7" s="15" t="s">
        <v>1484</v>
      </c>
      <c r="K7" s="7">
        <v>0</v>
      </c>
      <c r="L7" s="7">
        <v>0</v>
      </c>
    </row>
    <row r="8" spans="1:12" ht="102">
      <c r="B8" s="7" t="str">
        <f t="shared" si="0"/>
        <v>0x1685</v>
      </c>
      <c r="C8" s="7" t="str">
        <f t="shared" si="1"/>
        <v>0x1685</v>
      </c>
      <c r="D8" s="7">
        <f t="shared" si="3"/>
        <v>5765</v>
      </c>
      <c r="E8" s="7">
        <f t="shared" si="2"/>
        <v>5765</v>
      </c>
      <c r="F8" s="15" t="s">
        <v>1485</v>
      </c>
      <c r="G8" s="7" t="s">
        <v>474</v>
      </c>
      <c r="H8" s="7" t="s">
        <v>471</v>
      </c>
      <c r="I8" s="7">
        <v>1</v>
      </c>
      <c r="J8" s="15" t="s">
        <v>1486</v>
      </c>
      <c r="K8" s="7">
        <v>0</v>
      </c>
      <c r="L8" s="7">
        <v>0</v>
      </c>
    </row>
    <row r="9" spans="1:12">
      <c r="B9" s="7" t="str">
        <f t="shared" si="0"/>
        <v>0x1686</v>
      </c>
      <c r="C9" s="7" t="str">
        <f t="shared" si="1"/>
        <v>0x1686</v>
      </c>
      <c r="D9" s="7">
        <f t="shared" si="3"/>
        <v>5766</v>
      </c>
      <c r="E9" s="7">
        <f t="shared" si="2"/>
        <v>5766</v>
      </c>
      <c r="F9" s="15" t="s">
        <v>1487</v>
      </c>
      <c r="G9" s="7" t="s">
        <v>474</v>
      </c>
      <c r="H9" s="7" t="s">
        <v>471</v>
      </c>
      <c r="I9" s="7">
        <v>1</v>
      </c>
      <c r="J9" s="15" t="s">
        <v>1488</v>
      </c>
      <c r="K9" s="7">
        <v>0</v>
      </c>
      <c r="L9" s="7">
        <v>0</v>
      </c>
    </row>
    <row r="10" spans="1:12" ht="25.5">
      <c r="B10" s="7" t="str">
        <f t="shared" si="0"/>
        <v>0x1687</v>
      </c>
      <c r="C10" s="7" t="str">
        <f t="shared" si="1"/>
        <v>0x1687</v>
      </c>
      <c r="D10" s="7">
        <f t="shared" si="3"/>
        <v>5767</v>
      </c>
      <c r="E10" s="7">
        <f t="shared" si="2"/>
        <v>5767</v>
      </c>
      <c r="F10" s="15" t="s">
        <v>1489</v>
      </c>
      <c r="G10" s="7" t="s">
        <v>474</v>
      </c>
      <c r="H10" s="7" t="s">
        <v>471</v>
      </c>
      <c r="I10" s="7">
        <v>1</v>
      </c>
      <c r="J10" s="15" t="s">
        <v>1488</v>
      </c>
      <c r="K10" s="7">
        <v>0</v>
      </c>
      <c r="L10" s="7">
        <v>0</v>
      </c>
    </row>
    <row r="11" spans="1:12">
      <c r="F11" s="15"/>
      <c r="J11" s="15"/>
    </row>
    <row r="12" spans="1:12" ht="25.5">
      <c r="A12" s="43" t="s">
        <v>1490</v>
      </c>
      <c r="B12" s="123"/>
      <c r="C12" s="123"/>
      <c r="D12" s="123"/>
      <c r="E12" s="123"/>
      <c r="F12" s="123"/>
      <c r="G12" s="123"/>
      <c r="H12" s="123"/>
      <c r="I12" s="123"/>
      <c r="J12" s="123"/>
      <c r="K12" s="123"/>
      <c r="L12" s="123"/>
    </row>
    <row r="13" spans="1:12">
      <c r="B13" s="1" t="s">
        <v>1491</v>
      </c>
      <c r="C13" s="1" t="s">
        <v>1492</v>
      </c>
      <c r="D13" s="1">
        <v>18736</v>
      </c>
      <c r="E13" s="1">
        <v>18737</v>
      </c>
      <c r="F13" s="7" t="s">
        <v>1493</v>
      </c>
      <c r="G13" s="1" t="s">
        <v>1151</v>
      </c>
      <c r="H13" s="1" t="s">
        <v>427</v>
      </c>
      <c r="I13" s="1">
        <v>2</v>
      </c>
      <c r="J13" s="1"/>
      <c r="K13" s="1"/>
      <c r="L13" s="1"/>
    </row>
    <row r="14" spans="1:12">
      <c r="B14" s="1" t="s">
        <v>1494</v>
      </c>
      <c r="C14" s="1" t="s">
        <v>1495</v>
      </c>
      <c r="D14" s="1">
        <v>18738</v>
      </c>
      <c r="E14" s="1">
        <v>18739</v>
      </c>
      <c r="F14" s="7" t="s">
        <v>1496</v>
      </c>
      <c r="G14" s="1" t="s">
        <v>1151</v>
      </c>
      <c r="H14" s="1" t="s">
        <v>427</v>
      </c>
      <c r="I14" s="1">
        <v>2</v>
      </c>
      <c r="J14" s="1"/>
      <c r="K14" s="1"/>
      <c r="L14" s="1"/>
    </row>
    <row r="15" spans="1:12">
      <c r="B15" s="1" t="s">
        <v>1497</v>
      </c>
      <c r="C15" s="1" t="s">
        <v>1498</v>
      </c>
      <c r="D15" s="1">
        <v>18740</v>
      </c>
      <c r="E15" s="1">
        <v>18741</v>
      </c>
      <c r="F15" s="7" t="s">
        <v>1499</v>
      </c>
      <c r="G15" s="1" t="s">
        <v>1151</v>
      </c>
      <c r="H15" s="1" t="s">
        <v>427</v>
      </c>
      <c r="I15" s="1">
        <v>2</v>
      </c>
      <c r="J15" s="1"/>
      <c r="K15" s="1"/>
      <c r="L15" s="1"/>
    </row>
    <row r="16" spans="1:12">
      <c r="B16" s="1" t="s">
        <v>1500</v>
      </c>
      <c r="C16" s="1" t="s">
        <v>1501</v>
      </c>
      <c r="D16" s="1">
        <v>18742</v>
      </c>
      <c r="E16" s="1">
        <v>18743</v>
      </c>
      <c r="F16" s="7" t="s">
        <v>1502</v>
      </c>
      <c r="G16" s="1" t="s">
        <v>1151</v>
      </c>
      <c r="H16" s="1" t="s">
        <v>427</v>
      </c>
      <c r="I16" s="1">
        <v>2</v>
      </c>
      <c r="J16" s="1"/>
      <c r="K16" s="1"/>
      <c r="L16" s="1"/>
    </row>
    <row r="17" spans="1:12">
      <c r="B17" s="1" t="s">
        <v>1503</v>
      </c>
      <c r="C17" s="1" t="s">
        <v>1504</v>
      </c>
      <c r="D17" s="1">
        <v>18744</v>
      </c>
      <c r="E17" s="1">
        <v>18745</v>
      </c>
      <c r="F17" s="7" t="s">
        <v>1505</v>
      </c>
      <c r="G17" s="1" t="s">
        <v>1151</v>
      </c>
      <c r="H17" s="1" t="s">
        <v>427</v>
      </c>
      <c r="I17" s="1">
        <v>2</v>
      </c>
      <c r="J17" s="1"/>
      <c r="K17" s="1"/>
      <c r="L17" s="1"/>
    </row>
    <row r="18" spans="1:12">
      <c r="B18" s="1" t="s">
        <v>1506</v>
      </c>
      <c r="C18" s="1" t="s">
        <v>216</v>
      </c>
      <c r="D18" s="1">
        <v>18746</v>
      </c>
      <c r="E18" s="1">
        <v>18747</v>
      </c>
      <c r="F18" s="7" t="s">
        <v>1507</v>
      </c>
      <c r="G18" s="1" t="s">
        <v>1151</v>
      </c>
      <c r="H18" s="1" t="s">
        <v>427</v>
      </c>
      <c r="I18" s="1">
        <v>2</v>
      </c>
      <c r="J18" s="1"/>
      <c r="K18" s="1"/>
      <c r="L18" s="1"/>
    </row>
    <row r="19" spans="1:12">
      <c r="B19" s="1"/>
      <c r="C19" s="1"/>
      <c r="D19" s="1"/>
      <c r="E19" s="1"/>
      <c r="G19" s="1"/>
      <c r="H19" s="1"/>
      <c r="I19" s="1"/>
      <c r="J19" s="1"/>
      <c r="K19" s="1"/>
      <c r="L19" s="1"/>
    </row>
    <row r="20" spans="1:12" ht="25.5">
      <c r="A20" s="43" t="s">
        <v>1508</v>
      </c>
      <c r="B20" s="123"/>
      <c r="C20" s="123"/>
      <c r="D20" s="123"/>
      <c r="E20" s="123"/>
      <c r="F20" s="123"/>
      <c r="G20" s="123"/>
      <c r="H20" s="123"/>
      <c r="I20" s="123"/>
      <c r="J20" s="123"/>
      <c r="K20" s="123"/>
      <c r="L20" s="123"/>
    </row>
    <row r="21" spans="1:12">
      <c r="B21" s="7" t="str">
        <f t="shared" ref="B21:B38" si="4">"0x"&amp;DEC2HEX(D21,4)</f>
        <v>0x6D00</v>
      </c>
      <c r="C21" s="7" t="str">
        <f t="shared" ref="C21:C38" si="5">"0x"&amp;DEC2HEX(E21,4)</f>
        <v>0x6D00</v>
      </c>
      <c r="D21" s="7">
        <v>27904</v>
      </c>
      <c r="E21" s="7">
        <f t="shared" ref="E21:E38" si="6">D21+I21-1</f>
        <v>27904</v>
      </c>
      <c r="F21" s="7" t="s">
        <v>1509</v>
      </c>
      <c r="G21" s="7" t="s">
        <v>474</v>
      </c>
      <c r="H21" s="7" t="s">
        <v>471</v>
      </c>
      <c r="I21" s="7">
        <v>1</v>
      </c>
      <c r="J21" s="29" t="s">
        <v>1510</v>
      </c>
      <c r="K21" s="7">
        <v>0</v>
      </c>
      <c r="L21" s="7">
        <v>0</v>
      </c>
    </row>
    <row r="22" spans="1:12">
      <c r="B22" s="7" t="str">
        <f t="shared" si="4"/>
        <v>0x6D01</v>
      </c>
      <c r="C22" s="7" t="str">
        <f t="shared" si="5"/>
        <v>0x6D01</v>
      </c>
      <c r="D22" s="7">
        <f t="shared" ref="D22:D38" si="7">D21+I21</f>
        <v>27905</v>
      </c>
      <c r="E22" s="7">
        <f t="shared" si="6"/>
        <v>27905</v>
      </c>
      <c r="F22" s="7" t="s">
        <v>1511</v>
      </c>
      <c r="G22" s="7" t="s">
        <v>474</v>
      </c>
      <c r="H22" s="7" t="s">
        <v>427</v>
      </c>
      <c r="I22" s="7">
        <v>1</v>
      </c>
      <c r="J22" s="29" t="s">
        <v>1512</v>
      </c>
      <c r="K22" s="7">
        <v>0</v>
      </c>
      <c r="L22" s="7">
        <v>0</v>
      </c>
    </row>
    <row r="23" spans="1:12" ht="25.5">
      <c r="B23" s="7" t="str">
        <f t="shared" si="4"/>
        <v>0x6D02</v>
      </c>
      <c r="C23" s="7" t="str">
        <f t="shared" si="5"/>
        <v>0x6D02</v>
      </c>
      <c r="D23" s="7">
        <f t="shared" si="7"/>
        <v>27906</v>
      </c>
      <c r="E23" s="7">
        <f t="shared" si="6"/>
        <v>27906</v>
      </c>
      <c r="F23" s="7" t="s">
        <v>1513</v>
      </c>
      <c r="G23" s="7" t="s">
        <v>474</v>
      </c>
      <c r="H23" s="7" t="s">
        <v>427</v>
      </c>
      <c r="I23" s="7">
        <v>1</v>
      </c>
      <c r="J23" s="29" t="s">
        <v>1514</v>
      </c>
      <c r="K23" s="7">
        <v>0</v>
      </c>
      <c r="L23" s="7">
        <v>0</v>
      </c>
    </row>
    <row r="24" spans="1:12" ht="25.5">
      <c r="B24" s="7" t="str">
        <f t="shared" si="4"/>
        <v>0x6D03</v>
      </c>
      <c r="C24" s="7" t="str">
        <f t="shared" si="5"/>
        <v>0x6D03</v>
      </c>
      <c r="D24" s="7">
        <f t="shared" si="7"/>
        <v>27907</v>
      </c>
      <c r="E24" s="7">
        <f t="shared" si="6"/>
        <v>27907</v>
      </c>
      <c r="F24" s="7" t="s">
        <v>1515</v>
      </c>
      <c r="G24" s="7" t="s">
        <v>474</v>
      </c>
      <c r="H24" s="7" t="s">
        <v>427</v>
      </c>
      <c r="I24" s="7">
        <v>1</v>
      </c>
      <c r="J24" s="29" t="s">
        <v>1516</v>
      </c>
    </row>
    <row r="25" spans="1:12" ht="25.5">
      <c r="B25" s="7" t="str">
        <f t="shared" si="4"/>
        <v>0x6D04</v>
      </c>
      <c r="C25" s="7" t="str">
        <f t="shared" si="5"/>
        <v>0x6D04</v>
      </c>
      <c r="D25" s="7">
        <f t="shared" si="7"/>
        <v>27908</v>
      </c>
      <c r="E25" s="7">
        <f t="shared" si="6"/>
        <v>27908</v>
      </c>
      <c r="F25" s="7" t="s">
        <v>1517</v>
      </c>
      <c r="G25" s="7" t="s">
        <v>474</v>
      </c>
      <c r="H25" s="7" t="s">
        <v>427</v>
      </c>
      <c r="I25" s="7">
        <v>1</v>
      </c>
      <c r="J25" s="29" t="s">
        <v>1518</v>
      </c>
    </row>
    <row r="26" spans="1:12" ht="25.5">
      <c r="B26" s="7" t="str">
        <f t="shared" si="4"/>
        <v>0x6D05</v>
      </c>
      <c r="C26" s="7" t="str">
        <f t="shared" si="5"/>
        <v>0x6D05</v>
      </c>
      <c r="D26" s="7">
        <f t="shared" si="7"/>
        <v>27909</v>
      </c>
      <c r="E26" s="7">
        <f t="shared" si="6"/>
        <v>27909</v>
      </c>
      <c r="F26" s="7" t="s">
        <v>1519</v>
      </c>
      <c r="G26" s="7" t="s">
        <v>474</v>
      </c>
      <c r="H26" s="7" t="s">
        <v>427</v>
      </c>
      <c r="I26" s="7">
        <v>1</v>
      </c>
      <c r="J26" s="29" t="s">
        <v>1520</v>
      </c>
    </row>
    <row r="27" spans="1:12" ht="38.25">
      <c r="B27" s="7" t="str">
        <f t="shared" si="4"/>
        <v>0x6D06</v>
      </c>
      <c r="C27" s="7" t="str">
        <f t="shared" si="5"/>
        <v>0x6D06</v>
      </c>
      <c r="D27" s="7">
        <f t="shared" si="7"/>
        <v>27910</v>
      </c>
      <c r="E27" s="7">
        <f t="shared" si="6"/>
        <v>27910</v>
      </c>
      <c r="F27" s="7" t="s">
        <v>1521</v>
      </c>
      <c r="G27" s="7" t="s">
        <v>474</v>
      </c>
      <c r="H27" s="7" t="s">
        <v>427</v>
      </c>
      <c r="I27" s="7">
        <v>1</v>
      </c>
      <c r="J27" s="15" t="s">
        <v>1484</v>
      </c>
    </row>
    <row r="28" spans="1:12" ht="25.5">
      <c r="B28" s="7" t="str">
        <f t="shared" si="4"/>
        <v>0x6D07</v>
      </c>
      <c r="C28" s="7" t="str">
        <f t="shared" si="5"/>
        <v>0x6D07</v>
      </c>
      <c r="D28" s="7">
        <f t="shared" si="7"/>
        <v>27911</v>
      </c>
      <c r="E28" s="7">
        <f t="shared" si="6"/>
        <v>27911</v>
      </c>
      <c r="F28" s="7" t="s">
        <v>1522</v>
      </c>
      <c r="G28" s="7" t="s">
        <v>474</v>
      </c>
      <c r="H28" s="7" t="s">
        <v>427</v>
      </c>
      <c r="I28" s="7">
        <v>1</v>
      </c>
      <c r="J28" s="29" t="s">
        <v>1523</v>
      </c>
    </row>
    <row r="29" spans="1:12" ht="25.5">
      <c r="B29" s="7" t="str">
        <f t="shared" si="4"/>
        <v>0x6D08</v>
      </c>
      <c r="C29" s="7" t="str">
        <f t="shared" si="5"/>
        <v>0x6D09</v>
      </c>
      <c r="D29" s="7">
        <f t="shared" si="7"/>
        <v>27912</v>
      </c>
      <c r="E29" s="7">
        <f t="shared" si="6"/>
        <v>27913</v>
      </c>
      <c r="F29" s="7" t="s">
        <v>1524</v>
      </c>
      <c r="G29" s="7" t="s">
        <v>474</v>
      </c>
      <c r="H29" s="7" t="s">
        <v>427</v>
      </c>
      <c r="I29" s="7">
        <v>2</v>
      </c>
      <c r="J29" s="29"/>
    </row>
    <row r="30" spans="1:12" ht="25.5">
      <c r="B30" s="7" t="str">
        <f t="shared" si="4"/>
        <v>0x6D0A</v>
      </c>
      <c r="C30" s="7" t="str">
        <f t="shared" si="5"/>
        <v>0x6D0B</v>
      </c>
      <c r="D30" s="7">
        <f t="shared" si="7"/>
        <v>27914</v>
      </c>
      <c r="E30" s="7">
        <f t="shared" si="6"/>
        <v>27915</v>
      </c>
      <c r="F30" s="7" t="s">
        <v>1525</v>
      </c>
      <c r="G30" s="7" t="s">
        <v>474</v>
      </c>
      <c r="H30" s="7" t="s">
        <v>427</v>
      </c>
      <c r="I30" s="7">
        <v>2</v>
      </c>
      <c r="J30" s="29"/>
    </row>
    <row r="31" spans="1:12" ht="25.5">
      <c r="B31" s="7" t="str">
        <f t="shared" si="4"/>
        <v>0x6D0C</v>
      </c>
      <c r="C31" s="7" t="str">
        <f t="shared" si="5"/>
        <v>0x6D0D</v>
      </c>
      <c r="D31" s="7">
        <f t="shared" si="7"/>
        <v>27916</v>
      </c>
      <c r="E31" s="7">
        <f t="shared" si="6"/>
        <v>27917</v>
      </c>
      <c r="F31" s="7" t="s">
        <v>1526</v>
      </c>
      <c r="G31" s="7" t="s">
        <v>474</v>
      </c>
      <c r="H31" s="7" t="s">
        <v>427</v>
      </c>
      <c r="I31" s="7">
        <v>2</v>
      </c>
      <c r="J31" s="29"/>
    </row>
    <row r="32" spans="1:12" ht="25.5">
      <c r="B32" s="7" t="str">
        <f t="shared" si="4"/>
        <v>0x6D0E</v>
      </c>
      <c r="C32" s="7" t="str">
        <f t="shared" si="5"/>
        <v>0x6D0F</v>
      </c>
      <c r="D32" s="7">
        <f t="shared" si="7"/>
        <v>27918</v>
      </c>
      <c r="E32" s="7">
        <f t="shared" si="6"/>
        <v>27919</v>
      </c>
      <c r="F32" s="7" t="s">
        <v>1527</v>
      </c>
      <c r="G32" s="7" t="s">
        <v>474</v>
      </c>
      <c r="H32" s="7" t="s">
        <v>427</v>
      </c>
      <c r="I32" s="7">
        <v>2</v>
      </c>
      <c r="J32" s="29"/>
    </row>
    <row r="33" spans="2:10" ht="25.5">
      <c r="B33" s="7" t="str">
        <f t="shared" si="4"/>
        <v>0x6D10</v>
      </c>
      <c r="C33" s="7" t="str">
        <f t="shared" si="5"/>
        <v>0x6D11</v>
      </c>
      <c r="D33" s="7">
        <f t="shared" si="7"/>
        <v>27920</v>
      </c>
      <c r="E33" s="7">
        <f t="shared" si="6"/>
        <v>27921</v>
      </c>
      <c r="F33" s="7" t="s">
        <v>1528</v>
      </c>
      <c r="G33" s="7" t="s">
        <v>474</v>
      </c>
      <c r="H33" s="7" t="s">
        <v>427</v>
      </c>
      <c r="I33" s="7">
        <v>2</v>
      </c>
      <c r="J33" s="29"/>
    </row>
    <row r="34" spans="2:10" ht="25.5">
      <c r="B34" s="7" t="str">
        <f t="shared" si="4"/>
        <v>0x6D12</v>
      </c>
      <c r="C34" s="7" t="str">
        <f t="shared" si="5"/>
        <v>0x6D13</v>
      </c>
      <c r="D34" s="7">
        <f t="shared" si="7"/>
        <v>27922</v>
      </c>
      <c r="E34" s="7">
        <f t="shared" si="6"/>
        <v>27923</v>
      </c>
      <c r="F34" s="7" t="s">
        <v>1529</v>
      </c>
      <c r="G34" s="7" t="s">
        <v>474</v>
      </c>
      <c r="H34" s="7" t="s">
        <v>427</v>
      </c>
      <c r="I34" s="7">
        <v>2</v>
      </c>
      <c r="J34" s="29"/>
    </row>
    <row r="35" spans="2:10">
      <c r="B35" s="7" t="str">
        <f t="shared" si="4"/>
        <v>0x6D14</v>
      </c>
      <c r="C35" s="7" t="str">
        <f t="shared" si="5"/>
        <v>0x6D24</v>
      </c>
      <c r="D35" s="7">
        <f t="shared" si="7"/>
        <v>27924</v>
      </c>
      <c r="E35" s="7">
        <f t="shared" si="6"/>
        <v>27940</v>
      </c>
      <c r="F35" s="7" t="s">
        <v>1530</v>
      </c>
      <c r="G35" s="7" t="s">
        <v>474</v>
      </c>
      <c r="H35" s="7" t="s">
        <v>427</v>
      </c>
      <c r="I35" s="7">
        <v>17</v>
      </c>
      <c r="J35" s="29"/>
    </row>
    <row r="36" spans="2:10">
      <c r="B36" s="7" t="str">
        <f t="shared" si="4"/>
        <v>0x6D25</v>
      </c>
      <c r="C36" s="7" t="str">
        <f t="shared" si="5"/>
        <v>0x6D35</v>
      </c>
      <c r="D36" s="7">
        <f t="shared" si="7"/>
        <v>27941</v>
      </c>
      <c r="E36" s="7">
        <f t="shared" si="6"/>
        <v>27957</v>
      </c>
      <c r="F36" s="7" t="s">
        <v>1531</v>
      </c>
      <c r="G36" s="7" t="s">
        <v>474</v>
      </c>
      <c r="H36" s="7" t="s">
        <v>427</v>
      </c>
      <c r="I36" s="7">
        <v>17</v>
      </c>
      <c r="J36" s="29"/>
    </row>
    <row r="37" spans="2:10">
      <c r="B37" s="7" t="str">
        <f t="shared" si="4"/>
        <v>0x6D36</v>
      </c>
      <c r="C37" s="7" t="str">
        <f t="shared" si="5"/>
        <v>0x6D46</v>
      </c>
      <c r="D37" s="7">
        <f t="shared" si="7"/>
        <v>27958</v>
      </c>
      <c r="E37" s="7">
        <f t="shared" si="6"/>
        <v>27974</v>
      </c>
      <c r="F37" s="7" t="s">
        <v>1532</v>
      </c>
      <c r="G37" s="7" t="s">
        <v>474</v>
      </c>
      <c r="H37" s="7" t="s">
        <v>427</v>
      </c>
      <c r="I37" s="7">
        <v>17</v>
      </c>
      <c r="J37" s="29"/>
    </row>
    <row r="38" spans="2:10">
      <c r="B38" s="7" t="str">
        <f t="shared" si="4"/>
        <v>0x6D47</v>
      </c>
      <c r="C38" s="7" t="str">
        <f t="shared" si="5"/>
        <v>0x6D57</v>
      </c>
      <c r="D38" s="7">
        <f t="shared" si="7"/>
        <v>27975</v>
      </c>
      <c r="E38" s="7">
        <f t="shared" si="6"/>
        <v>27991</v>
      </c>
      <c r="F38" s="7" t="s">
        <v>1533</v>
      </c>
      <c r="G38" s="7" t="s">
        <v>474</v>
      </c>
      <c r="H38" s="7" t="s">
        <v>427</v>
      </c>
      <c r="I38" s="7">
        <v>17</v>
      </c>
      <c r="J38" s="29"/>
    </row>
  </sheetData>
  <mergeCells count="4">
    <mergeCell ref="B2:L2"/>
    <mergeCell ref="J4:J6"/>
    <mergeCell ref="B12:L12"/>
    <mergeCell ref="B20:L20"/>
  </mergeCells>
  <phoneticPr fontId="4" type="noConversion"/>
  <pageMargins left="0.7" right="0.7" top="0.75" bottom="0.75" header="0.3" footer="0.3"/>
  <pageSetup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62"/>
  <sheetViews>
    <sheetView workbookViewId="0">
      <pane ySplit="1" topLeftCell="A4" activePane="bottomLeft" state="frozen"/>
      <selection pane="bottomLeft" activeCell="K31" sqref="K31"/>
    </sheetView>
  </sheetViews>
  <sheetFormatPr defaultColWidth="9" defaultRowHeight="12.75"/>
  <cols>
    <col min="1" max="1" width="27" style="16" customWidth="1"/>
    <col min="2" max="2" width="11.7109375" style="16" customWidth="1"/>
    <col min="3" max="5" width="9" style="16"/>
    <col min="6" max="6" width="43" style="16" customWidth="1"/>
    <col min="7" max="9" width="9" style="16"/>
    <col min="10" max="10" width="29.85546875" style="16" customWidth="1"/>
    <col min="11" max="11" width="14" style="16" customWidth="1"/>
    <col min="12" max="12" width="20.7109375" style="16" customWidth="1"/>
    <col min="13" max="16384" width="9" style="16"/>
  </cols>
  <sheetData>
    <row r="1" spans="1:12" s="39" customFormat="1">
      <c r="A1" s="39" t="s">
        <v>27</v>
      </c>
      <c r="B1" s="39" t="s">
        <v>414</v>
      </c>
      <c r="C1" s="39" t="s">
        <v>415</v>
      </c>
      <c r="D1" s="39" t="s">
        <v>416</v>
      </c>
      <c r="E1" s="39" t="s">
        <v>417</v>
      </c>
      <c r="F1" s="39" t="s">
        <v>418</v>
      </c>
      <c r="G1" s="39" t="s">
        <v>419</v>
      </c>
      <c r="H1" s="39" t="s">
        <v>421</v>
      </c>
      <c r="I1" s="39" t="s">
        <v>420</v>
      </c>
      <c r="J1" s="39" t="s">
        <v>422</v>
      </c>
      <c r="K1" s="39" t="s">
        <v>480</v>
      </c>
      <c r="L1" s="39" t="s">
        <v>481</v>
      </c>
    </row>
    <row r="2" spans="1:12" s="26" customFormat="1">
      <c r="A2" s="26" t="s">
        <v>1534</v>
      </c>
    </row>
    <row r="3" spans="1:12">
      <c r="B3" s="16" t="str">
        <f t="shared" ref="B3:B16" si="0">"0x"&amp;DEC2HEX(D3,4)</f>
        <v>0x1100</v>
      </c>
      <c r="D3" s="16">
        <v>4352</v>
      </c>
      <c r="F3" s="16" t="s">
        <v>1535</v>
      </c>
      <c r="H3" s="16" t="s">
        <v>471</v>
      </c>
      <c r="I3" s="16">
        <v>1</v>
      </c>
    </row>
    <row r="4" spans="1:12">
      <c r="B4" s="16" t="str">
        <f t="shared" si="0"/>
        <v>0x1101</v>
      </c>
      <c r="D4" s="16">
        <f t="shared" ref="D4:D14" si="1">D3+I3</f>
        <v>4353</v>
      </c>
      <c r="F4" s="16" t="s">
        <v>1536</v>
      </c>
      <c r="H4" s="16" t="s">
        <v>471</v>
      </c>
      <c r="I4" s="16">
        <v>1</v>
      </c>
    </row>
    <row r="5" spans="1:12">
      <c r="B5" s="16" t="str">
        <f t="shared" si="0"/>
        <v>0x1102</v>
      </c>
      <c r="C5" s="16" t="str">
        <f>"0x"&amp;DEC2HEX(E5,4)</f>
        <v>0x1176</v>
      </c>
      <c r="D5" s="16">
        <f t="shared" si="1"/>
        <v>4354</v>
      </c>
      <c r="E5" s="16">
        <f>D5+I5-1</f>
        <v>4470</v>
      </c>
      <c r="F5" s="16" t="s">
        <v>1537</v>
      </c>
      <c r="H5" s="16" t="s">
        <v>471</v>
      </c>
      <c r="I5" s="16">
        <v>117</v>
      </c>
    </row>
    <row r="6" spans="1:12" s="31" customFormat="1">
      <c r="B6" s="31" t="str">
        <f t="shared" si="0"/>
        <v>0x1177</v>
      </c>
      <c r="C6" s="31" t="str">
        <f>"0x"&amp;DEC2HEX(E6,4)</f>
        <v>0x11B1</v>
      </c>
      <c r="D6" s="31">
        <f t="shared" si="1"/>
        <v>4471</v>
      </c>
      <c r="E6" s="31">
        <f>D6+I6-1</f>
        <v>4529</v>
      </c>
      <c r="F6" s="31" t="s">
        <v>1538</v>
      </c>
      <c r="H6" s="31" t="s">
        <v>471</v>
      </c>
      <c r="I6" s="31">
        <v>59</v>
      </c>
      <c r="J6" s="31" t="s">
        <v>1539</v>
      </c>
    </row>
    <row r="7" spans="1:12">
      <c r="B7" s="16" t="str">
        <f t="shared" si="0"/>
        <v>0x11B2</v>
      </c>
      <c r="D7" s="16">
        <f t="shared" si="1"/>
        <v>4530</v>
      </c>
      <c r="F7" s="16" t="s">
        <v>1540</v>
      </c>
      <c r="H7" s="16" t="s">
        <v>471</v>
      </c>
      <c r="I7" s="16">
        <v>1</v>
      </c>
    </row>
    <row r="8" spans="1:12">
      <c r="B8" s="16" t="str">
        <f t="shared" si="0"/>
        <v>0x11B3</v>
      </c>
      <c r="D8" s="16">
        <f t="shared" si="1"/>
        <v>4531</v>
      </c>
      <c r="F8" s="16" t="s">
        <v>1541</v>
      </c>
      <c r="H8" s="16" t="s">
        <v>471</v>
      </c>
      <c r="I8" s="16">
        <v>1</v>
      </c>
    </row>
    <row r="9" spans="1:12">
      <c r="B9" s="16" t="str">
        <f t="shared" si="0"/>
        <v>0x11B4</v>
      </c>
      <c r="D9" s="16">
        <f t="shared" si="1"/>
        <v>4532</v>
      </c>
      <c r="F9" s="16" t="s">
        <v>1542</v>
      </c>
      <c r="H9" s="16" t="s">
        <v>471</v>
      </c>
      <c r="I9" s="16">
        <v>1</v>
      </c>
    </row>
    <row r="10" spans="1:12">
      <c r="B10" s="16" t="str">
        <f t="shared" si="0"/>
        <v>0x11B5</v>
      </c>
      <c r="D10" s="16">
        <f t="shared" si="1"/>
        <v>4533</v>
      </c>
      <c r="F10" s="16" t="s">
        <v>1543</v>
      </c>
      <c r="H10" s="16" t="s">
        <v>471</v>
      </c>
      <c r="I10" s="16">
        <v>1</v>
      </c>
    </row>
    <row r="11" spans="1:12">
      <c r="B11" s="16" t="str">
        <f t="shared" si="0"/>
        <v>0x11B6</v>
      </c>
      <c r="D11" s="16">
        <f t="shared" si="1"/>
        <v>4534</v>
      </c>
      <c r="F11" s="16" t="s">
        <v>1544</v>
      </c>
      <c r="H11" s="16" t="s">
        <v>471</v>
      </c>
      <c r="I11" s="16">
        <v>1</v>
      </c>
    </row>
    <row r="12" spans="1:12">
      <c r="B12" s="16" t="str">
        <f t="shared" si="0"/>
        <v>0x11B7</v>
      </c>
      <c r="D12" s="16">
        <f t="shared" si="1"/>
        <v>4535</v>
      </c>
      <c r="F12" s="16" t="s">
        <v>1545</v>
      </c>
      <c r="H12" s="16" t="s">
        <v>471</v>
      </c>
      <c r="I12" s="16">
        <v>1</v>
      </c>
    </row>
    <row r="13" spans="1:12">
      <c r="B13" s="16" t="str">
        <f t="shared" si="0"/>
        <v>0x11B8</v>
      </c>
      <c r="D13" s="16">
        <f t="shared" si="1"/>
        <v>4536</v>
      </c>
      <c r="F13" s="16" t="s">
        <v>1546</v>
      </c>
      <c r="H13" s="16" t="s">
        <v>471</v>
      </c>
      <c r="I13" s="16">
        <v>1</v>
      </c>
    </row>
    <row r="14" spans="1:12">
      <c r="B14" s="16" t="str">
        <f t="shared" si="0"/>
        <v>0x11B9</v>
      </c>
      <c r="D14" s="16">
        <f t="shared" si="1"/>
        <v>4537</v>
      </c>
      <c r="F14" s="16" t="s">
        <v>1547</v>
      </c>
      <c r="H14" s="16" t="s">
        <v>471</v>
      </c>
      <c r="I14" s="16">
        <v>1</v>
      </c>
      <c r="J14" s="1" t="s">
        <v>1488</v>
      </c>
    </row>
    <row r="15" spans="1:12">
      <c r="B15" s="16" t="str">
        <f t="shared" si="0"/>
        <v>0x11C0</v>
      </c>
      <c r="C15" s="16" t="str">
        <f>"0x"&amp;DEC2HEX(E15,4)</f>
        <v>0x1279</v>
      </c>
      <c r="D15" s="16">
        <v>4544</v>
      </c>
      <c r="E15" s="16">
        <f>D15+I15-1</f>
        <v>4729</v>
      </c>
      <c r="F15" s="16" t="s">
        <v>1548</v>
      </c>
      <c r="H15" s="16" t="s">
        <v>471</v>
      </c>
      <c r="I15" s="16">
        <v>186</v>
      </c>
    </row>
    <row r="16" spans="1:12">
      <c r="B16" s="16" t="str">
        <f t="shared" si="0"/>
        <v>0x1280</v>
      </c>
      <c r="C16" s="16" t="str">
        <f>"0x"&amp;DEC2HEX(E16,4)</f>
        <v>0x1339</v>
      </c>
      <c r="D16" s="16">
        <v>4736</v>
      </c>
      <c r="E16" s="16">
        <f>D16+I16-1</f>
        <v>4921</v>
      </c>
      <c r="F16" s="16" t="s">
        <v>1549</v>
      </c>
      <c r="H16" s="16" t="s">
        <v>471</v>
      </c>
      <c r="I16" s="16">
        <v>186</v>
      </c>
    </row>
    <row r="20" spans="1:9">
      <c r="A20" s="26" t="s">
        <v>1550</v>
      </c>
    </row>
    <row r="21" spans="1:9">
      <c r="B21" s="16" t="str">
        <f>"0x"&amp;DEC2HEX(D21,4)</f>
        <v>0x6000</v>
      </c>
      <c r="D21" s="16">
        <v>24576</v>
      </c>
      <c r="F21" s="16" t="s">
        <v>1551</v>
      </c>
      <c r="H21" s="16" t="s">
        <v>471</v>
      </c>
      <c r="I21" s="16">
        <v>1</v>
      </c>
    </row>
    <row r="22" spans="1:9">
      <c r="B22" s="16" t="str">
        <f>"0x"&amp;DEC2HEX(D22,4)</f>
        <v>0x6001</v>
      </c>
      <c r="D22" s="16">
        <f>D21+I21</f>
        <v>24577</v>
      </c>
      <c r="F22" s="16" t="s">
        <v>1552</v>
      </c>
      <c r="H22" s="16" t="s">
        <v>471</v>
      </c>
      <c r="I22" s="16">
        <v>1</v>
      </c>
    </row>
    <row r="23" spans="1:9">
      <c r="B23" s="16" t="str">
        <f>"0x"&amp;DEC2HEX(D23,4)</f>
        <v>0x6002</v>
      </c>
      <c r="C23" s="16" t="str">
        <f>"0x"&amp;DEC2HEX(E23,4)</f>
        <v>0x6003</v>
      </c>
      <c r="D23" s="16">
        <f>D22+I22</f>
        <v>24578</v>
      </c>
      <c r="E23" s="16">
        <f>D23-1+I23</f>
        <v>24579</v>
      </c>
      <c r="F23" s="16" t="s">
        <v>1553</v>
      </c>
      <c r="H23" s="16" t="s">
        <v>471</v>
      </c>
      <c r="I23" s="16">
        <v>2</v>
      </c>
    </row>
    <row r="24" spans="1:9">
      <c r="B24" s="16" t="str">
        <f>"0x"&amp;DEC2HEX(D24,4)</f>
        <v>0x6004</v>
      </c>
      <c r="C24" s="16" t="str">
        <f>"0x"&amp;DEC2HEX(E24,4)</f>
        <v>0x607E</v>
      </c>
      <c r="D24" s="16">
        <f>D23+I23</f>
        <v>24580</v>
      </c>
      <c r="E24" s="16">
        <f>D24-1+I24</f>
        <v>24702</v>
      </c>
      <c r="F24" s="16" t="s">
        <v>1554</v>
      </c>
      <c r="H24" s="16" t="s">
        <v>427</v>
      </c>
      <c r="I24" s="16">
        <v>123</v>
      </c>
    </row>
    <row r="27" spans="1:9" s="26" customFormat="1">
      <c r="A27" s="26" t="s">
        <v>1555</v>
      </c>
      <c r="I27" s="16"/>
    </row>
    <row r="28" spans="1:9">
      <c r="B28" s="16" t="str">
        <f t="shared" ref="B28:B33" si="2">"0x"&amp;DEC2HEX(D28,4)</f>
        <v>0x6100</v>
      </c>
      <c r="C28" s="16" t="str">
        <f>"0x"&amp;DEC2HEX(E28,4)</f>
        <v>0x6101</v>
      </c>
      <c r="D28" s="16">
        <v>24832</v>
      </c>
      <c r="E28" s="16">
        <f>D28+I28-1</f>
        <v>24833</v>
      </c>
      <c r="F28" s="16" t="s">
        <v>1556</v>
      </c>
      <c r="G28" s="16" t="s">
        <v>1151</v>
      </c>
      <c r="H28" s="16" t="s">
        <v>427</v>
      </c>
      <c r="I28" s="16">
        <v>2</v>
      </c>
    </row>
    <row r="29" spans="1:9">
      <c r="B29" s="16" t="str">
        <f t="shared" si="2"/>
        <v>0x6102</v>
      </c>
      <c r="C29" s="16" t="str">
        <f>"0x"&amp;DEC2HEX(E29,4)</f>
        <v>0x6103</v>
      </c>
      <c r="D29" s="16">
        <f>D28+I28</f>
        <v>24834</v>
      </c>
      <c r="E29" s="16">
        <f>D29+I29-1</f>
        <v>24835</v>
      </c>
      <c r="F29" s="16" t="s">
        <v>1557</v>
      </c>
      <c r="G29" s="16" t="s">
        <v>1151</v>
      </c>
      <c r="H29" s="16" t="s">
        <v>427</v>
      </c>
      <c r="I29" s="16">
        <v>2</v>
      </c>
    </row>
    <row r="30" spans="1:9">
      <c r="B30" s="16" t="str">
        <f t="shared" si="2"/>
        <v>0x6104</v>
      </c>
      <c r="D30" s="16">
        <f>D29+I29</f>
        <v>24836</v>
      </c>
      <c r="F30" s="16" t="s">
        <v>1558</v>
      </c>
      <c r="G30" s="16" t="s">
        <v>639</v>
      </c>
      <c r="H30" s="16" t="s">
        <v>427</v>
      </c>
      <c r="I30" s="16">
        <v>1</v>
      </c>
    </row>
    <row r="31" spans="1:9">
      <c r="B31" s="16" t="str">
        <f t="shared" si="2"/>
        <v>0x6105</v>
      </c>
      <c r="D31" s="16">
        <f>D30+I30</f>
        <v>24837</v>
      </c>
      <c r="F31" s="16" t="s">
        <v>1559</v>
      </c>
      <c r="G31" s="16" t="s">
        <v>474</v>
      </c>
      <c r="H31" s="16" t="s">
        <v>427</v>
      </c>
      <c r="I31" s="16">
        <v>1</v>
      </c>
    </row>
    <row r="32" spans="1:9" ht="25.5">
      <c r="B32" s="16" t="str">
        <f t="shared" si="2"/>
        <v>0x6106</v>
      </c>
      <c r="C32" s="16" t="str">
        <f>"0x"&amp;DEC2HEX(E32,4)</f>
        <v>0x6108</v>
      </c>
      <c r="D32" s="16">
        <f>D31+I31</f>
        <v>24838</v>
      </c>
      <c r="E32" s="16">
        <f>D32+I32-1</f>
        <v>24840</v>
      </c>
      <c r="F32" s="1" t="s">
        <v>1560</v>
      </c>
      <c r="G32" s="16" t="s">
        <v>474</v>
      </c>
      <c r="H32" s="16" t="s">
        <v>427</v>
      </c>
      <c r="I32" s="16">
        <v>3</v>
      </c>
    </row>
    <row r="33" spans="2:9" ht="25.5">
      <c r="B33" s="16" t="str">
        <f t="shared" si="2"/>
        <v>0x6109</v>
      </c>
      <c r="C33" s="16" t="str">
        <f>"0x"&amp;DEC2HEX(E33,4)</f>
        <v>0x610B</v>
      </c>
      <c r="D33" s="16">
        <f>D32+I32</f>
        <v>24841</v>
      </c>
      <c r="E33" s="16">
        <f>D33+I33-1</f>
        <v>24843</v>
      </c>
      <c r="F33" s="1" t="s">
        <v>1561</v>
      </c>
      <c r="I33" s="16">
        <v>3</v>
      </c>
    </row>
    <row r="34" spans="2:9">
      <c r="F34" s="1"/>
    </row>
    <row r="35" spans="2:9">
      <c r="B35" s="16" t="str">
        <f t="shared" ref="B35:B40" si="3">"0x"&amp;DEC2HEX(D35,4)</f>
        <v>0x6200</v>
      </c>
      <c r="C35" s="16" t="str">
        <f t="shared" ref="C35:C40" si="4">"0x"&amp;DEC2HEX(E35,4)</f>
        <v>0x6201</v>
      </c>
      <c r="D35" s="16">
        <v>25088</v>
      </c>
      <c r="E35" s="16">
        <f>D35+I35-1</f>
        <v>25089</v>
      </c>
      <c r="F35" s="16" t="s">
        <v>1556</v>
      </c>
      <c r="G35" s="16" t="s">
        <v>474</v>
      </c>
      <c r="H35" s="16" t="s">
        <v>427</v>
      </c>
      <c r="I35" s="16">
        <v>2</v>
      </c>
    </row>
    <row r="36" spans="2:9">
      <c r="B36" s="16" t="str">
        <f t="shared" si="3"/>
        <v>0x6202</v>
      </c>
      <c r="C36" s="16" t="str">
        <f t="shared" si="4"/>
        <v>0x6203</v>
      </c>
      <c r="D36" s="16">
        <f>D35+I35</f>
        <v>25090</v>
      </c>
      <c r="E36" s="16">
        <f>D36+I36-1</f>
        <v>25091</v>
      </c>
      <c r="F36" s="16" t="s">
        <v>1557</v>
      </c>
      <c r="I36" s="16">
        <v>2</v>
      </c>
    </row>
    <row r="37" spans="2:9">
      <c r="B37" s="16" t="str">
        <f t="shared" si="3"/>
        <v>0x6204</v>
      </c>
      <c r="C37" s="16" t="str">
        <f t="shared" si="4"/>
        <v>0x0000</v>
      </c>
      <c r="D37" s="16">
        <f>D36+I36</f>
        <v>25092</v>
      </c>
      <c r="F37" s="16" t="s">
        <v>1562</v>
      </c>
      <c r="G37" s="16" t="s">
        <v>1151</v>
      </c>
      <c r="H37" s="16" t="s">
        <v>427</v>
      </c>
      <c r="I37" s="16">
        <v>1</v>
      </c>
    </row>
    <row r="38" spans="2:9">
      <c r="B38" s="16" t="str">
        <f t="shared" si="3"/>
        <v>0x6205</v>
      </c>
      <c r="C38" s="16" t="str">
        <f t="shared" si="4"/>
        <v>0x0000</v>
      </c>
      <c r="D38" s="16">
        <f>D37+I37</f>
        <v>25093</v>
      </c>
      <c r="F38" s="16" t="s">
        <v>1563</v>
      </c>
      <c r="G38" s="16" t="s">
        <v>1151</v>
      </c>
      <c r="H38" s="16" t="s">
        <v>427</v>
      </c>
      <c r="I38" s="16">
        <v>1</v>
      </c>
    </row>
    <row r="39" spans="2:9">
      <c r="B39" s="16" t="str">
        <f t="shared" si="3"/>
        <v>0x6206</v>
      </c>
      <c r="C39" s="16" t="str">
        <f t="shared" si="4"/>
        <v>0x6208</v>
      </c>
      <c r="D39" s="16">
        <f>D38+I38</f>
        <v>25094</v>
      </c>
      <c r="E39" s="16">
        <f>D39+I39-1</f>
        <v>25096</v>
      </c>
      <c r="F39" s="16" t="s">
        <v>1564</v>
      </c>
      <c r="G39" s="16" t="s">
        <v>639</v>
      </c>
      <c r="H39" s="16" t="s">
        <v>427</v>
      </c>
      <c r="I39" s="16">
        <v>3</v>
      </c>
    </row>
    <row r="40" spans="2:9">
      <c r="B40" s="16" t="str">
        <f t="shared" si="3"/>
        <v>0x6209</v>
      </c>
      <c r="C40" s="16" t="str">
        <f t="shared" si="4"/>
        <v>0x620B</v>
      </c>
      <c r="D40" s="16">
        <f>D39+I39</f>
        <v>25097</v>
      </c>
      <c r="E40" s="16">
        <f>D40+I40-1</f>
        <v>25099</v>
      </c>
      <c r="F40" s="16" t="s">
        <v>1565</v>
      </c>
      <c r="G40" s="16" t="s">
        <v>474</v>
      </c>
      <c r="H40" s="16" t="s">
        <v>427</v>
      </c>
      <c r="I40" s="16">
        <v>3</v>
      </c>
    </row>
    <row r="42" spans="2:9">
      <c r="B42" s="16" t="str">
        <f t="shared" ref="B42:B47" si="5">"0x"&amp;DEC2HEX(D42,4)</f>
        <v>0x6300</v>
      </c>
      <c r="C42" s="16" t="str">
        <f>"0x"&amp;DEC2HEX(E42,4)</f>
        <v>0x6301</v>
      </c>
      <c r="D42" s="16">
        <v>25344</v>
      </c>
      <c r="E42" s="16">
        <f>D42+I42-1</f>
        <v>25345</v>
      </c>
      <c r="F42" s="16" t="s">
        <v>1556</v>
      </c>
      <c r="G42" s="16" t="s">
        <v>474</v>
      </c>
      <c r="H42" s="16" t="s">
        <v>427</v>
      </c>
      <c r="I42" s="16">
        <v>2</v>
      </c>
    </row>
    <row r="43" spans="2:9">
      <c r="B43" s="16" t="str">
        <f t="shared" si="5"/>
        <v>0x6302</v>
      </c>
      <c r="C43" s="16" t="str">
        <f>"0x"&amp;DEC2HEX(E43,4)</f>
        <v>0x6303</v>
      </c>
      <c r="D43" s="16">
        <f>D42+I42</f>
        <v>25346</v>
      </c>
      <c r="E43" s="16">
        <f>D43+I43-1</f>
        <v>25347</v>
      </c>
      <c r="F43" s="16" t="s">
        <v>1557</v>
      </c>
      <c r="G43" s="16" t="s">
        <v>474</v>
      </c>
      <c r="H43" s="16" t="s">
        <v>427</v>
      </c>
      <c r="I43" s="16">
        <v>2</v>
      </c>
    </row>
    <row r="44" spans="2:9">
      <c r="B44" s="16" t="str">
        <f t="shared" si="5"/>
        <v>0x6304</v>
      </c>
      <c r="D44" s="16">
        <f>D43+I43</f>
        <v>25348</v>
      </c>
      <c r="F44" s="16" t="s">
        <v>1558</v>
      </c>
      <c r="G44" s="16" t="s">
        <v>1151</v>
      </c>
      <c r="H44" s="16" t="s">
        <v>427</v>
      </c>
      <c r="I44" s="16">
        <v>1</v>
      </c>
    </row>
    <row r="45" spans="2:9">
      <c r="B45" s="16" t="str">
        <f t="shared" si="5"/>
        <v>0x6305</v>
      </c>
      <c r="D45" s="16">
        <f>D44+I44</f>
        <v>25349</v>
      </c>
      <c r="F45" s="16" t="s">
        <v>1563</v>
      </c>
      <c r="G45" s="16" t="s">
        <v>1151</v>
      </c>
      <c r="H45" s="16" t="s">
        <v>427</v>
      </c>
      <c r="I45" s="16">
        <v>1</v>
      </c>
    </row>
    <row r="46" spans="2:9">
      <c r="B46" s="16" t="str">
        <f t="shared" si="5"/>
        <v>0x6306</v>
      </c>
      <c r="C46" s="16" t="str">
        <f>"0x"&amp;DEC2HEX(E46,4)</f>
        <v>0x6308</v>
      </c>
      <c r="D46" s="16">
        <f>D45+I45</f>
        <v>25350</v>
      </c>
      <c r="E46" s="16">
        <f>D46+I46-1</f>
        <v>25352</v>
      </c>
      <c r="F46" s="16" t="s">
        <v>1566</v>
      </c>
      <c r="G46" s="16" t="s">
        <v>639</v>
      </c>
      <c r="H46" s="16" t="s">
        <v>427</v>
      </c>
      <c r="I46" s="16">
        <v>3</v>
      </c>
    </row>
    <row r="47" spans="2:9">
      <c r="B47" s="16" t="str">
        <f t="shared" si="5"/>
        <v>0x6309</v>
      </c>
      <c r="C47" s="16" t="str">
        <f>"0x"&amp;DEC2HEX(E47,4)</f>
        <v>0x630B</v>
      </c>
      <c r="D47" s="16">
        <f>D46+I46</f>
        <v>25353</v>
      </c>
      <c r="E47" s="16">
        <f>D47+I47-1</f>
        <v>25355</v>
      </c>
      <c r="F47" s="16" t="s">
        <v>1567</v>
      </c>
      <c r="G47" s="16" t="s">
        <v>474</v>
      </c>
      <c r="H47" s="16" t="s">
        <v>427</v>
      </c>
      <c r="I47" s="16">
        <v>3</v>
      </c>
    </row>
    <row r="51" spans="4:4">
      <c r="D51" s="30"/>
    </row>
    <row r="52" spans="4:4">
      <c r="D52" s="30"/>
    </row>
    <row r="53" spans="4:4">
      <c r="D53" s="30"/>
    </row>
    <row r="54" spans="4:4">
      <c r="D54" s="30"/>
    </row>
    <row r="55" spans="4:4">
      <c r="D55" s="30"/>
    </row>
    <row r="56" spans="4:4">
      <c r="D56" s="30"/>
    </row>
    <row r="57" spans="4:4">
      <c r="D57" s="30"/>
    </row>
    <row r="58" spans="4:4">
      <c r="D58" s="30"/>
    </row>
    <row r="59" spans="4:4">
      <c r="D59" s="30"/>
    </row>
    <row r="60" spans="4:4">
      <c r="D60" s="30"/>
    </row>
    <row r="61" spans="4:4">
      <c r="D61" s="30"/>
    </row>
    <row r="62" spans="4:4">
      <c r="D62" s="30"/>
    </row>
  </sheetData>
  <phoneticPr fontId="4" type="noConversion"/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30"/>
  <sheetViews>
    <sheetView workbookViewId="0">
      <pane ySplit="1" topLeftCell="A2" activePane="bottomLeft" state="frozen"/>
      <selection pane="bottomLeft" activeCell="A2" sqref="A2:L14"/>
    </sheetView>
  </sheetViews>
  <sheetFormatPr defaultColWidth="8.7109375" defaultRowHeight="12.75"/>
  <cols>
    <col min="1" max="1" width="28.85546875" style="26" customWidth="1"/>
    <col min="2" max="5" width="8.7109375" style="16"/>
    <col min="6" max="6" width="39.42578125" style="16" customWidth="1"/>
    <col min="7" max="7" width="15.85546875" style="16" customWidth="1"/>
    <col min="8" max="9" width="8.7109375" style="16"/>
    <col min="10" max="10" width="53" style="16" customWidth="1"/>
    <col min="11" max="11" width="12.7109375" style="16" customWidth="1"/>
    <col min="12" max="12" width="18.7109375" style="16" customWidth="1"/>
    <col min="13" max="16384" width="8.7109375" style="16"/>
  </cols>
  <sheetData>
    <row r="1" spans="1:12" s="40" customFormat="1" ht="25.5">
      <c r="A1" s="5" t="s">
        <v>27</v>
      </c>
      <c r="B1" s="5" t="s">
        <v>414</v>
      </c>
      <c r="C1" s="5" t="s">
        <v>415</v>
      </c>
      <c r="D1" s="5" t="s">
        <v>416</v>
      </c>
      <c r="E1" s="5" t="s">
        <v>417</v>
      </c>
      <c r="F1" s="5" t="s">
        <v>418</v>
      </c>
      <c r="G1" s="5" t="s">
        <v>419</v>
      </c>
      <c r="H1" s="5" t="s">
        <v>421</v>
      </c>
      <c r="I1" s="5" t="s">
        <v>420</v>
      </c>
      <c r="J1" s="5" t="s">
        <v>422</v>
      </c>
      <c r="K1" s="5" t="s">
        <v>480</v>
      </c>
      <c r="L1" s="5" t="s">
        <v>481</v>
      </c>
    </row>
    <row r="2" spans="1:12">
      <c r="A2" s="6" t="s">
        <v>1568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</row>
    <row r="3" spans="1:12">
      <c r="A3" s="6"/>
      <c r="B3" s="1" t="str">
        <f t="shared" ref="B3:B14" si="0">"0x"&amp;DEC2HEX(D3,4)</f>
        <v>0x1500</v>
      </c>
      <c r="C3" s="1"/>
      <c r="D3" s="1">
        <v>5376</v>
      </c>
      <c r="E3" s="1"/>
      <c r="F3" s="16" t="s">
        <v>1535</v>
      </c>
      <c r="G3" s="1"/>
      <c r="H3" s="1" t="s">
        <v>471</v>
      </c>
      <c r="I3" s="1">
        <v>1</v>
      </c>
      <c r="J3" s="1" t="s">
        <v>1569</v>
      </c>
      <c r="K3" s="1">
        <v>0</v>
      </c>
      <c r="L3" s="1">
        <v>0</v>
      </c>
    </row>
    <row r="4" spans="1:12">
      <c r="A4" s="6"/>
      <c r="B4" s="1" t="str">
        <f t="shared" si="0"/>
        <v>0x1501</v>
      </c>
      <c r="C4" s="1"/>
      <c r="D4" s="1">
        <f t="shared" ref="D4:D14" si="1">D3+I3</f>
        <v>5377</v>
      </c>
      <c r="E4" s="1"/>
      <c r="F4" s="16" t="s">
        <v>1536</v>
      </c>
      <c r="G4" s="1"/>
      <c r="H4" s="1" t="s">
        <v>471</v>
      </c>
      <c r="I4" s="1">
        <v>1</v>
      </c>
      <c r="J4" s="1" t="s">
        <v>1570</v>
      </c>
      <c r="K4" s="1">
        <v>0</v>
      </c>
      <c r="L4" s="1">
        <v>0</v>
      </c>
    </row>
    <row r="5" spans="1:12" ht="126.75" customHeight="1">
      <c r="A5" s="6"/>
      <c r="B5" s="1" t="str">
        <f t="shared" si="0"/>
        <v>0x1502</v>
      </c>
      <c r="C5" s="1" t="str">
        <f>"0x"&amp;DEC2HEX(E5,4)</f>
        <v>0x1576</v>
      </c>
      <c r="D5" s="1">
        <f t="shared" si="1"/>
        <v>5378</v>
      </c>
      <c r="E5" s="1">
        <f>D5+I5-1</f>
        <v>5494</v>
      </c>
      <c r="F5" s="16" t="s">
        <v>1537</v>
      </c>
      <c r="G5" s="1"/>
      <c r="H5" s="1" t="s">
        <v>471</v>
      </c>
      <c r="I5" s="1">
        <v>117</v>
      </c>
      <c r="J5" s="1" t="s">
        <v>1571</v>
      </c>
      <c r="K5" s="1">
        <v>0</v>
      </c>
      <c r="L5" s="1">
        <v>0</v>
      </c>
    </row>
    <row r="6" spans="1:12" s="21" customFormat="1">
      <c r="A6" s="53"/>
      <c r="B6" s="22" t="str">
        <f t="shared" si="0"/>
        <v>0x1577</v>
      </c>
      <c r="C6" s="22" t="str">
        <f>"0x"&amp;DEC2HEX(E6,4)</f>
        <v>0x15B1</v>
      </c>
      <c r="D6" s="22">
        <f t="shared" si="1"/>
        <v>5495</v>
      </c>
      <c r="E6" s="22">
        <f>D6+I6-1</f>
        <v>5553</v>
      </c>
      <c r="F6" s="22" t="s">
        <v>1572</v>
      </c>
      <c r="G6" s="22"/>
      <c r="H6" s="22" t="s">
        <v>471</v>
      </c>
      <c r="I6" s="22">
        <v>59</v>
      </c>
      <c r="J6" s="22"/>
      <c r="K6" s="22">
        <v>0</v>
      </c>
      <c r="L6" s="22">
        <v>0</v>
      </c>
    </row>
    <row r="7" spans="1:12">
      <c r="A7" s="6"/>
      <c r="B7" s="1" t="str">
        <f t="shared" si="0"/>
        <v>0x15B2</v>
      </c>
      <c r="C7" s="1"/>
      <c r="D7" s="1">
        <f t="shared" si="1"/>
        <v>5554</v>
      </c>
      <c r="E7" s="1"/>
      <c r="F7" s="16" t="s">
        <v>1540</v>
      </c>
      <c r="G7" s="1"/>
      <c r="H7" s="1" t="s">
        <v>471</v>
      </c>
      <c r="I7" s="1">
        <v>1</v>
      </c>
      <c r="J7" s="1" t="s">
        <v>1573</v>
      </c>
      <c r="K7" s="1">
        <v>0</v>
      </c>
      <c r="L7" s="1">
        <v>0</v>
      </c>
    </row>
    <row r="8" spans="1:12" ht="25.5">
      <c r="A8" s="6"/>
      <c r="B8" s="1" t="str">
        <f t="shared" si="0"/>
        <v>0x15B3</v>
      </c>
      <c r="C8" s="1"/>
      <c r="D8" s="1">
        <f t="shared" si="1"/>
        <v>5555</v>
      </c>
      <c r="E8" s="1"/>
      <c r="F8" s="16" t="s">
        <v>1541</v>
      </c>
      <c r="G8" s="1"/>
      <c r="H8" s="1" t="s">
        <v>471</v>
      </c>
      <c r="I8" s="1">
        <v>1</v>
      </c>
      <c r="J8" s="1" t="s">
        <v>1574</v>
      </c>
      <c r="K8" s="1"/>
      <c r="L8" s="1"/>
    </row>
    <row r="9" spans="1:12">
      <c r="A9" s="6"/>
      <c r="B9" s="1" t="str">
        <f t="shared" si="0"/>
        <v>0x15B4</v>
      </c>
      <c r="C9" s="1"/>
      <c r="D9" s="1">
        <f t="shared" si="1"/>
        <v>5556</v>
      </c>
      <c r="E9" s="1"/>
      <c r="F9" s="16" t="s">
        <v>1542</v>
      </c>
      <c r="G9" s="1"/>
      <c r="H9" s="1" t="s">
        <v>471</v>
      </c>
      <c r="I9" s="1">
        <v>1</v>
      </c>
      <c r="J9" s="1" t="s">
        <v>1575</v>
      </c>
      <c r="K9" s="1"/>
      <c r="L9" s="1"/>
    </row>
    <row r="10" spans="1:12">
      <c r="A10" s="6"/>
      <c r="B10" s="1" t="str">
        <f t="shared" si="0"/>
        <v>0x15B5</v>
      </c>
      <c r="C10" s="1"/>
      <c r="D10" s="1">
        <f t="shared" si="1"/>
        <v>5557</v>
      </c>
      <c r="E10" s="1"/>
      <c r="F10" s="16" t="s">
        <v>1543</v>
      </c>
      <c r="G10" s="1"/>
      <c r="H10" s="1" t="s">
        <v>471</v>
      </c>
      <c r="I10" s="1">
        <v>1</v>
      </c>
      <c r="J10" s="1" t="s">
        <v>1576</v>
      </c>
      <c r="K10" s="1"/>
      <c r="L10" s="1"/>
    </row>
    <row r="11" spans="1:12">
      <c r="A11" s="6"/>
      <c r="B11" s="1" t="str">
        <f t="shared" si="0"/>
        <v>0x15B6</v>
      </c>
      <c r="C11" s="1"/>
      <c r="D11" s="1">
        <f t="shared" si="1"/>
        <v>5558</v>
      </c>
      <c r="E11" s="1"/>
      <c r="F11" s="16" t="s">
        <v>1544</v>
      </c>
      <c r="G11" s="1"/>
      <c r="H11" s="1" t="s">
        <v>471</v>
      </c>
      <c r="I11" s="1">
        <v>1</v>
      </c>
      <c r="J11" s="1" t="s">
        <v>1577</v>
      </c>
      <c r="K11" s="1"/>
      <c r="L11" s="1"/>
    </row>
    <row r="12" spans="1:12">
      <c r="A12" s="6"/>
      <c r="B12" s="1" t="str">
        <f t="shared" si="0"/>
        <v>0x15B7</v>
      </c>
      <c r="C12" s="1"/>
      <c r="D12" s="1">
        <f t="shared" si="1"/>
        <v>5559</v>
      </c>
      <c r="E12" s="1"/>
      <c r="F12" s="16" t="s">
        <v>1545</v>
      </c>
      <c r="G12" s="1"/>
      <c r="H12" s="1" t="s">
        <v>471</v>
      </c>
      <c r="I12" s="1">
        <v>1</v>
      </c>
      <c r="J12" s="1" t="s">
        <v>1575</v>
      </c>
      <c r="K12" s="1"/>
      <c r="L12" s="1"/>
    </row>
    <row r="13" spans="1:12">
      <c r="A13" s="6"/>
      <c r="B13" s="1" t="str">
        <f t="shared" si="0"/>
        <v>0x15B8</v>
      </c>
      <c r="C13" s="1"/>
      <c r="D13" s="1">
        <f t="shared" si="1"/>
        <v>5560</v>
      </c>
      <c r="E13" s="1"/>
      <c r="F13" s="16" t="s">
        <v>1546</v>
      </c>
      <c r="G13" s="1"/>
      <c r="H13" s="1" t="s">
        <v>471</v>
      </c>
      <c r="I13" s="1">
        <v>1</v>
      </c>
      <c r="J13" s="1" t="s">
        <v>1576</v>
      </c>
      <c r="K13" s="1"/>
      <c r="L13" s="1"/>
    </row>
    <row r="14" spans="1:12">
      <c r="A14" s="6"/>
      <c r="B14" s="1" t="str">
        <f t="shared" si="0"/>
        <v>0x15B9</v>
      </c>
      <c r="C14" s="1"/>
      <c r="D14" s="1">
        <f t="shared" si="1"/>
        <v>5561</v>
      </c>
      <c r="E14" s="1"/>
      <c r="F14" s="16" t="s">
        <v>1578</v>
      </c>
      <c r="G14" s="1"/>
      <c r="H14" s="1" t="s">
        <v>471</v>
      </c>
      <c r="I14" s="1">
        <v>1</v>
      </c>
      <c r="J14" s="1" t="s">
        <v>1488</v>
      </c>
      <c r="K14" s="1">
        <v>0</v>
      </c>
      <c r="L14" s="1">
        <v>0</v>
      </c>
    </row>
    <row r="15" spans="1:12">
      <c r="A15" s="6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>
      <c r="A16" s="6" t="s">
        <v>1579</v>
      </c>
      <c r="B16" s="125"/>
      <c r="C16" s="125"/>
      <c r="D16" s="125"/>
      <c r="E16" s="125"/>
      <c r="F16" s="125"/>
      <c r="G16" s="125"/>
      <c r="H16" s="125"/>
      <c r="I16" s="125"/>
      <c r="J16" s="125"/>
      <c r="K16" s="125"/>
      <c r="L16" s="125"/>
    </row>
    <row r="17" spans="1:12">
      <c r="A17" s="6"/>
      <c r="B17" s="1" t="str">
        <f>"0x"&amp;DEC2HEX(D17,4)</f>
        <v>0x6400</v>
      </c>
      <c r="C17" s="1"/>
      <c r="D17" s="1">
        <v>25600</v>
      </c>
      <c r="E17" s="1"/>
      <c r="F17" s="16" t="s">
        <v>1551</v>
      </c>
      <c r="G17" s="1"/>
      <c r="H17" s="1" t="s">
        <v>471</v>
      </c>
      <c r="I17" s="1">
        <v>1</v>
      </c>
      <c r="J17" s="1" t="s">
        <v>1580</v>
      </c>
      <c r="K17" s="1">
        <v>0</v>
      </c>
      <c r="L17" s="1">
        <v>0</v>
      </c>
    </row>
    <row r="18" spans="1:12" ht="51">
      <c r="A18" s="6"/>
      <c r="B18" s="1" t="str">
        <f>"0x"&amp;DEC2HEX(D18,4)</f>
        <v>0x6401</v>
      </c>
      <c r="C18" s="1"/>
      <c r="D18" s="1">
        <f>D17+I17</f>
        <v>25601</v>
      </c>
      <c r="E18" s="1"/>
      <c r="F18" s="16" t="s">
        <v>1552</v>
      </c>
      <c r="G18" s="1"/>
      <c r="H18" s="1" t="s">
        <v>471</v>
      </c>
      <c r="I18" s="1">
        <v>1</v>
      </c>
      <c r="J18" s="1" t="s">
        <v>1581</v>
      </c>
      <c r="K18" s="1"/>
      <c r="L18" s="1"/>
    </row>
    <row r="19" spans="1:12" ht="17.25" customHeight="1">
      <c r="A19" s="6"/>
      <c r="B19" s="1" t="str">
        <f>"0x"&amp;DEC2HEX(D19,4)</f>
        <v>0x6402</v>
      </c>
      <c r="C19" s="1" t="str">
        <f>"0x"&amp;DEC2HEX(E19,4)</f>
        <v>0x6403</v>
      </c>
      <c r="D19" s="1">
        <f>D18+I18</f>
        <v>25602</v>
      </c>
      <c r="E19" s="1">
        <f>D19-1+I19</f>
        <v>25603</v>
      </c>
      <c r="F19" s="16" t="s">
        <v>1553</v>
      </c>
      <c r="G19" s="1"/>
      <c r="H19" s="1" t="s">
        <v>471</v>
      </c>
      <c r="I19" s="1">
        <v>2</v>
      </c>
      <c r="J19" s="1"/>
      <c r="K19" s="1"/>
      <c r="L19" s="1"/>
    </row>
    <row r="20" spans="1:12" ht="76.5">
      <c r="A20" s="6"/>
      <c r="B20" s="1" t="str">
        <f>"0x"&amp;DEC2HEX(D20,4)</f>
        <v>0x6404</v>
      </c>
      <c r="C20" s="1" t="str">
        <f>"0x"&amp;DEC2HEX(E20,4)</f>
        <v>0x647E</v>
      </c>
      <c r="D20" s="1">
        <f>D19+I19</f>
        <v>25604</v>
      </c>
      <c r="E20" s="1">
        <f>D20-1+I20</f>
        <v>25726</v>
      </c>
      <c r="F20" s="16" t="s">
        <v>1554</v>
      </c>
      <c r="G20" s="1"/>
      <c r="H20" s="1" t="s">
        <v>427</v>
      </c>
      <c r="I20" s="1">
        <v>123</v>
      </c>
      <c r="J20" s="1" t="s">
        <v>1582</v>
      </c>
      <c r="K20" s="1"/>
      <c r="L20" s="1"/>
    </row>
    <row r="21" spans="1:12">
      <c r="A21" s="6"/>
      <c r="B21" s="1"/>
      <c r="C21" s="1"/>
      <c r="D21" s="1"/>
      <c r="E21" s="1"/>
      <c r="G21" s="1"/>
      <c r="H21" s="1"/>
      <c r="I21" s="1"/>
      <c r="J21" s="1"/>
      <c r="K21" s="1"/>
      <c r="L21" s="1"/>
    </row>
    <row r="22" spans="1:12">
      <c r="A22" s="6" t="s">
        <v>1583</v>
      </c>
      <c r="B22" s="125"/>
      <c r="C22" s="125"/>
      <c r="D22" s="125"/>
      <c r="E22" s="125"/>
      <c r="F22" s="125"/>
      <c r="G22" s="125"/>
      <c r="H22" s="125"/>
      <c r="I22" s="125"/>
      <c r="J22" s="125"/>
      <c r="K22" s="125"/>
      <c r="L22" s="125"/>
    </row>
    <row r="23" spans="1:12">
      <c r="A23" s="6"/>
      <c r="B23" s="1" t="str">
        <f t="shared" ref="B23:B28" si="2">"0x"&amp;DEC2HEX(D23,4)</f>
        <v>0x6500</v>
      </c>
      <c r="C23" s="1" t="str">
        <f>"0x"&amp;DEC2HEX(E23,4)</f>
        <v>0x6501</v>
      </c>
      <c r="D23" s="1">
        <v>25856</v>
      </c>
      <c r="E23" s="1">
        <f>D23+I23-1</f>
        <v>25857</v>
      </c>
      <c r="F23" s="1" t="s">
        <v>1556</v>
      </c>
      <c r="G23" s="1" t="s">
        <v>1151</v>
      </c>
      <c r="H23" s="1" t="s">
        <v>427</v>
      </c>
      <c r="I23" s="1">
        <v>2</v>
      </c>
      <c r="J23" s="1" t="s">
        <v>1584</v>
      </c>
      <c r="K23" s="1"/>
      <c r="L23" s="1"/>
    </row>
    <row r="24" spans="1:12">
      <c r="A24" s="6"/>
      <c r="B24" s="1" t="str">
        <f t="shared" si="2"/>
        <v>0x6502</v>
      </c>
      <c r="C24" s="1" t="str">
        <f>"0x"&amp;DEC2HEX(E24,4)</f>
        <v>0x6503</v>
      </c>
      <c r="D24" s="1">
        <f>D23+I23</f>
        <v>25858</v>
      </c>
      <c r="E24" s="1">
        <f>D24+I24-1</f>
        <v>25859</v>
      </c>
      <c r="F24" s="1" t="s">
        <v>1557</v>
      </c>
      <c r="G24" s="1" t="s">
        <v>1151</v>
      </c>
      <c r="H24" s="1" t="s">
        <v>427</v>
      </c>
      <c r="I24" s="1">
        <v>2</v>
      </c>
      <c r="J24" s="1" t="s">
        <v>1585</v>
      </c>
      <c r="K24" s="1"/>
      <c r="L24" s="1"/>
    </row>
    <row r="25" spans="1:12">
      <c r="A25" s="6"/>
      <c r="B25" s="1" t="str">
        <f t="shared" si="2"/>
        <v>0x6504</v>
      </c>
      <c r="C25" s="1"/>
      <c r="D25" s="1">
        <f>D24+I24</f>
        <v>25860</v>
      </c>
      <c r="E25" s="1"/>
      <c r="F25" s="1" t="s">
        <v>1562</v>
      </c>
      <c r="G25" s="1" t="s">
        <v>639</v>
      </c>
      <c r="H25" s="1" t="s">
        <v>427</v>
      </c>
      <c r="I25" s="1">
        <v>1</v>
      </c>
      <c r="J25" s="1" t="s">
        <v>1586</v>
      </c>
      <c r="K25" s="1"/>
      <c r="L25" s="1"/>
    </row>
    <row r="26" spans="1:12">
      <c r="A26" s="6"/>
      <c r="B26" s="1" t="str">
        <f t="shared" si="2"/>
        <v>0x6505</v>
      </c>
      <c r="C26" s="1"/>
      <c r="D26" s="1">
        <f>D25+I25</f>
        <v>25861</v>
      </c>
      <c r="E26" s="1"/>
      <c r="F26" s="1" t="s">
        <v>1559</v>
      </c>
      <c r="G26" s="1" t="s">
        <v>474</v>
      </c>
      <c r="H26" s="1" t="s">
        <v>427</v>
      </c>
      <c r="I26" s="1">
        <v>1</v>
      </c>
      <c r="J26" s="1"/>
      <c r="K26" s="1"/>
      <c r="L26" s="1"/>
    </row>
    <row r="27" spans="1:12" ht="25.5">
      <c r="A27" s="6"/>
      <c r="B27" s="1" t="str">
        <f t="shared" si="2"/>
        <v>0x6506</v>
      </c>
      <c r="C27" s="1" t="str">
        <f>"0x"&amp;DEC2HEX(E27,4)</f>
        <v>0x6508</v>
      </c>
      <c r="D27" s="1">
        <f>D26+I26</f>
        <v>25862</v>
      </c>
      <c r="E27" s="1">
        <f>D27+I27-1</f>
        <v>25864</v>
      </c>
      <c r="F27" s="1" t="s">
        <v>1560</v>
      </c>
      <c r="G27" s="1" t="s">
        <v>474</v>
      </c>
      <c r="H27" s="1" t="s">
        <v>427</v>
      </c>
      <c r="I27" s="1">
        <v>3</v>
      </c>
      <c r="J27" s="1"/>
      <c r="K27" s="1"/>
      <c r="L27" s="1"/>
    </row>
    <row r="28" spans="1:12" ht="55.5" customHeight="1">
      <c r="A28" s="6"/>
      <c r="B28" s="1" t="str">
        <f t="shared" si="2"/>
        <v>0x6509</v>
      </c>
      <c r="C28" s="1" t="str">
        <f>"0x"&amp;DEC2HEX(E28,4)</f>
        <v>0x650B</v>
      </c>
      <c r="D28" s="1">
        <f>D27+I27</f>
        <v>25865</v>
      </c>
      <c r="E28" s="1">
        <f>D28+I28-1</f>
        <v>25867</v>
      </c>
      <c r="F28" s="1" t="s">
        <v>1587</v>
      </c>
      <c r="G28" s="1"/>
      <c r="H28" s="1" t="s">
        <v>427</v>
      </c>
      <c r="I28" s="1">
        <v>3</v>
      </c>
      <c r="J28" s="1"/>
      <c r="K28" s="1"/>
      <c r="L28" s="1"/>
    </row>
    <row r="30" spans="1:12">
      <c r="A30" s="26" t="s">
        <v>1588</v>
      </c>
      <c r="C30" s="121"/>
      <c r="D30" s="121"/>
      <c r="E30" s="121"/>
      <c r="F30" s="121"/>
      <c r="G30" s="121"/>
      <c r="H30" s="121"/>
      <c r="I30" s="121"/>
    </row>
  </sheetData>
  <mergeCells count="4">
    <mergeCell ref="B2:L2"/>
    <mergeCell ref="B16:L16"/>
    <mergeCell ref="B22:L22"/>
    <mergeCell ref="C30:I30"/>
  </mergeCells>
  <phoneticPr fontId="4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112"/>
  <sheetViews>
    <sheetView workbookViewId="0">
      <pane ySplit="1" topLeftCell="A89" activePane="bottomLeft" state="frozen"/>
      <selection pane="bottomLeft" activeCell="A106" sqref="A106:XFD106"/>
    </sheetView>
  </sheetViews>
  <sheetFormatPr defaultColWidth="9" defaultRowHeight="12.75"/>
  <cols>
    <col min="1" max="1" width="34.85546875" style="16" customWidth="1"/>
    <col min="2" max="2" width="12.7109375" style="16" customWidth="1"/>
    <col min="3" max="5" width="9" style="16"/>
    <col min="6" max="6" width="38.5703125" style="16" customWidth="1"/>
    <col min="7" max="7" width="11.85546875" style="16" customWidth="1"/>
    <col min="8" max="9" width="9" style="16"/>
    <col min="10" max="10" width="18" style="16" customWidth="1"/>
    <col min="11" max="11" width="9" style="16"/>
    <col min="12" max="12" width="20.85546875" style="16" customWidth="1"/>
    <col min="13" max="16384" width="9" style="16"/>
  </cols>
  <sheetData>
    <row r="1" spans="1:12" s="39" customFormat="1">
      <c r="A1" s="39" t="s">
        <v>27</v>
      </c>
      <c r="B1" s="39" t="s">
        <v>414</v>
      </c>
      <c r="C1" s="39" t="s">
        <v>415</v>
      </c>
      <c r="D1" s="39" t="s">
        <v>416</v>
      </c>
      <c r="E1" s="39" t="s">
        <v>417</v>
      </c>
      <c r="F1" s="39" t="s">
        <v>418</v>
      </c>
      <c r="G1" s="39" t="s">
        <v>419</v>
      </c>
      <c r="H1" s="39" t="s">
        <v>421</v>
      </c>
      <c r="I1" s="39" t="s">
        <v>420</v>
      </c>
      <c r="J1" s="39" t="s">
        <v>422</v>
      </c>
      <c r="K1" s="39" t="s">
        <v>480</v>
      </c>
      <c r="L1" s="39" t="s">
        <v>481</v>
      </c>
    </row>
    <row r="2" spans="1:12" s="26" customFormat="1">
      <c r="A2" s="26" t="s">
        <v>159</v>
      </c>
    </row>
    <row r="3" spans="1:12">
      <c r="B3" s="16" t="str">
        <f t="shared" ref="B3:B34" si="0">"0x"&amp;DEC2HEX(D3,4)</f>
        <v>0x4136</v>
      </c>
      <c r="D3" s="16">
        <v>16694</v>
      </c>
      <c r="F3" s="1" t="s">
        <v>1589</v>
      </c>
      <c r="G3" s="16" t="s">
        <v>802</v>
      </c>
      <c r="H3" s="16" t="s">
        <v>427</v>
      </c>
      <c r="I3" s="16">
        <v>1</v>
      </c>
    </row>
    <row r="4" spans="1:12">
      <c r="B4" s="16" t="str">
        <f t="shared" si="0"/>
        <v>0x4137</v>
      </c>
      <c r="C4" s="16" t="str">
        <f>"0x"&amp;DEC2HEX(E4,4)</f>
        <v>0x413C</v>
      </c>
      <c r="D4" s="16">
        <f t="shared" ref="D4:D35" si="1">I3+D3</f>
        <v>16695</v>
      </c>
      <c r="E4" s="16">
        <f>D4+I4-1</f>
        <v>16700</v>
      </c>
      <c r="F4" s="1" t="s">
        <v>1590</v>
      </c>
      <c r="G4" s="16" t="s">
        <v>802</v>
      </c>
      <c r="H4" s="16" t="s">
        <v>427</v>
      </c>
      <c r="I4" s="16">
        <v>6</v>
      </c>
    </row>
    <row r="5" spans="1:12">
      <c r="B5" s="16" t="str">
        <f t="shared" si="0"/>
        <v>0x413D</v>
      </c>
      <c r="D5" s="16">
        <f t="shared" si="1"/>
        <v>16701</v>
      </c>
      <c r="F5" s="1" t="s">
        <v>1591</v>
      </c>
      <c r="G5" s="16" t="s">
        <v>802</v>
      </c>
      <c r="H5" s="16" t="s">
        <v>427</v>
      </c>
      <c r="I5" s="16">
        <v>1</v>
      </c>
    </row>
    <row r="6" spans="1:12">
      <c r="B6" s="16" t="str">
        <f t="shared" si="0"/>
        <v>0x413E</v>
      </c>
      <c r="C6" s="16" t="str">
        <f>"0x"&amp;DEC2HEX(E6,4)</f>
        <v>0x4143</v>
      </c>
      <c r="D6" s="16">
        <f t="shared" si="1"/>
        <v>16702</v>
      </c>
      <c r="E6" s="16">
        <f>D6+I6-1</f>
        <v>16707</v>
      </c>
      <c r="F6" s="1" t="s">
        <v>1592</v>
      </c>
      <c r="G6" s="16" t="s">
        <v>802</v>
      </c>
      <c r="H6" s="16" t="s">
        <v>427</v>
      </c>
      <c r="I6" s="16">
        <v>6</v>
      </c>
    </row>
    <row r="7" spans="1:12">
      <c r="B7" s="16" t="str">
        <f t="shared" si="0"/>
        <v>0x4144</v>
      </c>
      <c r="D7" s="16">
        <f t="shared" si="1"/>
        <v>16708</v>
      </c>
      <c r="F7" s="1" t="s">
        <v>1593</v>
      </c>
      <c r="G7" s="16" t="s">
        <v>802</v>
      </c>
      <c r="H7" s="16" t="s">
        <v>427</v>
      </c>
      <c r="I7" s="16">
        <v>1</v>
      </c>
    </row>
    <row r="8" spans="1:12">
      <c r="B8" s="16" t="str">
        <f t="shared" si="0"/>
        <v>0x4145</v>
      </c>
      <c r="C8" s="16" t="str">
        <f>"0x"&amp;DEC2HEX(E8,4)</f>
        <v>0x414A</v>
      </c>
      <c r="D8" s="16">
        <f t="shared" si="1"/>
        <v>16709</v>
      </c>
      <c r="E8" s="16">
        <f>D8+I8-1</f>
        <v>16714</v>
      </c>
      <c r="F8" s="1" t="s">
        <v>1592</v>
      </c>
      <c r="G8" s="16" t="s">
        <v>802</v>
      </c>
      <c r="H8" s="16" t="s">
        <v>427</v>
      </c>
      <c r="I8" s="16">
        <v>6</v>
      </c>
    </row>
    <row r="9" spans="1:12">
      <c r="B9" s="16" t="str">
        <f t="shared" si="0"/>
        <v>0x414B</v>
      </c>
      <c r="D9" s="16">
        <f t="shared" si="1"/>
        <v>16715</v>
      </c>
      <c r="F9" s="1" t="s">
        <v>1594</v>
      </c>
      <c r="G9" s="16" t="s">
        <v>802</v>
      </c>
      <c r="H9" s="16" t="s">
        <v>427</v>
      </c>
      <c r="I9" s="16">
        <v>1</v>
      </c>
    </row>
    <row r="10" spans="1:12">
      <c r="B10" s="16" t="str">
        <f t="shared" si="0"/>
        <v>0x414C</v>
      </c>
      <c r="C10" s="16" t="str">
        <f>"0x"&amp;DEC2HEX(E10,4)</f>
        <v>0x4151</v>
      </c>
      <c r="D10" s="16">
        <f t="shared" si="1"/>
        <v>16716</v>
      </c>
      <c r="E10" s="16">
        <f>D10+I10-1</f>
        <v>16721</v>
      </c>
      <c r="F10" s="1" t="s">
        <v>1592</v>
      </c>
      <c r="G10" s="16" t="s">
        <v>802</v>
      </c>
      <c r="H10" s="16" t="s">
        <v>427</v>
      </c>
      <c r="I10" s="16">
        <v>6</v>
      </c>
    </row>
    <row r="11" spans="1:12">
      <c r="B11" s="16" t="str">
        <f t="shared" si="0"/>
        <v>0x4152</v>
      </c>
      <c r="D11" s="16">
        <f t="shared" si="1"/>
        <v>16722</v>
      </c>
      <c r="F11" s="1" t="s">
        <v>1595</v>
      </c>
      <c r="G11" s="16" t="s">
        <v>802</v>
      </c>
      <c r="H11" s="16" t="s">
        <v>427</v>
      </c>
      <c r="I11" s="16">
        <v>1</v>
      </c>
    </row>
    <row r="12" spans="1:12">
      <c r="B12" s="16" t="str">
        <f t="shared" si="0"/>
        <v>0x4153</v>
      </c>
      <c r="C12" s="16" t="str">
        <f>"0x"&amp;DEC2HEX(E12,4)</f>
        <v>0x4158</v>
      </c>
      <c r="D12" s="16">
        <f t="shared" si="1"/>
        <v>16723</v>
      </c>
      <c r="E12" s="16">
        <f>D12+I12-1</f>
        <v>16728</v>
      </c>
      <c r="F12" s="1" t="s">
        <v>1592</v>
      </c>
      <c r="G12" s="16" t="s">
        <v>802</v>
      </c>
      <c r="H12" s="16" t="s">
        <v>427</v>
      </c>
      <c r="I12" s="16">
        <v>6</v>
      </c>
    </row>
    <row r="13" spans="1:12">
      <c r="B13" s="16" t="str">
        <f t="shared" si="0"/>
        <v>0x4159</v>
      </c>
      <c r="D13" s="16">
        <f t="shared" si="1"/>
        <v>16729</v>
      </c>
      <c r="F13" s="1" t="s">
        <v>1596</v>
      </c>
      <c r="G13" s="16" t="s">
        <v>802</v>
      </c>
      <c r="H13" s="16" t="s">
        <v>427</v>
      </c>
      <c r="I13" s="16">
        <v>1</v>
      </c>
    </row>
    <row r="14" spans="1:12">
      <c r="B14" s="16" t="str">
        <f t="shared" si="0"/>
        <v>0x415A</v>
      </c>
      <c r="C14" s="16" t="str">
        <f>"0x"&amp;DEC2HEX(E14,4)</f>
        <v>0x415F</v>
      </c>
      <c r="D14" s="16">
        <f t="shared" si="1"/>
        <v>16730</v>
      </c>
      <c r="E14" s="16">
        <f>D14+I14-1</f>
        <v>16735</v>
      </c>
      <c r="F14" s="1" t="s">
        <v>1592</v>
      </c>
      <c r="G14" s="16" t="s">
        <v>802</v>
      </c>
      <c r="H14" s="16" t="s">
        <v>427</v>
      </c>
      <c r="I14" s="16">
        <v>6</v>
      </c>
    </row>
    <row r="15" spans="1:12">
      <c r="B15" s="16" t="str">
        <f t="shared" si="0"/>
        <v>0x4160</v>
      </c>
      <c r="D15" s="16">
        <f t="shared" si="1"/>
        <v>16736</v>
      </c>
      <c r="F15" s="1" t="s">
        <v>1597</v>
      </c>
      <c r="G15" s="16" t="s">
        <v>802</v>
      </c>
      <c r="H15" s="16" t="s">
        <v>427</v>
      </c>
      <c r="I15" s="16">
        <v>1</v>
      </c>
    </row>
    <row r="16" spans="1:12">
      <c r="B16" s="16" t="str">
        <f t="shared" si="0"/>
        <v>0x4161</v>
      </c>
      <c r="C16" s="16" t="str">
        <f>"0x"&amp;DEC2HEX(E16,4)</f>
        <v>0x4166</v>
      </c>
      <c r="D16" s="16">
        <f t="shared" si="1"/>
        <v>16737</v>
      </c>
      <c r="E16" s="16">
        <f>D16+I16-1</f>
        <v>16742</v>
      </c>
      <c r="F16" s="1" t="s">
        <v>1592</v>
      </c>
      <c r="G16" s="16" t="s">
        <v>802</v>
      </c>
      <c r="H16" s="16" t="s">
        <v>427</v>
      </c>
      <c r="I16" s="16">
        <v>6</v>
      </c>
    </row>
    <row r="17" spans="2:9">
      <c r="B17" s="16" t="str">
        <f t="shared" si="0"/>
        <v>0x4167</v>
      </c>
      <c r="D17" s="16">
        <f t="shared" si="1"/>
        <v>16743</v>
      </c>
      <c r="F17" s="1" t="s">
        <v>1598</v>
      </c>
      <c r="G17" s="16" t="s">
        <v>802</v>
      </c>
      <c r="H17" s="16" t="s">
        <v>427</v>
      </c>
      <c r="I17" s="16">
        <v>1</v>
      </c>
    </row>
    <row r="18" spans="2:9">
      <c r="B18" s="16" t="str">
        <f t="shared" si="0"/>
        <v>0x4168</v>
      </c>
      <c r="C18" s="16" t="str">
        <f>"0x"&amp;DEC2HEX(E18,4)</f>
        <v>0x416D</v>
      </c>
      <c r="D18" s="16">
        <f t="shared" si="1"/>
        <v>16744</v>
      </c>
      <c r="E18" s="16">
        <f>D18+I18-1</f>
        <v>16749</v>
      </c>
      <c r="F18" s="1" t="s">
        <v>1592</v>
      </c>
      <c r="G18" s="16" t="s">
        <v>802</v>
      </c>
      <c r="H18" s="16" t="s">
        <v>427</v>
      </c>
      <c r="I18" s="16">
        <v>6</v>
      </c>
    </row>
    <row r="19" spans="2:9">
      <c r="B19" s="16" t="str">
        <f t="shared" si="0"/>
        <v>0x416E</v>
      </c>
      <c r="D19" s="16">
        <f t="shared" si="1"/>
        <v>16750</v>
      </c>
      <c r="F19" s="1" t="s">
        <v>1599</v>
      </c>
      <c r="G19" s="16" t="s">
        <v>802</v>
      </c>
      <c r="H19" s="16" t="s">
        <v>427</v>
      </c>
      <c r="I19" s="16">
        <v>1</v>
      </c>
    </row>
    <row r="20" spans="2:9">
      <c r="B20" s="16" t="str">
        <f t="shared" si="0"/>
        <v>0x416F</v>
      </c>
      <c r="C20" s="16" t="str">
        <f>"0x"&amp;DEC2HEX(E20,4)</f>
        <v>0x4174</v>
      </c>
      <c r="D20" s="16">
        <f t="shared" si="1"/>
        <v>16751</v>
      </c>
      <c r="E20" s="16">
        <f>D20+I20-1</f>
        <v>16756</v>
      </c>
      <c r="F20" s="1" t="s">
        <v>1592</v>
      </c>
      <c r="G20" s="16" t="s">
        <v>802</v>
      </c>
      <c r="H20" s="16" t="s">
        <v>427</v>
      </c>
      <c r="I20" s="16">
        <v>6</v>
      </c>
    </row>
    <row r="21" spans="2:9">
      <c r="B21" s="16" t="str">
        <f t="shared" si="0"/>
        <v>0x4175</v>
      </c>
      <c r="D21" s="16">
        <f t="shared" si="1"/>
        <v>16757</v>
      </c>
      <c r="F21" s="1" t="s">
        <v>1600</v>
      </c>
      <c r="G21" s="16" t="s">
        <v>802</v>
      </c>
      <c r="H21" s="16" t="s">
        <v>427</v>
      </c>
      <c r="I21" s="16">
        <v>1</v>
      </c>
    </row>
    <row r="22" spans="2:9">
      <c r="B22" s="16" t="str">
        <f t="shared" si="0"/>
        <v>0x4176</v>
      </c>
      <c r="C22" s="16" t="str">
        <f>"0x"&amp;DEC2HEX(E22,4)</f>
        <v>0x417B</v>
      </c>
      <c r="D22" s="16">
        <f t="shared" si="1"/>
        <v>16758</v>
      </c>
      <c r="E22" s="16">
        <f>D22+I22-1</f>
        <v>16763</v>
      </c>
      <c r="F22" s="1" t="s">
        <v>1592</v>
      </c>
      <c r="G22" s="16" t="s">
        <v>802</v>
      </c>
      <c r="H22" s="16" t="s">
        <v>427</v>
      </c>
      <c r="I22" s="16">
        <v>6</v>
      </c>
    </row>
    <row r="23" spans="2:9">
      <c r="B23" s="16" t="str">
        <f t="shared" si="0"/>
        <v>0x417C</v>
      </c>
      <c r="D23" s="16">
        <f t="shared" si="1"/>
        <v>16764</v>
      </c>
      <c r="F23" s="1" t="s">
        <v>1601</v>
      </c>
      <c r="G23" s="16" t="s">
        <v>802</v>
      </c>
      <c r="H23" s="16" t="s">
        <v>427</v>
      </c>
      <c r="I23" s="16">
        <v>1</v>
      </c>
    </row>
    <row r="24" spans="2:9">
      <c r="B24" s="16" t="str">
        <f t="shared" si="0"/>
        <v>0x417D</v>
      </c>
      <c r="C24" s="16" t="str">
        <f>"0x"&amp;DEC2HEX(E24,4)</f>
        <v>0x4182</v>
      </c>
      <c r="D24" s="16">
        <f t="shared" si="1"/>
        <v>16765</v>
      </c>
      <c r="E24" s="16">
        <f>D24+I24-1</f>
        <v>16770</v>
      </c>
      <c r="F24" s="1" t="s">
        <v>1592</v>
      </c>
      <c r="G24" s="16" t="s">
        <v>802</v>
      </c>
      <c r="H24" s="16" t="s">
        <v>427</v>
      </c>
      <c r="I24" s="16">
        <v>6</v>
      </c>
    </row>
    <row r="25" spans="2:9">
      <c r="B25" s="16" t="str">
        <f t="shared" si="0"/>
        <v>0x4183</v>
      </c>
      <c r="D25" s="16">
        <f t="shared" si="1"/>
        <v>16771</v>
      </c>
      <c r="F25" s="1" t="s">
        <v>1602</v>
      </c>
      <c r="G25" s="16" t="s">
        <v>802</v>
      </c>
      <c r="H25" s="16" t="s">
        <v>427</v>
      </c>
      <c r="I25" s="16">
        <v>1</v>
      </c>
    </row>
    <row r="26" spans="2:9">
      <c r="B26" s="16" t="str">
        <f t="shared" si="0"/>
        <v>0x4184</v>
      </c>
      <c r="C26" s="16" t="str">
        <f>"0x"&amp;DEC2HEX(E26,4)</f>
        <v>0x4189</v>
      </c>
      <c r="D26" s="16">
        <f t="shared" si="1"/>
        <v>16772</v>
      </c>
      <c r="E26" s="16">
        <f>D26+I26-1</f>
        <v>16777</v>
      </c>
      <c r="F26" s="1" t="s">
        <v>1592</v>
      </c>
      <c r="G26" s="16" t="s">
        <v>802</v>
      </c>
      <c r="H26" s="16" t="s">
        <v>427</v>
      </c>
      <c r="I26" s="16">
        <v>6</v>
      </c>
    </row>
    <row r="27" spans="2:9">
      <c r="B27" s="16" t="str">
        <f t="shared" si="0"/>
        <v>0x418A</v>
      </c>
      <c r="D27" s="16">
        <f t="shared" si="1"/>
        <v>16778</v>
      </c>
      <c r="F27" s="1" t="s">
        <v>1603</v>
      </c>
      <c r="G27" s="16" t="s">
        <v>802</v>
      </c>
      <c r="H27" s="16" t="s">
        <v>427</v>
      </c>
      <c r="I27" s="16">
        <v>1</v>
      </c>
    </row>
    <row r="28" spans="2:9">
      <c r="B28" s="16" t="str">
        <f t="shared" si="0"/>
        <v>0x418B</v>
      </c>
      <c r="C28" s="16" t="str">
        <f>"0x"&amp;DEC2HEX(E28,4)</f>
        <v>0x4190</v>
      </c>
      <c r="D28" s="16">
        <f t="shared" si="1"/>
        <v>16779</v>
      </c>
      <c r="E28" s="16">
        <f>D28+I28-1</f>
        <v>16784</v>
      </c>
      <c r="F28" s="1" t="s">
        <v>1592</v>
      </c>
      <c r="G28" s="16" t="s">
        <v>802</v>
      </c>
      <c r="H28" s="16" t="s">
        <v>427</v>
      </c>
      <c r="I28" s="16">
        <v>6</v>
      </c>
    </row>
    <row r="29" spans="2:9">
      <c r="B29" s="16" t="str">
        <f t="shared" si="0"/>
        <v>0x4191</v>
      </c>
      <c r="D29" s="16">
        <f t="shared" si="1"/>
        <v>16785</v>
      </c>
      <c r="F29" s="1" t="s">
        <v>1604</v>
      </c>
      <c r="G29" s="16" t="s">
        <v>802</v>
      </c>
      <c r="H29" s="16" t="s">
        <v>427</v>
      </c>
      <c r="I29" s="16">
        <v>1</v>
      </c>
    </row>
    <row r="30" spans="2:9">
      <c r="B30" s="16" t="str">
        <f t="shared" si="0"/>
        <v>0x4192</v>
      </c>
      <c r="C30" s="16" t="str">
        <f>"0x"&amp;DEC2HEX(E30,4)</f>
        <v>0x4197</v>
      </c>
      <c r="D30" s="16">
        <f t="shared" si="1"/>
        <v>16786</v>
      </c>
      <c r="E30" s="16">
        <f>D30+I30-1</f>
        <v>16791</v>
      </c>
      <c r="F30" s="1" t="s">
        <v>1592</v>
      </c>
      <c r="G30" s="16" t="s">
        <v>802</v>
      </c>
      <c r="H30" s="16" t="s">
        <v>427</v>
      </c>
      <c r="I30" s="16">
        <v>6</v>
      </c>
    </row>
    <row r="31" spans="2:9">
      <c r="B31" s="16" t="str">
        <f t="shared" si="0"/>
        <v>0x4198</v>
      </c>
      <c r="D31" s="16">
        <f t="shared" si="1"/>
        <v>16792</v>
      </c>
      <c r="F31" s="1" t="s">
        <v>1605</v>
      </c>
      <c r="G31" s="16" t="s">
        <v>802</v>
      </c>
      <c r="H31" s="16" t="s">
        <v>427</v>
      </c>
      <c r="I31" s="16">
        <v>1</v>
      </c>
    </row>
    <row r="32" spans="2:9">
      <c r="B32" s="16" t="str">
        <f t="shared" si="0"/>
        <v>0x4199</v>
      </c>
      <c r="C32" s="16" t="str">
        <f>"0x"&amp;DEC2HEX(E32,4)</f>
        <v>0x419E</v>
      </c>
      <c r="D32" s="16">
        <f t="shared" si="1"/>
        <v>16793</v>
      </c>
      <c r="E32" s="16">
        <f>D32+I32-1</f>
        <v>16798</v>
      </c>
      <c r="F32" s="1" t="s">
        <v>1592</v>
      </c>
      <c r="G32" s="16" t="s">
        <v>802</v>
      </c>
      <c r="H32" s="16" t="s">
        <v>427</v>
      </c>
      <c r="I32" s="16">
        <v>6</v>
      </c>
    </row>
    <row r="33" spans="2:9">
      <c r="B33" s="16" t="str">
        <f t="shared" si="0"/>
        <v>0x419F</v>
      </c>
      <c r="D33" s="16">
        <f t="shared" si="1"/>
        <v>16799</v>
      </c>
      <c r="F33" s="1" t="s">
        <v>1606</v>
      </c>
      <c r="G33" s="16" t="s">
        <v>802</v>
      </c>
      <c r="H33" s="16" t="s">
        <v>427</v>
      </c>
      <c r="I33" s="16">
        <v>1</v>
      </c>
    </row>
    <row r="34" spans="2:9">
      <c r="B34" s="16" t="str">
        <f t="shared" si="0"/>
        <v>0x41A0</v>
      </c>
      <c r="C34" s="16" t="str">
        <f>"0x"&amp;DEC2HEX(E34,4)</f>
        <v>0x41A5</v>
      </c>
      <c r="D34" s="16">
        <f t="shared" si="1"/>
        <v>16800</v>
      </c>
      <c r="E34" s="16">
        <f>D34+I34-1</f>
        <v>16805</v>
      </c>
      <c r="F34" s="1" t="s">
        <v>1592</v>
      </c>
      <c r="G34" s="16" t="s">
        <v>802</v>
      </c>
      <c r="H34" s="16" t="s">
        <v>427</v>
      </c>
      <c r="I34" s="16">
        <v>6</v>
      </c>
    </row>
    <row r="35" spans="2:9">
      <c r="B35" s="16" t="str">
        <f t="shared" ref="B35:B52" si="2">"0x"&amp;DEC2HEX(D35,4)</f>
        <v>0x41A6</v>
      </c>
      <c r="D35" s="16">
        <f t="shared" si="1"/>
        <v>16806</v>
      </c>
      <c r="F35" s="1" t="s">
        <v>1607</v>
      </c>
      <c r="G35" s="16" t="s">
        <v>802</v>
      </c>
      <c r="H35" s="16" t="s">
        <v>427</v>
      </c>
      <c r="I35" s="16">
        <v>1</v>
      </c>
    </row>
    <row r="36" spans="2:9">
      <c r="B36" s="16" t="str">
        <f t="shared" si="2"/>
        <v>0x41A7</v>
      </c>
      <c r="C36" s="16" t="str">
        <f>"0x"&amp;DEC2HEX(E36,4)</f>
        <v>0x41AC</v>
      </c>
      <c r="D36" s="16">
        <f t="shared" ref="D36:D52" si="3">I35+D35</f>
        <v>16807</v>
      </c>
      <c r="E36" s="16">
        <f>D36+I36-1</f>
        <v>16812</v>
      </c>
      <c r="F36" s="1" t="s">
        <v>1592</v>
      </c>
      <c r="G36" s="16" t="s">
        <v>802</v>
      </c>
      <c r="H36" s="16" t="s">
        <v>427</v>
      </c>
      <c r="I36" s="16">
        <v>6</v>
      </c>
    </row>
    <row r="37" spans="2:9">
      <c r="B37" s="16" t="str">
        <f t="shared" si="2"/>
        <v>0x41AD</v>
      </c>
      <c r="D37" s="16">
        <f t="shared" si="3"/>
        <v>16813</v>
      </c>
      <c r="F37" s="1" t="s">
        <v>1608</v>
      </c>
      <c r="G37" s="16" t="s">
        <v>802</v>
      </c>
      <c r="H37" s="16" t="s">
        <v>427</v>
      </c>
      <c r="I37" s="16">
        <v>1</v>
      </c>
    </row>
    <row r="38" spans="2:9">
      <c r="B38" s="16" t="str">
        <f t="shared" si="2"/>
        <v>0x41AE</v>
      </c>
      <c r="C38" s="16" t="str">
        <f>"0x"&amp;DEC2HEX(E38,4)</f>
        <v>0x41B3</v>
      </c>
      <c r="D38" s="16">
        <f t="shared" si="3"/>
        <v>16814</v>
      </c>
      <c r="E38" s="16">
        <f>D38+I38-1</f>
        <v>16819</v>
      </c>
      <c r="F38" s="1" t="s">
        <v>1592</v>
      </c>
      <c r="G38" s="16" t="s">
        <v>802</v>
      </c>
      <c r="H38" s="16" t="s">
        <v>427</v>
      </c>
      <c r="I38" s="16">
        <v>6</v>
      </c>
    </row>
    <row r="39" spans="2:9">
      <c r="B39" s="16" t="str">
        <f t="shared" si="2"/>
        <v>0x41B4</v>
      </c>
      <c r="D39" s="16">
        <f t="shared" si="3"/>
        <v>16820</v>
      </c>
      <c r="F39" s="1" t="s">
        <v>1609</v>
      </c>
      <c r="G39" s="16" t="s">
        <v>802</v>
      </c>
      <c r="H39" s="16" t="s">
        <v>427</v>
      </c>
      <c r="I39" s="16">
        <v>1</v>
      </c>
    </row>
    <row r="40" spans="2:9">
      <c r="B40" s="16" t="str">
        <f t="shared" si="2"/>
        <v>0x41B5</v>
      </c>
      <c r="C40" s="16" t="str">
        <f>"0x"&amp;DEC2HEX(E40,4)</f>
        <v>0x41BA</v>
      </c>
      <c r="D40" s="16">
        <f t="shared" si="3"/>
        <v>16821</v>
      </c>
      <c r="E40" s="16">
        <f>D40+I40-1</f>
        <v>16826</v>
      </c>
      <c r="F40" s="1" t="s">
        <v>1592</v>
      </c>
      <c r="G40" s="16" t="s">
        <v>802</v>
      </c>
      <c r="H40" s="16" t="s">
        <v>427</v>
      </c>
      <c r="I40" s="16">
        <v>6</v>
      </c>
    </row>
    <row r="41" spans="2:9">
      <c r="B41" s="16" t="str">
        <f t="shared" si="2"/>
        <v>0x41BB</v>
      </c>
      <c r="D41" s="16">
        <f t="shared" si="3"/>
        <v>16827</v>
      </c>
      <c r="F41" s="1" t="s">
        <v>1610</v>
      </c>
      <c r="G41" s="16" t="s">
        <v>802</v>
      </c>
      <c r="H41" s="16" t="s">
        <v>427</v>
      </c>
      <c r="I41" s="16">
        <v>1</v>
      </c>
    </row>
    <row r="42" spans="2:9">
      <c r="B42" s="16" t="str">
        <f t="shared" si="2"/>
        <v>0x41BC</v>
      </c>
      <c r="C42" s="16" t="str">
        <f>"0x"&amp;DEC2HEX(E42,4)</f>
        <v>0x41C1</v>
      </c>
      <c r="D42" s="16">
        <f t="shared" si="3"/>
        <v>16828</v>
      </c>
      <c r="E42" s="16">
        <f>D42+I42-1</f>
        <v>16833</v>
      </c>
      <c r="F42" s="1" t="s">
        <v>1592</v>
      </c>
      <c r="G42" s="16" t="s">
        <v>802</v>
      </c>
      <c r="H42" s="16" t="s">
        <v>427</v>
      </c>
      <c r="I42" s="16">
        <v>6</v>
      </c>
    </row>
    <row r="43" spans="2:9">
      <c r="B43" s="16" t="str">
        <f t="shared" si="2"/>
        <v>0x41C2</v>
      </c>
      <c r="D43" s="16">
        <f t="shared" si="3"/>
        <v>16834</v>
      </c>
      <c r="F43" s="1" t="s">
        <v>1611</v>
      </c>
      <c r="G43" s="16" t="s">
        <v>802</v>
      </c>
      <c r="H43" s="16" t="s">
        <v>427</v>
      </c>
      <c r="I43" s="16">
        <v>1</v>
      </c>
    </row>
    <row r="44" spans="2:9">
      <c r="B44" s="16" t="str">
        <f t="shared" si="2"/>
        <v>0x41C3</v>
      </c>
      <c r="C44" s="16" t="str">
        <f>"0x"&amp;DEC2HEX(E44,4)</f>
        <v>0x41C8</v>
      </c>
      <c r="D44" s="16">
        <f t="shared" si="3"/>
        <v>16835</v>
      </c>
      <c r="E44" s="16">
        <f>D44+I44-1</f>
        <v>16840</v>
      </c>
      <c r="F44" s="1" t="s">
        <v>1592</v>
      </c>
      <c r="G44" s="16" t="s">
        <v>802</v>
      </c>
      <c r="H44" s="16" t="s">
        <v>427</v>
      </c>
      <c r="I44" s="16">
        <v>6</v>
      </c>
    </row>
    <row r="45" spans="2:9">
      <c r="B45" s="16" t="str">
        <f t="shared" si="2"/>
        <v>0x41C9</v>
      </c>
      <c r="D45" s="16">
        <f t="shared" si="3"/>
        <v>16841</v>
      </c>
      <c r="F45" s="1" t="s">
        <v>1612</v>
      </c>
      <c r="G45" s="16" t="s">
        <v>802</v>
      </c>
      <c r="H45" s="16" t="s">
        <v>427</v>
      </c>
      <c r="I45" s="16">
        <v>1</v>
      </c>
    </row>
    <row r="46" spans="2:9">
      <c r="B46" s="16" t="str">
        <f t="shared" si="2"/>
        <v>0x41CA</v>
      </c>
      <c r="C46" s="16" t="str">
        <f>"0x"&amp;DEC2HEX(E46,4)</f>
        <v>0x41CF</v>
      </c>
      <c r="D46" s="16">
        <f t="shared" si="3"/>
        <v>16842</v>
      </c>
      <c r="E46" s="16">
        <f>D46+I46-1</f>
        <v>16847</v>
      </c>
      <c r="F46" s="1" t="s">
        <v>1592</v>
      </c>
      <c r="G46" s="16" t="s">
        <v>802</v>
      </c>
      <c r="H46" s="16" t="s">
        <v>427</v>
      </c>
      <c r="I46" s="16">
        <v>6</v>
      </c>
    </row>
    <row r="47" spans="2:9">
      <c r="B47" s="16" t="str">
        <f t="shared" si="2"/>
        <v>0x41D0</v>
      </c>
      <c r="D47" s="16">
        <f t="shared" si="3"/>
        <v>16848</v>
      </c>
      <c r="F47" s="1" t="s">
        <v>1613</v>
      </c>
      <c r="G47" s="16" t="s">
        <v>802</v>
      </c>
      <c r="H47" s="16" t="s">
        <v>427</v>
      </c>
      <c r="I47" s="16">
        <v>1</v>
      </c>
    </row>
    <row r="48" spans="2:9">
      <c r="B48" s="16" t="str">
        <f t="shared" si="2"/>
        <v>0x41D1</v>
      </c>
      <c r="C48" s="16" t="str">
        <f>"0x"&amp;DEC2HEX(E48,4)</f>
        <v>0x41D6</v>
      </c>
      <c r="D48" s="16">
        <f t="shared" si="3"/>
        <v>16849</v>
      </c>
      <c r="E48" s="16">
        <f>D48+I48-1</f>
        <v>16854</v>
      </c>
      <c r="F48" s="1" t="s">
        <v>1592</v>
      </c>
      <c r="G48" s="16" t="s">
        <v>802</v>
      </c>
      <c r="H48" s="16" t="s">
        <v>427</v>
      </c>
      <c r="I48" s="16">
        <v>6</v>
      </c>
    </row>
    <row r="49" spans="1:9">
      <c r="B49" s="16" t="str">
        <f t="shared" si="2"/>
        <v>0x41D7</v>
      </c>
      <c r="D49" s="16">
        <f t="shared" si="3"/>
        <v>16855</v>
      </c>
      <c r="F49" s="1" t="s">
        <v>1614</v>
      </c>
      <c r="G49" s="16" t="s">
        <v>802</v>
      </c>
      <c r="H49" s="16" t="s">
        <v>427</v>
      </c>
      <c r="I49" s="16">
        <v>1</v>
      </c>
    </row>
    <row r="50" spans="1:9">
      <c r="B50" s="16" t="str">
        <f t="shared" si="2"/>
        <v>0x41D8</v>
      </c>
      <c r="C50" s="16" t="str">
        <f>"0x"&amp;DEC2HEX(E50,4)</f>
        <v>0x41DD</v>
      </c>
      <c r="D50" s="16">
        <f t="shared" si="3"/>
        <v>16856</v>
      </c>
      <c r="E50" s="16">
        <f>D50+I50-1</f>
        <v>16861</v>
      </c>
      <c r="F50" s="1" t="s">
        <v>1592</v>
      </c>
      <c r="G50" s="16" t="s">
        <v>802</v>
      </c>
      <c r="H50" s="16" t="s">
        <v>427</v>
      </c>
      <c r="I50" s="16">
        <v>6</v>
      </c>
    </row>
    <row r="51" spans="1:9">
      <c r="B51" s="16" t="str">
        <f t="shared" si="2"/>
        <v>0x41DE</v>
      </c>
      <c r="D51" s="16">
        <f t="shared" si="3"/>
        <v>16862</v>
      </c>
      <c r="F51" s="1" t="s">
        <v>1615</v>
      </c>
      <c r="G51" s="16" t="s">
        <v>802</v>
      </c>
      <c r="H51" s="16" t="s">
        <v>427</v>
      </c>
      <c r="I51" s="16">
        <v>1</v>
      </c>
    </row>
    <row r="52" spans="1:9">
      <c r="B52" s="16" t="str">
        <f t="shared" si="2"/>
        <v>0x41DF</v>
      </c>
      <c r="C52" s="16" t="str">
        <f>"0x"&amp;DEC2HEX(E52,4)</f>
        <v>0x41E4</v>
      </c>
      <c r="D52" s="16">
        <f t="shared" si="3"/>
        <v>16863</v>
      </c>
      <c r="E52" s="16">
        <f>D52+I52-1</f>
        <v>16868</v>
      </c>
      <c r="F52" s="1" t="s">
        <v>1592</v>
      </c>
      <c r="G52" s="16" t="s">
        <v>802</v>
      </c>
      <c r="H52" s="16" t="s">
        <v>427</v>
      </c>
      <c r="I52" s="16">
        <v>6</v>
      </c>
    </row>
    <row r="54" spans="1:9" s="26" customFormat="1">
      <c r="A54" s="26" t="s">
        <v>163</v>
      </c>
    </row>
    <row r="55" spans="1:9">
      <c r="B55" s="16" t="str">
        <f t="shared" ref="B55:B86" si="4">"0x"&amp;DEC2HEX(D55,4)</f>
        <v>0x41E5</v>
      </c>
      <c r="D55" s="16">
        <v>16869</v>
      </c>
      <c r="F55" s="1" t="s">
        <v>1616</v>
      </c>
      <c r="G55" s="16" t="s">
        <v>802</v>
      </c>
      <c r="H55" s="16" t="s">
        <v>427</v>
      </c>
      <c r="I55" s="16">
        <v>1</v>
      </c>
    </row>
    <row r="56" spans="1:9">
      <c r="B56" s="16" t="str">
        <f t="shared" si="4"/>
        <v>0x41E6</v>
      </c>
      <c r="C56" s="16" t="str">
        <f>"0x"&amp;DEC2HEX(E56,4)</f>
        <v>0x41EB</v>
      </c>
      <c r="D56" s="16">
        <f t="shared" ref="D56:D87" si="5">I55+D55</f>
        <v>16870</v>
      </c>
      <c r="E56" s="16">
        <f>D56+I56-1</f>
        <v>16875</v>
      </c>
      <c r="F56" s="1" t="s">
        <v>1592</v>
      </c>
      <c r="G56" s="16" t="s">
        <v>802</v>
      </c>
      <c r="H56" s="16" t="s">
        <v>427</v>
      </c>
      <c r="I56" s="16">
        <v>6</v>
      </c>
    </row>
    <row r="57" spans="1:9">
      <c r="B57" s="16" t="str">
        <f t="shared" si="4"/>
        <v>0x41EC</v>
      </c>
      <c r="D57" s="16">
        <f t="shared" si="5"/>
        <v>16876</v>
      </c>
      <c r="F57" s="1" t="s">
        <v>1617</v>
      </c>
      <c r="G57" s="16" t="s">
        <v>802</v>
      </c>
      <c r="H57" s="16" t="s">
        <v>427</v>
      </c>
      <c r="I57" s="16">
        <v>1</v>
      </c>
    </row>
    <row r="58" spans="1:9">
      <c r="B58" s="16" t="str">
        <f t="shared" si="4"/>
        <v>0x41ED</v>
      </c>
      <c r="C58" s="16" t="str">
        <f>"0x"&amp;DEC2HEX(E58,4)</f>
        <v>0x41F2</v>
      </c>
      <c r="D58" s="16">
        <f t="shared" si="5"/>
        <v>16877</v>
      </c>
      <c r="E58" s="16">
        <f>D58+I58-1</f>
        <v>16882</v>
      </c>
      <c r="F58" s="1" t="s">
        <v>1592</v>
      </c>
      <c r="G58" s="16" t="s">
        <v>802</v>
      </c>
      <c r="H58" s="16" t="s">
        <v>427</v>
      </c>
      <c r="I58" s="16">
        <v>6</v>
      </c>
    </row>
    <row r="59" spans="1:9">
      <c r="B59" s="16" t="str">
        <f t="shared" si="4"/>
        <v>0x41F3</v>
      </c>
      <c r="D59" s="16">
        <f t="shared" si="5"/>
        <v>16883</v>
      </c>
      <c r="F59" s="1" t="s">
        <v>1618</v>
      </c>
      <c r="G59" s="16" t="s">
        <v>802</v>
      </c>
      <c r="H59" s="16" t="s">
        <v>427</v>
      </c>
      <c r="I59" s="16">
        <v>1</v>
      </c>
    </row>
    <row r="60" spans="1:9">
      <c r="B60" s="16" t="str">
        <f t="shared" si="4"/>
        <v>0x41F4</v>
      </c>
      <c r="C60" s="16" t="str">
        <f>"0x"&amp;DEC2HEX(E60,4)</f>
        <v>0x41F9</v>
      </c>
      <c r="D60" s="16">
        <f t="shared" si="5"/>
        <v>16884</v>
      </c>
      <c r="E60" s="16">
        <f>D60+I60-1</f>
        <v>16889</v>
      </c>
      <c r="F60" s="1" t="s">
        <v>1592</v>
      </c>
      <c r="G60" s="16" t="s">
        <v>802</v>
      </c>
      <c r="H60" s="16" t="s">
        <v>427</v>
      </c>
      <c r="I60" s="16">
        <v>6</v>
      </c>
    </row>
    <row r="61" spans="1:9">
      <c r="B61" s="16" t="str">
        <f t="shared" si="4"/>
        <v>0x41FA</v>
      </c>
      <c r="D61" s="16">
        <f t="shared" si="5"/>
        <v>16890</v>
      </c>
      <c r="F61" s="1" t="s">
        <v>1619</v>
      </c>
      <c r="G61" s="16" t="s">
        <v>802</v>
      </c>
      <c r="H61" s="16" t="s">
        <v>427</v>
      </c>
      <c r="I61" s="16">
        <v>1</v>
      </c>
    </row>
    <row r="62" spans="1:9">
      <c r="B62" s="16" t="str">
        <f t="shared" si="4"/>
        <v>0x41FB</v>
      </c>
      <c r="C62" s="16" t="str">
        <f>"0x"&amp;DEC2HEX(E62,4)</f>
        <v>0x4200</v>
      </c>
      <c r="D62" s="16">
        <f t="shared" si="5"/>
        <v>16891</v>
      </c>
      <c r="E62" s="16">
        <f>D62+I62-1</f>
        <v>16896</v>
      </c>
      <c r="F62" s="1" t="s">
        <v>1592</v>
      </c>
      <c r="G62" s="16" t="s">
        <v>802</v>
      </c>
      <c r="H62" s="16" t="s">
        <v>427</v>
      </c>
      <c r="I62" s="16">
        <v>6</v>
      </c>
    </row>
    <row r="63" spans="1:9">
      <c r="B63" s="16" t="str">
        <f t="shared" si="4"/>
        <v>0x4201</v>
      </c>
      <c r="D63" s="16">
        <f t="shared" si="5"/>
        <v>16897</v>
      </c>
      <c r="F63" s="1" t="s">
        <v>1620</v>
      </c>
      <c r="G63" s="16" t="s">
        <v>802</v>
      </c>
      <c r="H63" s="16" t="s">
        <v>427</v>
      </c>
      <c r="I63" s="16">
        <v>1</v>
      </c>
    </row>
    <row r="64" spans="1:9">
      <c r="B64" s="16" t="str">
        <f t="shared" si="4"/>
        <v>0x4202</v>
      </c>
      <c r="C64" s="16" t="str">
        <f>"0x"&amp;DEC2HEX(E64,4)</f>
        <v>0x4207</v>
      </c>
      <c r="D64" s="16">
        <f t="shared" si="5"/>
        <v>16898</v>
      </c>
      <c r="E64" s="16">
        <f>D64+I64-1</f>
        <v>16903</v>
      </c>
      <c r="F64" s="1" t="s">
        <v>1592</v>
      </c>
      <c r="G64" s="16" t="s">
        <v>802</v>
      </c>
      <c r="H64" s="16" t="s">
        <v>427</v>
      </c>
      <c r="I64" s="16">
        <v>6</v>
      </c>
    </row>
    <row r="65" spans="2:9">
      <c r="B65" s="16" t="str">
        <f t="shared" si="4"/>
        <v>0x4208</v>
      </c>
      <c r="D65" s="16">
        <f t="shared" si="5"/>
        <v>16904</v>
      </c>
      <c r="F65" s="1" t="s">
        <v>1621</v>
      </c>
      <c r="G65" s="16" t="s">
        <v>802</v>
      </c>
      <c r="H65" s="16" t="s">
        <v>427</v>
      </c>
      <c r="I65" s="16">
        <v>1</v>
      </c>
    </row>
    <row r="66" spans="2:9">
      <c r="B66" s="16" t="str">
        <f t="shared" si="4"/>
        <v>0x4209</v>
      </c>
      <c r="C66" s="16" t="str">
        <f>"0x"&amp;DEC2HEX(E66,4)</f>
        <v>0x420E</v>
      </c>
      <c r="D66" s="16">
        <f t="shared" si="5"/>
        <v>16905</v>
      </c>
      <c r="E66" s="16">
        <f>D66+I66-1</f>
        <v>16910</v>
      </c>
      <c r="F66" s="1" t="s">
        <v>1592</v>
      </c>
      <c r="G66" s="16" t="s">
        <v>802</v>
      </c>
      <c r="H66" s="16" t="s">
        <v>427</v>
      </c>
      <c r="I66" s="16">
        <v>6</v>
      </c>
    </row>
    <row r="67" spans="2:9">
      <c r="B67" s="16" t="str">
        <f t="shared" si="4"/>
        <v>0x420F</v>
      </c>
      <c r="D67" s="16">
        <f t="shared" si="5"/>
        <v>16911</v>
      </c>
      <c r="F67" s="1" t="s">
        <v>1622</v>
      </c>
      <c r="G67" s="16" t="s">
        <v>802</v>
      </c>
      <c r="H67" s="16" t="s">
        <v>427</v>
      </c>
      <c r="I67" s="16">
        <v>1</v>
      </c>
    </row>
    <row r="68" spans="2:9">
      <c r="B68" s="16" t="str">
        <f t="shared" si="4"/>
        <v>0x4210</v>
      </c>
      <c r="C68" s="16" t="str">
        <f>"0x"&amp;DEC2HEX(E68,4)</f>
        <v>0x4215</v>
      </c>
      <c r="D68" s="16">
        <f t="shared" si="5"/>
        <v>16912</v>
      </c>
      <c r="E68" s="16">
        <f>D68+I68-1</f>
        <v>16917</v>
      </c>
      <c r="F68" s="1" t="s">
        <v>1592</v>
      </c>
      <c r="G68" s="16" t="s">
        <v>802</v>
      </c>
      <c r="H68" s="16" t="s">
        <v>427</v>
      </c>
      <c r="I68" s="16">
        <v>6</v>
      </c>
    </row>
    <row r="69" spans="2:9">
      <c r="B69" s="16" t="str">
        <f t="shared" si="4"/>
        <v>0x4216</v>
      </c>
      <c r="D69" s="16">
        <f t="shared" si="5"/>
        <v>16918</v>
      </c>
      <c r="F69" s="1" t="s">
        <v>1623</v>
      </c>
      <c r="G69" s="16" t="s">
        <v>802</v>
      </c>
      <c r="H69" s="16" t="s">
        <v>427</v>
      </c>
      <c r="I69" s="16">
        <v>1</v>
      </c>
    </row>
    <row r="70" spans="2:9">
      <c r="B70" s="16" t="str">
        <f t="shared" si="4"/>
        <v>0x4217</v>
      </c>
      <c r="C70" s="16" t="str">
        <f>"0x"&amp;DEC2HEX(E70,4)</f>
        <v>0x421C</v>
      </c>
      <c r="D70" s="16">
        <f t="shared" si="5"/>
        <v>16919</v>
      </c>
      <c r="E70" s="16">
        <f>D70+I70-1</f>
        <v>16924</v>
      </c>
      <c r="F70" s="1" t="s">
        <v>1592</v>
      </c>
      <c r="G70" s="16" t="s">
        <v>802</v>
      </c>
      <c r="H70" s="16" t="s">
        <v>427</v>
      </c>
      <c r="I70" s="16">
        <v>6</v>
      </c>
    </row>
    <row r="71" spans="2:9">
      <c r="B71" s="16" t="str">
        <f t="shared" si="4"/>
        <v>0x421D</v>
      </c>
      <c r="D71" s="16">
        <f t="shared" si="5"/>
        <v>16925</v>
      </c>
      <c r="F71" s="1" t="s">
        <v>1624</v>
      </c>
      <c r="G71" s="16" t="s">
        <v>802</v>
      </c>
      <c r="H71" s="16" t="s">
        <v>427</v>
      </c>
      <c r="I71" s="16">
        <v>1</v>
      </c>
    </row>
    <row r="72" spans="2:9">
      <c r="B72" s="16" t="str">
        <f t="shared" si="4"/>
        <v>0x421E</v>
      </c>
      <c r="C72" s="16" t="str">
        <f>"0x"&amp;DEC2HEX(E72,4)</f>
        <v>0x4223</v>
      </c>
      <c r="D72" s="16">
        <f t="shared" si="5"/>
        <v>16926</v>
      </c>
      <c r="E72" s="16">
        <f>D72+I72-1</f>
        <v>16931</v>
      </c>
      <c r="F72" s="1" t="s">
        <v>1592</v>
      </c>
      <c r="G72" s="16" t="s">
        <v>802</v>
      </c>
      <c r="H72" s="16" t="s">
        <v>427</v>
      </c>
      <c r="I72" s="16">
        <v>6</v>
      </c>
    </row>
    <row r="73" spans="2:9">
      <c r="B73" s="16" t="str">
        <f t="shared" si="4"/>
        <v>0x4224</v>
      </c>
      <c r="D73" s="16">
        <f t="shared" si="5"/>
        <v>16932</v>
      </c>
      <c r="F73" s="1" t="s">
        <v>1625</v>
      </c>
      <c r="G73" s="16" t="s">
        <v>802</v>
      </c>
      <c r="H73" s="16" t="s">
        <v>427</v>
      </c>
      <c r="I73" s="16">
        <v>1</v>
      </c>
    </row>
    <row r="74" spans="2:9">
      <c r="B74" s="16" t="str">
        <f t="shared" si="4"/>
        <v>0x4225</v>
      </c>
      <c r="C74" s="16" t="str">
        <f>"0x"&amp;DEC2HEX(E74,4)</f>
        <v>0x422A</v>
      </c>
      <c r="D74" s="16">
        <f t="shared" si="5"/>
        <v>16933</v>
      </c>
      <c r="E74" s="16">
        <f>D74+I74-1</f>
        <v>16938</v>
      </c>
      <c r="F74" s="1" t="s">
        <v>1592</v>
      </c>
      <c r="G74" s="16" t="s">
        <v>802</v>
      </c>
      <c r="H74" s="16" t="s">
        <v>427</v>
      </c>
      <c r="I74" s="16">
        <v>6</v>
      </c>
    </row>
    <row r="75" spans="2:9">
      <c r="B75" s="16" t="str">
        <f t="shared" si="4"/>
        <v>0x422B</v>
      </c>
      <c r="D75" s="16">
        <f t="shared" si="5"/>
        <v>16939</v>
      </c>
      <c r="F75" s="1" t="s">
        <v>1626</v>
      </c>
      <c r="G75" s="16" t="s">
        <v>802</v>
      </c>
      <c r="H75" s="16" t="s">
        <v>427</v>
      </c>
      <c r="I75" s="16">
        <v>1</v>
      </c>
    </row>
    <row r="76" spans="2:9">
      <c r="B76" s="16" t="str">
        <f t="shared" si="4"/>
        <v>0x422C</v>
      </c>
      <c r="C76" s="16" t="str">
        <f>"0x"&amp;DEC2HEX(E76,4)</f>
        <v>0x4231</v>
      </c>
      <c r="D76" s="16">
        <f t="shared" si="5"/>
        <v>16940</v>
      </c>
      <c r="E76" s="16">
        <f>D76+I76-1</f>
        <v>16945</v>
      </c>
      <c r="F76" s="1" t="s">
        <v>1592</v>
      </c>
      <c r="G76" s="16" t="s">
        <v>802</v>
      </c>
      <c r="H76" s="16" t="s">
        <v>427</v>
      </c>
      <c r="I76" s="16">
        <v>6</v>
      </c>
    </row>
    <row r="77" spans="2:9">
      <c r="B77" s="16" t="str">
        <f t="shared" si="4"/>
        <v>0x4232</v>
      </c>
      <c r="D77" s="16">
        <f t="shared" si="5"/>
        <v>16946</v>
      </c>
      <c r="F77" s="1" t="s">
        <v>1627</v>
      </c>
      <c r="G77" s="16" t="s">
        <v>802</v>
      </c>
      <c r="H77" s="16" t="s">
        <v>427</v>
      </c>
      <c r="I77" s="16">
        <v>1</v>
      </c>
    </row>
    <row r="78" spans="2:9">
      <c r="B78" s="16" t="str">
        <f t="shared" si="4"/>
        <v>0x4233</v>
      </c>
      <c r="C78" s="16" t="str">
        <f>"0x"&amp;DEC2HEX(E78,4)</f>
        <v>0x4238</v>
      </c>
      <c r="D78" s="16">
        <f t="shared" si="5"/>
        <v>16947</v>
      </c>
      <c r="E78" s="16">
        <f>D78+I78-1</f>
        <v>16952</v>
      </c>
      <c r="F78" s="1" t="s">
        <v>1592</v>
      </c>
      <c r="G78" s="16" t="s">
        <v>802</v>
      </c>
      <c r="H78" s="16" t="s">
        <v>427</v>
      </c>
      <c r="I78" s="16">
        <v>6</v>
      </c>
    </row>
    <row r="79" spans="2:9">
      <c r="B79" s="16" t="str">
        <f t="shared" si="4"/>
        <v>0x4239</v>
      </c>
      <c r="D79" s="16">
        <f t="shared" si="5"/>
        <v>16953</v>
      </c>
      <c r="F79" s="1" t="s">
        <v>1628</v>
      </c>
      <c r="G79" s="16" t="s">
        <v>802</v>
      </c>
      <c r="H79" s="16" t="s">
        <v>427</v>
      </c>
      <c r="I79" s="16">
        <v>1</v>
      </c>
    </row>
    <row r="80" spans="2:9">
      <c r="B80" s="16" t="str">
        <f t="shared" si="4"/>
        <v>0x423A</v>
      </c>
      <c r="C80" s="16" t="str">
        <f>"0x"&amp;DEC2HEX(E80,4)</f>
        <v>0x423F</v>
      </c>
      <c r="D80" s="16">
        <f t="shared" si="5"/>
        <v>16954</v>
      </c>
      <c r="E80" s="16">
        <f>D80+I80-1</f>
        <v>16959</v>
      </c>
      <c r="F80" s="1" t="s">
        <v>1592</v>
      </c>
      <c r="G80" s="16" t="s">
        <v>802</v>
      </c>
      <c r="H80" s="16" t="s">
        <v>427</v>
      </c>
      <c r="I80" s="16">
        <v>6</v>
      </c>
    </row>
    <row r="81" spans="2:9">
      <c r="B81" s="16" t="str">
        <f t="shared" si="4"/>
        <v>0x4240</v>
      </c>
      <c r="D81" s="16">
        <f t="shared" si="5"/>
        <v>16960</v>
      </c>
      <c r="F81" s="1" t="s">
        <v>1629</v>
      </c>
      <c r="G81" s="16" t="s">
        <v>802</v>
      </c>
      <c r="H81" s="16" t="s">
        <v>427</v>
      </c>
      <c r="I81" s="16">
        <v>1</v>
      </c>
    </row>
    <row r="82" spans="2:9">
      <c r="B82" s="16" t="str">
        <f t="shared" si="4"/>
        <v>0x4241</v>
      </c>
      <c r="C82" s="16" t="str">
        <f>"0x"&amp;DEC2HEX(E82,4)</f>
        <v>0x4246</v>
      </c>
      <c r="D82" s="16">
        <f t="shared" si="5"/>
        <v>16961</v>
      </c>
      <c r="E82" s="16">
        <f>D82+I82-1</f>
        <v>16966</v>
      </c>
      <c r="F82" s="1" t="s">
        <v>1592</v>
      </c>
      <c r="G82" s="16" t="s">
        <v>802</v>
      </c>
      <c r="H82" s="16" t="s">
        <v>427</v>
      </c>
      <c r="I82" s="16">
        <v>6</v>
      </c>
    </row>
    <row r="83" spans="2:9">
      <c r="B83" s="16" t="str">
        <f t="shared" si="4"/>
        <v>0x4247</v>
      </c>
      <c r="D83" s="16">
        <f t="shared" si="5"/>
        <v>16967</v>
      </c>
      <c r="F83" s="1" t="s">
        <v>1630</v>
      </c>
      <c r="G83" s="16" t="s">
        <v>802</v>
      </c>
      <c r="H83" s="16" t="s">
        <v>427</v>
      </c>
      <c r="I83" s="16">
        <v>1</v>
      </c>
    </row>
    <row r="84" spans="2:9">
      <c r="B84" s="16" t="str">
        <f t="shared" si="4"/>
        <v>0x4248</v>
      </c>
      <c r="C84" s="16" t="str">
        <f>"0x"&amp;DEC2HEX(E84,4)</f>
        <v>0x424D</v>
      </c>
      <c r="D84" s="16">
        <f t="shared" si="5"/>
        <v>16968</v>
      </c>
      <c r="E84" s="16">
        <f>D84+I84-1</f>
        <v>16973</v>
      </c>
      <c r="F84" s="1" t="s">
        <v>1592</v>
      </c>
      <c r="G84" s="16" t="s">
        <v>802</v>
      </c>
      <c r="H84" s="16" t="s">
        <v>427</v>
      </c>
      <c r="I84" s="16">
        <v>6</v>
      </c>
    </row>
    <row r="85" spans="2:9">
      <c r="B85" s="16" t="str">
        <f t="shared" si="4"/>
        <v>0x424E</v>
      </c>
      <c r="D85" s="16">
        <f t="shared" si="5"/>
        <v>16974</v>
      </c>
      <c r="F85" s="1" t="s">
        <v>1631</v>
      </c>
      <c r="G85" s="16" t="s">
        <v>802</v>
      </c>
      <c r="H85" s="16" t="s">
        <v>427</v>
      </c>
      <c r="I85" s="16">
        <v>1</v>
      </c>
    </row>
    <row r="86" spans="2:9">
      <c r="B86" s="16" t="str">
        <f t="shared" si="4"/>
        <v>0x424F</v>
      </c>
      <c r="C86" s="16" t="str">
        <f>"0x"&amp;DEC2HEX(E86,4)</f>
        <v>0x4254</v>
      </c>
      <c r="D86" s="16">
        <f t="shared" si="5"/>
        <v>16975</v>
      </c>
      <c r="E86" s="16">
        <f>D86+I86-1</f>
        <v>16980</v>
      </c>
      <c r="F86" s="1" t="s">
        <v>1592</v>
      </c>
      <c r="G86" s="16" t="s">
        <v>802</v>
      </c>
      <c r="H86" s="16" t="s">
        <v>427</v>
      </c>
      <c r="I86" s="16">
        <v>6</v>
      </c>
    </row>
    <row r="87" spans="2:9">
      <c r="B87" s="16" t="str">
        <f t="shared" ref="B87:B104" si="6">"0x"&amp;DEC2HEX(D87,4)</f>
        <v>0x4255</v>
      </c>
      <c r="D87" s="16">
        <f t="shared" si="5"/>
        <v>16981</v>
      </c>
      <c r="F87" s="1" t="s">
        <v>1632</v>
      </c>
      <c r="G87" s="16" t="s">
        <v>802</v>
      </c>
      <c r="H87" s="16" t="s">
        <v>427</v>
      </c>
      <c r="I87" s="16">
        <v>1</v>
      </c>
    </row>
    <row r="88" spans="2:9">
      <c r="B88" s="16" t="str">
        <f t="shared" si="6"/>
        <v>0x4256</v>
      </c>
      <c r="C88" s="16" t="str">
        <f>"0x"&amp;DEC2HEX(E88,4)</f>
        <v>0x425B</v>
      </c>
      <c r="D88" s="16">
        <f t="shared" ref="D88:D104" si="7">I87+D87</f>
        <v>16982</v>
      </c>
      <c r="E88" s="16">
        <f>D88+I88-1</f>
        <v>16987</v>
      </c>
      <c r="F88" s="1" t="s">
        <v>1592</v>
      </c>
      <c r="G88" s="16" t="s">
        <v>802</v>
      </c>
      <c r="H88" s="16" t="s">
        <v>427</v>
      </c>
      <c r="I88" s="16">
        <v>6</v>
      </c>
    </row>
    <row r="89" spans="2:9">
      <c r="B89" s="16" t="str">
        <f t="shared" si="6"/>
        <v>0x425C</v>
      </c>
      <c r="D89" s="16">
        <f t="shared" si="7"/>
        <v>16988</v>
      </c>
      <c r="F89" s="1" t="s">
        <v>1633</v>
      </c>
      <c r="G89" s="16" t="s">
        <v>802</v>
      </c>
      <c r="H89" s="16" t="s">
        <v>427</v>
      </c>
      <c r="I89" s="16">
        <v>1</v>
      </c>
    </row>
    <row r="90" spans="2:9">
      <c r="B90" s="16" t="str">
        <f t="shared" si="6"/>
        <v>0x425D</v>
      </c>
      <c r="C90" s="16" t="str">
        <f>"0x"&amp;DEC2HEX(E90,4)</f>
        <v>0x4262</v>
      </c>
      <c r="D90" s="16">
        <f t="shared" si="7"/>
        <v>16989</v>
      </c>
      <c r="E90" s="16">
        <f>D90+I90-1</f>
        <v>16994</v>
      </c>
      <c r="F90" s="1" t="s">
        <v>1592</v>
      </c>
      <c r="G90" s="16" t="s">
        <v>802</v>
      </c>
      <c r="H90" s="16" t="s">
        <v>427</v>
      </c>
      <c r="I90" s="16">
        <v>6</v>
      </c>
    </row>
    <row r="91" spans="2:9">
      <c r="B91" s="16" t="str">
        <f t="shared" si="6"/>
        <v>0x4263</v>
      </c>
      <c r="D91" s="16">
        <f t="shared" si="7"/>
        <v>16995</v>
      </c>
      <c r="F91" s="1" t="s">
        <v>1634</v>
      </c>
      <c r="G91" s="16" t="s">
        <v>802</v>
      </c>
      <c r="H91" s="16" t="s">
        <v>427</v>
      </c>
      <c r="I91" s="16">
        <v>1</v>
      </c>
    </row>
    <row r="92" spans="2:9">
      <c r="B92" s="16" t="str">
        <f t="shared" si="6"/>
        <v>0x4264</v>
      </c>
      <c r="C92" s="16" t="str">
        <f>"0x"&amp;DEC2HEX(E92,4)</f>
        <v>0x4269</v>
      </c>
      <c r="D92" s="16">
        <f t="shared" si="7"/>
        <v>16996</v>
      </c>
      <c r="E92" s="16">
        <f>D92+I92-1</f>
        <v>17001</v>
      </c>
      <c r="F92" s="1" t="s">
        <v>1592</v>
      </c>
      <c r="G92" s="16" t="s">
        <v>802</v>
      </c>
      <c r="H92" s="16" t="s">
        <v>427</v>
      </c>
      <c r="I92" s="16">
        <v>6</v>
      </c>
    </row>
    <row r="93" spans="2:9">
      <c r="B93" s="16" t="str">
        <f t="shared" si="6"/>
        <v>0x426A</v>
      </c>
      <c r="D93" s="16">
        <f t="shared" si="7"/>
        <v>17002</v>
      </c>
      <c r="F93" s="1" t="s">
        <v>1635</v>
      </c>
      <c r="G93" s="16" t="s">
        <v>802</v>
      </c>
      <c r="H93" s="16" t="s">
        <v>427</v>
      </c>
      <c r="I93" s="16">
        <v>1</v>
      </c>
    </row>
    <row r="94" spans="2:9">
      <c r="B94" s="16" t="str">
        <f t="shared" si="6"/>
        <v>0x426B</v>
      </c>
      <c r="C94" s="16" t="str">
        <f>"0x"&amp;DEC2HEX(E94,4)</f>
        <v>0x4270</v>
      </c>
      <c r="D94" s="16">
        <f t="shared" si="7"/>
        <v>17003</v>
      </c>
      <c r="E94" s="16">
        <f>D94+I94-1</f>
        <v>17008</v>
      </c>
      <c r="F94" s="1" t="s">
        <v>1592</v>
      </c>
      <c r="G94" s="16" t="s">
        <v>802</v>
      </c>
      <c r="H94" s="16" t="s">
        <v>427</v>
      </c>
      <c r="I94" s="16">
        <v>6</v>
      </c>
    </row>
    <row r="95" spans="2:9">
      <c r="B95" s="16" t="str">
        <f t="shared" si="6"/>
        <v>0x4271</v>
      </c>
      <c r="D95" s="16">
        <f t="shared" si="7"/>
        <v>17009</v>
      </c>
      <c r="F95" s="1" t="s">
        <v>1636</v>
      </c>
      <c r="G95" s="16" t="s">
        <v>802</v>
      </c>
      <c r="H95" s="16" t="s">
        <v>427</v>
      </c>
      <c r="I95" s="16">
        <v>1</v>
      </c>
    </row>
    <row r="96" spans="2:9">
      <c r="B96" s="16" t="str">
        <f t="shared" si="6"/>
        <v>0x4272</v>
      </c>
      <c r="C96" s="16" t="str">
        <f>"0x"&amp;DEC2HEX(E96,4)</f>
        <v>0x4277</v>
      </c>
      <c r="D96" s="16">
        <f t="shared" si="7"/>
        <v>17010</v>
      </c>
      <c r="E96" s="16">
        <f>D96+I96-1</f>
        <v>17015</v>
      </c>
      <c r="F96" s="1" t="s">
        <v>1592</v>
      </c>
      <c r="G96" s="16" t="s">
        <v>802</v>
      </c>
      <c r="H96" s="16" t="s">
        <v>427</v>
      </c>
      <c r="I96" s="16">
        <v>6</v>
      </c>
    </row>
    <row r="97" spans="2:9">
      <c r="B97" s="16" t="str">
        <f t="shared" si="6"/>
        <v>0x4278</v>
      </c>
      <c r="D97" s="16">
        <f t="shared" si="7"/>
        <v>17016</v>
      </c>
      <c r="F97" s="1" t="s">
        <v>1637</v>
      </c>
      <c r="G97" s="16" t="s">
        <v>802</v>
      </c>
      <c r="H97" s="16" t="s">
        <v>427</v>
      </c>
      <c r="I97" s="16">
        <v>1</v>
      </c>
    </row>
    <row r="98" spans="2:9">
      <c r="B98" s="16" t="str">
        <f t="shared" si="6"/>
        <v>0x4279</v>
      </c>
      <c r="C98" s="16" t="str">
        <f>"0x"&amp;DEC2HEX(E98,4)</f>
        <v>0x427E</v>
      </c>
      <c r="D98" s="16">
        <f t="shared" si="7"/>
        <v>17017</v>
      </c>
      <c r="E98" s="16">
        <f>D98+I98-1</f>
        <v>17022</v>
      </c>
      <c r="F98" s="1" t="s">
        <v>1592</v>
      </c>
      <c r="G98" s="16" t="s">
        <v>802</v>
      </c>
      <c r="H98" s="16" t="s">
        <v>427</v>
      </c>
      <c r="I98" s="16">
        <v>6</v>
      </c>
    </row>
    <row r="99" spans="2:9">
      <c r="B99" s="16" t="str">
        <f t="shared" si="6"/>
        <v>0x427F</v>
      </c>
      <c r="D99" s="16">
        <f t="shared" si="7"/>
        <v>17023</v>
      </c>
      <c r="F99" s="1" t="s">
        <v>1638</v>
      </c>
      <c r="G99" s="16" t="s">
        <v>802</v>
      </c>
      <c r="H99" s="16" t="s">
        <v>427</v>
      </c>
      <c r="I99" s="16">
        <v>1</v>
      </c>
    </row>
    <row r="100" spans="2:9">
      <c r="B100" s="16" t="str">
        <f t="shared" si="6"/>
        <v>0x4280</v>
      </c>
      <c r="C100" s="16" t="str">
        <f>"0x"&amp;DEC2HEX(E100,4)</f>
        <v>0x4285</v>
      </c>
      <c r="D100" s="16">
        <f t="shared" si="7"/>
        <v>17024</v>
      </c>
      <c r="E100" s="16">
        <f>D100+I100-1</f>
        <v>17029</v>
      </c>
      <c r="F100" s="1" t="s">
        <v>1592</v>
      </c>
      <c r="G100" s="16" t="s">
        <v>802</v>
      </c>
      <c r="H100" s="16" t="s">
        <v>427</v>
      </c>
      <c r="I100" s="16">
        <v>6</v>
      </c>
    </row>
    <row r="101" spans="2:9">
      <c r="B101" s="16" t="str">
        <f t="shared" si="6"/>
        <v>0x4286</v>
      </c>
      <c r="D101" s="16">
        <f t="shared" si="7"/>
        <v>17030</v>
      </c>
      <c r="F101" s="1" t="s">
        <v>1639</v>
      </c>
      <c r="G101" s="16" t="s">
        <v>802</v>
      </c>
      <c r="H101" s="16" t="s">
        <v>427</v>
      </c>
      <c r="I101" s="16">
        <v>1</v>
      </c>
    </row>
    <row r="102" spans="2:9">
      <c r="B102" s="16" t="str">
        <f t="shared" si="6"/>
        <v>0x4287</v>
      </c>
      <c r="C102" s="16" t="str">
        <f>"0x"&amp;DEC2HEX(E102,4)</f>
        <v>0x428C</v>
      </c>
      <c r="D102" s="16">
        <f t="shared" si="7"/>
        <v>17031</v>
      </c>
      <c r="E102" s="16">
        <f>D102+I102-1</f>
        <v>17036</v>
      </c>
      <c r="F102" s="1" t="s">
        <v>1592</v>
      </c>
      <c r="G102" s="16" t="s">
        <v>802</v>
      </c>
      <c r="H102" s="16" t="s">
        <v>427</v>
      </c>
      <c r="I102" s="16">
        <v>6</v>
      </c>
    </row>
    <row r="103" spans="2:9">
      <c r="B103" s="16" t="str">
        <f t="shared" si="6"/>
        <v>0x428D</v>
      </c>
      <c r="D103" s="16">
        <f t="shared" si="7"/>
        <v>17037</v>
      </c>
      <c r="F103" s="1" t="s">
        <v>1640</v>
      </c>
      <c r="G103" s="16" t="s">
        <v>802</v>
      </c>
      <c r="H103" s="16" t="s">
        <v>427</v>
      </c>
      <c r="I103" s="16">
        <v>1</v>
      </c>
    </row>
    <row r="104" spans="2:9">
      <c r="B104" s="16" t="str">
        <f t="shared" si="6"/>
        <v>0x428E</v>
      </c>
      <c r="C104" s="16" t="str">
        <f>"0x"&amp;DEC2HEX(E104,4)</f>
        <v>0x4293</v>
      </c>
      <c r="D104" s="16">
        <f t="shared" si="7"/>
        <v>17038</v>
      </c>
      <c r="E104" s="16">
        <f>D104+I104-1</f>
        <v>17043</v>
      </c>
      <c r="F104" s="1" t="s">
        <v>1592</v>
      </c>
      <c r="G104" s="16" t="s">
        <v>802</v>
      </c>
      <c r="H104" s="16" t="s">
        <v>427</v>
      </c>
      <c r="I104" s="16">
        <v>6</v>
      </c>
    </row>
    <row r="107" spans="2:9">
      <c r="B107" s="16" t="str">
        <f t="shared" ref="B107:B112" si="8">"0x"&amp;DEC2HEX(D107,4)</f>
        <v>0x4606</v>
      </c>
      <c r="D107" s="16">
        <v>17926</v>
      </c>
      <c r="F107" s="1" t="s">
        <v>1641</v>
      </c>
      <c r="G107" s="16" t="s">
        <v>802</v>
      </c>
      <c r="H107" s="16" t="s">
        <v>427</v>
      </c>
      <c r="I107" s="16">
        <v>1</v>
      </c>
    </row>
    <row r="108" spans="2:9">
      <c r="B108" s="16" t="str">
        <f t="shared" si="8"/>
        <v>0x4607</v>
      </c>
      <c r="C108" s="16" t="str">
        <f>"0x"&amp;DEC2HEX(E108,4)</f>
        <v>0x460C</v>
      </c>
      <c r="D108" s="16">
        <f>I107+D107</f>
        <v>17927</v>
      </c>
      <c r="E108" s="16">
        <f>D108+I108-1</f>
        <v>17932</v>
      </c>
      <c r="F108" s="1" t="s">
        <v>1592</v>
      </c>
      <c r="G108" s="16" t="s">
        <v>802</v>
      </c>
      <c r="H108" s="16" t="s">
        <v>427</v>
      </c>
      <c r="I108" s="16">
        <v>6</v>
      </c>
    </row>
    <row r="109" spans="2:9">
      <c r="B109" s="16" t="str">
        <f t="shared" si="8"/>
        <v>0x460D</v>
      </c>
      <c r="D109" s="16">
        <f>I108+D108</f>
        <v>17933</v>
      </c>
      <c r="E109" s="16">
        <f>D109+I109-1</f>
        <v>17933</v>
      </c>
      <c r="F109" s="1" t="s">
        <v>1642</v>
      </c>
      <c r="G109" s="16" t="s">
        <v>802</v>
      </c>
      <c r="H109" s="16" t="s">
        <v>427</v>
      </c>
      <c r="I109" s="16">
        <v>1</v>
      </c>
    </row>
    <row r="110" spans="2:9">
      <c r="B110" s="16" t="str">
        <f t="shared" si="8"/>
        <v>0x460E</v>
      </c>
      <c r="C110" s="16" t="str">
        <f>"0x"&amp;DEC2HEX(E110,4)</f>
        <v>0x4613</v>
      </c>
      <c r="D110" s="16">
        <f>I109+D109</f>
        <v>17934</v>
      </c>
      <c r="E110" s="16">
        <f>D110+I110-1</f>
        <v>17939</v>
      </c>
      <c r="F110" s="1" t="s">
        <v>1592</v>
      </c>
      <c r="G110" s="16" t="s">
        <v>802</v>
      </c>
      <c r="H110" s="16" t="s">
        <v>427</v>
      </c>
      <c r="I110" s="16">
        <v>6</v>
      </c>
    </row>
    <row r="111" spans="2:9">
      <c r="B111" s="16" t="str">
        <f t="shared" si="8"/>
        <v>0x4614</v>
      </c>
      <c r="D111" s="16">
        <f>I110+D110</f>
        <v>17940</v>
      </c>
      <c r="E111" s="16">
        <f>D111+I111-1</f>
        <v>17940</v>
      </c>
      <c r="F111" s="1" t="s">
        <v>1643</v>
      </c>
      <c r="G111" s="16" t="s">
        <v>802</v>
      </c>
      <c r="H111" s="16" t="s">
        <v>427</v>
      </c>
      <c r="I111" s="16">
        <v>1</v>
      </c>
    </row>
    <row r="112" spans="2:9">
      <c r="B112" s="16" t="str">
        <f t="shared" si="8"/>
        <v>0x4615</v>
      </c>
      <c r="C112" s="16" t="str">
        <f>"0x"&amp;DEC2HEX(E112,4)</f>
        <v>0x461A</v>
      </c>
      <c r="D112" s="16">
        <f>I111+D111</f>
        <v>17941</v>
      </c>
      <c r="E112" s="16">
        <f>D112+I112-1</f>
        <v>17946</v>
      </c>
      <c r="F112" s="1" t="s">
        <v>1592</v>
      </c>
      <c r="G112" s="16" t="s">
        <v>802</v>
      </c>
      <c r="H112" s="16" t="s">
        <v>427</v>
      </c>
      <c r="I112" s="16">
        <v>6</v>
      </c>
    </row>
  </sheetData>
  <phoneticPr fontId="4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8C786-7DFB-4EBA-BD8D-32BE7DA8CE02}">
  <dimension ref="A1:L276"/>
  <sheetViews>
    <sheetView workbookViewId="0">
      <pane ySplit="1" topLeftCell="A38" activePane="bottomLeft" state="frozen"/>
      <selection pane="bottomLeft" activeCell="J58" sqref="J58"/>
    </sheetView>
  </sheetViews>
  <sheetFormatPr defaultColWidth="9" defaultRowHeight="12.75"/>
  <cols>
    <col min="1" max="1" width="34.85546875" style="16" customWidth="1"/>
    <col min="2" max="2" width="12.7109375" style="16" customWidth="1"/>
    <col min="3" max="5" width="9" style="16"/>
    <col min="6" max="6" width="38.5703125" style="16" customWidth="1"/>
    <col min="7" max="7" width="11.85546875" style="16" customWidth="1"/>
    <col min="8" max="9" width="9" style="16"/>
    <col min="10" max="10" width="18" style="16" customWidth="1"/>
    <col min="11" max="11" width="9" style="16"/>
    <col min="12" max="12" width="20.85546875" style="16" customWidth="1"/>
    <col min="13" max="16384" width="9" style="16"/>
  </cols>
  <sheetData>
    <row r="1" spans="1:12" s="39" customFormat="1">
      <c r="A1" s="39" t="s">
        <v>27</v>
      </c>
      <c r="B1" s="39" t="s">
        <v>414</v>
      </c>
      <c r="C1" s="39" t="s">
        <v>415</v>
      </c>
      <c r="D1" s="39" t="s">
        <v>416</v>
      </c>
      <c r="E1" s="39" t="s">
        <v>417</v>
      </c>
      <c r="F1" s="39" t="s">
        <v>418</v>
      </c>
      <c r="G1" s="39" t="s">
        <v>419</v>
      </c>
      <c r="H1" s="39" t="s">
        <v>421</v>
      </c>
      <c r="I1" s="39" t="s">
        <v>420</v>
      </c>
      <c r="J1" s="39" t="s">
        <v>422</v>
      </c>
      <c r="K1" s="39" t="s">
        <v>480</v>
      </c>
      <c r="L1" s="39" t="s">
        <v>481</v>
      </c>
    </row>
    <row r="2" spans="1:12" s="26" customFormat="1">
      <c r="A2" s="26" t="s">
        <v>159</v>
      </c>
    </row>
    <row r="3" spans="1:12">
      <c r="B3" s="16" t="str">
        <f t="shared" ref="B3:B58" si="0">"0x"&amp;DEC2HEX(D3,4)</f>
        <v>0x5000</v>
      </c>
      <c r="D3" s="16">
        <v>20480</v>
      </c>
      <c r="F3" s="1" t="s">
        <v>1589</v>
      </c>
      <c r="G3" s="16" t="s">
        <v>541</v>
      </c>
      <c r="H3" s="16" t="s">
        <v>427</v>
      </c>
      <c r="I3" s="16">
        <v>2</v>
      </c>
    </row>
    <row r="4" spans="1:12">
      <c r="B4" s="16" t="str">
        <f t="shared" si="0"/>
        <v>0x5002</v>
      </c>
      <c r="C4" s="16" t="str">
        <f>"0x"&amp;DEC2HEX(E4,4)</f>
        <v>0x5007</v>
      </c>
      <c r="D4" s="16">
        <f t="shared" ref="D4:D53" si="1">I3+D3</f>
        <v>20482</v>
      </c>
      <c r="E4" s="16">
        <f>D4+I4-1</f>
        <v>20487</v>
      </c>
      <c r="F4" s="1" t="s">
        <v>1590</v>
      </c>
      <c r="G4" s="16" t="s">
        <v>802</v>
      </c>
      <c r="H4" s="16" t="s">
        <v>427</v>
      </c>
      <c r="I4" s="16">
        <v>6</v>
      </c>
    </row>
    <row r="5" spans="1:12">
      <c r="B5" s="16" t="str">
        <f t="shared" si="0"/>
        <v>0x5008</v>
      </c>
      <c r="D5" s="16">
        <f t="shared" si="1"/>
        <v>20488</v>
      </c>
      <c r="F5" s="1" t="s">
        <v>1591</v>
      </c>
      <c r="G5" s="16" t="s">
        <v>541</v>
      </c>
      <c r="H5" s="16" t="s">
        <v>427</v>
      </c>
      <c r="I5" s="16">
        <v>2</v>
      </c>
    </row>
    <row r="6" spans="1:12">
      <c r="B6" s="16" t="str">
        <f t="shared" si="0"/>
        <v>0x500A</v>
      </c>
      <c r="C6" s="16" t="str">
        <f>"0x"&amp;DEC2HEX(E6,4)</f>
        <v>0x500F</v>
      </c>
      <c r="D6" s="16">
        <f t="shared" si="1"/>
        <v>20490</v>
      </c>
      <c r="E6" s="16">
        <f>D6+I6-1</f>
        <v>20495</v>
      </c>
      <c r="F6" s="1" t="s">
        <v>1592</v>
      </c>
      <c r="G6" s="16" t="s">
        <v>802</v>
      </c>
      <c r="H6" s="16" t="s">
        <v>427</v>
      </c>
      <c r="I6" s="16">
        <v>6</v>
      </c>
    </row>
    <row r="7" spans="1:12">
      <c r="B7" s="16" t="str">
        <f t="shared" si="0"/>
        <v>0x5010</v>
      </c>
      <c r="D7" s="16">
        <f t="shared" si="1"/>
        <v>20496</v>
      </c>
      <c r="F7" s="1" t="s">
        <v>1593</v>
      </c>
      <c r="G7" s="16" t="s">
        <v>541</v>
      </c>
      <c r="H7" s="16" t="s">
        <v>427</v>
      </c>
      <c r="I7" s="16">
        <v>2</v>
      </c>
    </row>
    <row r="8" spans="1:12">
      <c r="B8" s="16" t="str">
        <f t="shared" si="0"/>
        <v>0x5012</v>
      </c>
      <c r="C8" s="16" t="str">
        <f>"0x"&amp;DEC2HEX(E8,4)</f>
        <v>0x5017</v>
      </c>
      <c r="D8" s="16">
        <f t="shared" si="1"/>
        <v>20498</v>
      </c>
      <c r="E8" s="16">
        <f>D8+I8-1</f>
        <v>20503</v>
      </c>
      <c r="F8" s="1" t="s">
        <v>1592</v>
      </c>
      <c r="G8" s="16" t="s">
        <v>802</v>
      </c>
      <c r="H8" s="16" t="s">
        <v>427</v>
      </c>
      <c r="I8" s="16">
        <v>6</v>
      </c>
    </row>
    <row r="9" spans="1:12">
      <c r="B9" s="16" t="str">
        <f t="shared" si="0"/>
        <v>0x5018</v>
      </c>
      <c r="D9" s="16">
        <f t="shared" si="1"/>
        <v>20504</v>
      </c>
      <c r="F9" s="1" t="s">
        <v>1594</v>
      </c>
      <c r="G9" s="16" t="s">
        <v>541</v>
      </c>
      <c r="H9" s="16" t="s">
        <v>427</v>
      </c>
      <c r="I9" s="16">
        <v>2</v>
      </c>
    </row>
    <row r="10" spans="1:12">
      <c r="B10" s="16" t="str">
        <f t="shared" si="0"/>
        <v>0x501A</v>
      </c>
      <c r="C10" s="16" t="str">
        <f>"0x"&amp;DEC2HEX(E10,4)</f>
        <v>0x501F</v>
      </c>
      <c r="D10" s="16">
        <f t="shared" si="1"/>
        <v>20506</v>
      </c>
      <c r="E10" s="16">
        <f>D10+I10-1</f>
        <v>20511</v>
      </c>
      <c r="F10" s="1" t="s">
        <v>1592</v>
      </c>
      <c r="G10" s="16" t="s">
        <v>802</v>
      </c>
      <c r="H10" s="16" t="s">
        <v>427</v>
      </c>
      <c r="I10" s="16">
        <v>6</v>
      </c>
    </row>
    <row r="11" spans="1:12">
      <c r="B11" s="16" t="str">
        <f t="shared" si="0"/>
        <v>0x5020</v>
      </c>
      <c r="D11" s="16">
        <f t="shared" si="1"/>
        <v>20512</v>
      </c>
      <c r="F11" s="1" t="s">
        <v>1595</v>
      </c>
      <c r="G11" s="16" t="s">
        <v>541</v>
      </c>
      <c r="H11" s="16" t="s">
        <v>427</v>
      </c>
      <c r="I11" s="16">
        <v>2</v>
      </c>
    </row>
    <row r="12" spans="1:12">
      <c r="B12" s="16" t="str">
        <f t="shared" si="0"/>
        <v>0x5022</v>
      </c>
      <c r="C12" s="16" t="str">
        <f>"0x"&amp;DEC2HEX(E12,4)</f>
        <v>0x5027</v>
      </c>
      <c r="D12" s="16">
        <f t="shared" si="1"/>
        <v>20514</v>
      </c>
      <c r="E12" s="16">
        <f>D12+I12-1</f>
        <v>20519</v>
      </c>
      <c r="F12" s="1" t="s">
        <v>1592</v>
      </c>
      <c r="G12" s="16" t="s">
        <v>802</v>
      </c>
      <c r="H12" s="16" t="s">
        <v>427</v>
      </c>
      <c r="I12" s="16">
        <v>6</v>
      </c>
    </row>
    <row r="13" spans="1:12">
      <c r="B13" s="16" t="str">
        <f t="shared" si="0"/>
        <v>0x5028</v>
      </c>
      <c r="D13" s="16">
        <f t="shared" si="1"/>
        <v>20520</v>
      </c>
      <c r="F13" s="1" t="s">
        <v>1596</v>
      </c>
      <c r="G13" s="16" t="s">
        <v>541</v>
      </c>
      <c r="H13" s="16" t="s">
        <v>427</v>
      </c>
      <c r="I13" s="16">
        <v>2</v>
      </c>
    </row>
    <row r="14" spans="1:12">
      <c r="B14" s="16" t="str">
        <f t="shared" si="0"/>
        <v>0x502A</v>
      </c>
      <c r="C14" s="16" t="str">
        <f>"0x"&amp;DEC2HEX(E14,4)</f>
        <v>0x502F</v>
      </c>
      <c r="D14" s="16">
        <f t="shared" si="1"/>
        <v>20522</v>
      </c>
      <c r="E14" s="16">
        <f>D14+I14-1</f>
        <v>20527</v>
      </c>
      <c r="F14" s="1" t="s">
        <v>1592</v>
      </c>
      <c r="G14" s="16" t="s">
        <v>802</v>
      </c>
      <c r="H14" s="16" t="s">
        <v>427</v>
      </c>
      <c r="I14" s="16">
        <v>6</v>
      </c>
    </row>
    <row r="15" spans="1:12">
      <c r="B15" s="16" t="str">
        <f t="shared" si="0"/>
        <v>0x5030</v>
      </c>
      <c r="D15" s="16">
        <f t="shared" si="1"/>
        <v>20528</v>
      </c>
      <c r="F15" s="1" t="s">
        <v>1597</v>
      </c>
      <c r="G15" s="16" t="s">
        <v>541</v>
      </c>
      <c r="H15" s="16" t="s">
        <v>427</v>
      </c>
      <c r="I15" s="16">
        <v>2</v>
      </c>
    </row>
    <row r="16" spans="1:12">
      <c r="B16" s="16" t="str">
        <f t="shared" si="0"/>
        <v>0x5032</v>
      </c>
      <c r="C16" s="16" t="str">
        <f>"0x"&amp;DEC2HEX(E16,4)</f>
        <v>0x5037</v>
      </c>
      <c r="D16" s="16">
        <f t="shared" si="1"/>
        <v>20530</v>
      </c>
      <c r="E16" s="16">
        <f>D16+I16-1</f>
        <v>20535</v>
      </c>
      <c r="F16" s="1" t="s">
        <v>1592</v>
      </c>
      <c r="G16" s="16" t="s">
        <v>802</v>
      </c>
      <c r="H16" s="16" t="s">
        <v>427</v>
      </c>
      <c r="I16" s="16">
        <v>6</v>
      </c>
    </row>
    <row r="17" spans="2:9">
      <c r="B17" s="16" t="str">
        <f t="shared" si="0"/>
        <v>0x5038</v>
      </c>
      <c r="D17" s="16">
        <f t="shared" si="1"/>
        <v>20536</v>
      </c>
      <c r="F17" s="1" t="s">
        <v>1598</v>
      </c>
      <c r="G17" s="16" t="s">
        <v>541</v>
      </c>
      <c r="H17" s="16" t="s">
        <v>427</v>
      </c>
      <c r="I17" s="16">
        <v>2</v>
      </c>
    </row>
    <row r="18" spans="2:9">
      <c r="B18" s="16" t="str">
        <f t="shared" si="0"/>
        <v>0x503A</v>
      </c>
      <c r="C18" s="16" t="str">
        <f>"0x"&amp;DEC2HEX(E18,4)</f>
        <v>0x503F</v>
      </c>
      <c r="D18" s="16">
        <f t="shared" si="1"/>
        <v>20538</v>
      </c>
      <c r="E18" s="16">
        <f>D18+I18-1</f>
        <v>20543</v>
      </c>
      <c r="F18" s="1" t="s">
        <v>1592</v>
      </c>
      <c r="G18" s="16" t="s">
        <v>802</v>
      </c>
      <c r="H18" s="16" t="s">
        <v>427</v>
      </c>
      <c r="I18" s="16">
        <v>6</v>
      </c>
    </row>
    <row r="19" spans="2:9">
      <c r="B19" s="16" t="str">
        <f t="shared" si="0"/>
        <v>0x5040</v>
      </c>
      <c r="D19" s="16">
        <f t="shared" si="1"/>
        <v>20544</v>
      </c>
      <c r="F19" s="1" t="s">
        <v>1599</v>
      </c>
      <c r="G19" s="16" t="s">
        <v>541</v>
      </c>
      <c r="H19" s="16" t="s">
        <v>427</v>
      </c>
      <c r="I19" s="16">
        <v>2</v>
      </c>
    </row>
    <row r="20" spans="2:9">
      <c r="B20" s="16" t="str">
        <f t="shared" si="0"/>
        <v>0x5042</v>
      </c>
      <c r="C20" s="16" t="str">
        <f>"0x"&amp;DEC2HEX(E20,4)</f>
        <v>0x5047</v>
      </c>
      <c r="D20" s="16">
        <f t="shared" si="1"/>
        <v>20546</v>
      </c>
      <c r="E20" s="16">
        <f>D20+I20-1</f>
        <v>20551</v>
      </c>
      <c r="F20" s="1" t="s">
        <v>1592</v>
      </c>
      <c r="G20" s="16" t="s">
        <v>802</v>
      </c>
      <c r="H20" s="16" t="s">
        <v>427</v>
      </c>
      <c r="I20" s="16">
        <v>6</v>
      </c>
    </row>
    <row r="21" spans="2:9">
      <c r="B21" s="16" t="str">
        <f t="shared" si="0"/>
        <v>0x5048</v>
      </c>
      <c r="D21" s="16">
        <f t="shared" si="1"/>
        <v>20552</v>
      </c>
      <c r="F21" s="1" t="s">
        <v>1600</v>
      </c>
      <c r="G21" s="16" t="s">
        <v>541</v>
      </c>
      <c r="H21" s="16" t="s">
        <v>427</v>
      </c>
      <c r="I21" s="16">
        <v>2</v>
      </c>
    </row>
    <row r="22" spans="2:9">
      <c r="B22" s="16" t="str">
        <f t="shared" si="0"/>
        <v>0x504A</v>
      </c>
      <c r="C22" s="16" t="str">
        <f>"0x"&amp;DEC2HEX(E22,4)</f>
        <v>0x504F</v>
      </c>
      <c r="D22" s="16">
        <f t="shared" si="1"/>
        <v>20554</v>
      </c>
      <c r="E22" s="16">
        <f>D22+I22-1</f>
        <v>20559</v>
      </c>
      <c r="F22" s="1" t="s">
        <v>1592</v>
      </c>
      <c r="G22" s="16" t="s">
        <v>802</v>
      </c>
      <c r="H22" s="16" t="s">
        <v>427</v>
      </c>
      <c r="I22" s="16">
        <v>6</v>
      </c>
    </row>
    <row r="23" spans="2:9">
      <c r="B23" s="16" t="str">
        <f t="shared" si="0"/>
        <v>0x5050</v>
      </c>
      <c r="D23" s="16">
        <f t="shared" si="1"/>
        <v>20560</v>
      </c>
      <c r="F23" s="1" t="s">
        <v>1601</v>
      </c>
      <c r="G23" s="16" t="s">
        <v>541</v>
      </c>
      <c r="H23" s="16" t="s">
        <v>427</v>
      </c>
      <c r="I23" s="16">
        <v>2</v>
      </c>
    </row>
    <row r="24" spans="2:9">
      <c r="B24" s="16" t="str">
        <f t="shared" si="0"/>
        <v>0x5052</v>
      </c>
      <c r="C24" s="16" t="str">
        <f>"0x"&amp;DEC2HEX(E24,4)</f>
        <v>0x5057</v>
      </c>
      <c r="D24" s="16">
        <f t="shared" si="1"/>
        <v>20562</v>
      </c>
      <c r="E24" s="16">
        <f>D24+I24-1</f>
        <v>20567</v>
      </c>
      <c r="F24" s="1" t="s">
        <v>1592</v>
      </c>
      <c r="G24" s="16" t="s">
        <v>802</v>
      </c>
      <c r="H24" s="16" t="s">
        <v>427</v>
      </c>
      <c r="I24" s="16">
        <v>6</v>
      </c>
    </row>
    <row r="25" spans="2:9">
      <c r="B25" s="16" t="str">
        <f t="shared" si="0"/>
        <v>0x5058</v>
      </c>
      <c r="D25" s="16">
        <f t="shared" si="1"/>
        <v>20568</v>
      </c>
      <c r="F25" s="1" t="s">
        <v>1602</v>
      </c>
      <c r="G25" s="16" t="s">
        <v>541</v>
      </c>
      <c r="H25" s="16" t="s">
        <v>427</v>
      </c>
      <c r="I25" s="16">
        <v>2</v>
      </c>
    </row>
    <row r="26" spans="2:9">
      <c r="B26" s="16" t="str">
        <f t="shared" si="0"/>
        <v>0x505A</v>
      </c>
      <c r="C26" s="16" t="str">
        <f>"0x"&amp;DEC2HEX(E26,4)</f>
        <v>0x505F</v>
      </c>
      <c r="D26" s="16">
        <f t="shared" si="1"/>
        <v>20570</v>
      </c>
      <c r="E26" s="16">
        <f>D26+I26-1</f>
        <v>20575</v>
      </c>
      <c r="F26" s="1" t="s">
        <v>1592</v>
      </c>
      <c r="G26" s="16" t="s">
        <v>802</v>
      </c>
      <c r="H26" s="16" t="s">
        <v>427</v>
      </c>
      <c r="I26" s="16">
        <v>6</v>
      </c>
    </row>
    <row r="27" spans="2:9">
      <c r="B27" s="16" t="str">
        <f t="shared" si="0"/>
        <v>0x5060</v>
      </c>
      <c r="D27" s="16">
        <f t="shared" si="1"/>
        <v>20576</v>
      </c>
      <c r="F27" s="1" t="s">
        <v>1603</v>
      </c>
      <c r="G27" s="16" t="s">
        <v>541</v>
      </c>
      <c r="H27" s="16" t="s">
        <v>427</v>
      </c>
      <c r="I27" s="16">
        <v>2</v>
      </c>
    </row>
    <row r="28" spans="2:9">
      <c r="B28" s="16" t="str">
        <f t="shared" si="0"/>
        <v>0x5062</v>
      </c>
      <c r="C28" s="16" t="str">
        <f>"0x"&amp;DEC2HEX(E28,4)</f>
        <v>0x5067</v>
      </c>
      <c r="D28" s="16">
        <f t="shared" si="1"/>
        <v>20578</v>
      </c>
      <c r="E28" s="16">
        <f>D28+I28-1</f>
        <v>20583</v>
      </c>
      <c r="F28" s="1" t="s">
        <v>1592</v>
      </c>
      <c r="G28" s="16" t="s">
        <v>802</v>
      </c>
      <c r="H28" s="16" t="s">
        <v>427</v>
      </c>
      <c r="I28" s="16">
        <v>6</v>
      </c>
    </row>
    <row r="29" spans="2:9">
      <c r="B29" s="16" t="str">
        <f t="shared" si="0"/>
        <v>0x5068</v>
      </c>
      <c r="D29" s="16">
        <f t="shared" si="1"/>
        <v>20584</v>
      </c>
      <c r="F29" s="1" t="s">
        <v>1604</v>
      </c>
      <c r="G29" s="16" t="s">
        <v>541</v>
      </c>
      <c r="H29" s="16" t="s">
        <v>427</v>
      </c>
      <c r="I29" s="16">
        <v>2</v>
      </c>
    </row>
    <row r="30" spans="2:9">
      <c r="B30" s="16" t="str">
        <f t="shared" si="0"/>
        <v>0x506A</v>
      </c>
      <c r="C30" s="16" t="str">
        <f>"0x"&amp;DEC2HEX(E30,4)</f>
        <v>0x506F</v>
      </c>
      <c r="D30" s="16">
        <f t="shared" si="1"/>
        <v>20586</v>
      </c>
      <c r="E30" s="16">
        <f>D30+I30-1</f>
        <v>20591</v>
      </c>
      <c r="F30" s="1" t="s">
        <v>1592</v>
      </c>
      <c r="G30" s="16" t="s">
        <v>802</v>
      </c>
      <c r="H30" s="16" t="s">
        <v>427</v>
      </c>
      <c r="I30" s="16">
        <v>6</v>
      </c>
    </row>
    <row r="31" spans="2:9">
      <c r="B31" s="16" t="str">
        <f t="shared" si="0"/>
        <v>0x5070</v>
      </c>
      <c r="D31" s="16">
        <f t="shared" si="1"/>
        <v>20592</v>
      </c>
      <c r="F31" s="1" t="s">
        <v>1605</v>
      </c>
      <c r="G31" s="16" t="s">
        <v>541</v>
      </c>
      <c r="H31" s="16" t="s">
        <v>427</v>
      </c>
      <c r="I31" s="16">
        <v>2</v>
      </c>
    </row>
    <row r="32" spans="2:9">
      <c r="B32" s="16" t="str">
        <f t="shared" si="0"/>
        <v>0x5072</v>
      </c>
      <c r="C32" s="16" t="str">
        <f>"0x"&amp;DEC2HEX(E32,4)</f>
        <v>0x5077</v>
      </c>
      <c r="D32" s="16">
        <f t="shared" si="1"/>
        <v>20594</v>
      </c>
      <c r="E32" s="16">
        <f>D32+I32-1</f>
        <v>20599</v>
      </c>
      <c r="F32" s="1" t="s">
        <v>1592</v>
      </c>
      <c r="G32" s="16" t="s">
        <v>802</v>
      </c>
      <c r="H32" s="16" t="s">
        <v>427</v>
      </c>
      <c r="I32" s="16">
        <v>6</v>
      </c>
    </row>
    <row r="33" spans="2:9">
      <c r="B33" s="16" t="str">
        <f t="shared" si="0"/>
        <v>0x5078</v>
      </c>
      <c r="D33" s="16">
        <f t="shared" si="1"/>
        <v>20600</v>
      </c>
      <c r="F33" s="1" t="s">
        <v>1606</v>
      </c>
      <c r="G33" s="16" t="s">
        <v>541</v>
      </c>
      <c r="H33" s="16" t="s">
        <v>427</v>
      </c>
      <c r="I33" s="16">
        <v>2</v>
      </c>
    </row>
    <row r="34" spans="2:9">
      <c r="B34" s="16" t="str">
        <f t="shared" si="0"/>
        <v>0x507A</v>
      </c>
      <c r="C34" s="16" t="str">
        <f>"0x"&amp;DEC2HEX(E34,4)</f>
        <v>0x507F</v>
      </c>
      <c r="D34" s="16">
        <f t="shared" si="1"/>
        <v>20602</v>
      </c>
      <c r="E34" s="16">
        <f>D34+I34-1</f>
        <v>20607</v>
      </c>
      <c r="F34" s="1" t="s">
        <v>1592</v>
      </c>
      <c r="G34" s="16" t="s">
        <v>802</v>
      </c>
      <c r="H34" s="16" t="s">
        <v>427</v>
      </c>
      <c r="I34" s="16">
        <v>6</v>
      </c>
    </row>
    <row r="35" spans="2:9">
      <c r="B35" s="16" t="str">
        <f t="shared" si="0"/>
        <v>0x5080</v>
      </c>
      <c r="D35" s="16">
        <f t="shared" si="1"/>
        <v>20608</v>
      </c>
      <c r="F35" s="1" t="s">
        <v>1607</v>
      </c>
      <c r="G35" s="16" t="s">
        <v>541</v>
      </c>
      <c r="H35" s="16" t="s">
        <v>427</v>
      </c>
      <c r="I35" s="16">
        <v>2</v>
      </c>
    </row>
    <row r="36" spans="2:9">
      <c r="B36" s="16" t="str">
        <f t="shared" si="0"/>
        <v>0x5082</v>
      </c>
      <c r="C36" s="16" t="str">
        <f>"0x"&amp;DEC2HEX(E36,4)</f>
        <v>0x5087</v>
      </c>
      <c r="D36" s="16">
        <f t="shared" si="1"/>
        <v>20610</v>
      </c>
      <c r="E36" s="16">
        <f>D36+I36-1</f>
        <v>20615</v>
      </c>
      <c r="F36" s="1" t="s">
        <v>1592</v>
      </c>
      <c r="G36" s="16" t="s">
        <v>802</v>
      </c>
      <c r="H36" s="16" t="s">
        <v>427</v>
      </c>
      <c r="I36" s="16">
        <v>6</v>
      </c>
    </row>
    <row r="37" spans="2:9">
      <c r="B37" s="16" t="str">
        <f t="shared" si="0"/>
        <v>0x5088</v>
      </c>
      <c r="D37" s="16">
        <f t="shared" si="1"/>
        <v>20616</v>
      </c>
      <c r="F37" s="1" t="s">
        <v>1608</v>
      </c>
      <c r="G37" s="16" t="s">
        <v>541</v>
      </c>
      <c r="H37" s="16" t="s">
        <v>427</v>
      </c>
      <c r="I37" s="16">
        <v>2</v>
      </c>
    </row>
    <row r="38" spans="2:9">
      <c r="B38" s="16" t="str">
        <f t="shared" si="0"/>
        <v>0x508A</v>
      </c>
      <c r="C38" s="16" t="str">
        <f>"0x"&amp;DEC2HEX(E38,4)</f>
        <v>0x508F</v>
      </c>
      <c r="D38" s="16">
        <f t="shared" si="1"/>
        <v>20618</v>
      </c>
      <c r="E38" s="16">
        <f>D38+I38-1</f>
        <v>20623</v>
      </c>
      <c r="F38" s="1" t="s">
        <v>1592</v>
      </c>
      <c r="G38" s="16" t="s">
        <v>802</v>
      </c>
      <c r="H38" s="16" t="s">
        <v>427</v>
      </c>
      <c r="I38" s="16">
        <v>6</v>
      </c>
    </row>
    <row r="39" spans="2:9">
      <c r="B39" s="16" t="str">
        <f t="shared" si="0"/>
        <v>0x5090</v>
      </c>
      <c r="D39" s="16">
        <f t="shared" si="1"/>
        <v>20624</v>
      </c>
      <c r="F39" s="1" t="s">
        <v>1609</v>
      </c>
      <c r="G39" s="16" t="s">
        <v>541</v>
      </c>
      <c r="H39" s="16" t="s">
        <v>427</v>
      </c>
      <c r="I39" s="16">
        <v>2</v>
      </c>
    </row>
    <row r="40" spans="2:9">
      <c r="B40" s="16" t="str">
        <f t="shared" si="0"/>
        <v>0x5092</v>
      </c>
      <c r="C40" s="16" t="str">
        <f>"0x"&amp;DEC2HEX(E40,4)</f>
        <v>0x5097</v>
      </c>
      <c r="D40" s="16">
        <f t="shared" si="1"/>
        <v>20626</v>
      </c>
      <c r="E40" s="16">
        <f>D40+I40-1</f>
        <v>20631</v>
      </c>
      <c r="F40" s="1" t="s">
        <v>1592</v>
      </c>
      <c r="G40" s="16" t="s">
        <v>802</v>
      </c>
      <c r="H40" s="16" t="s">
        <v>427</v>
      </c>
      <c r="I40" s="16">
        <v>6</v>
      </c>
    </row>
    <row r="41" spans="2:9">
      <c r="B41" s="16" t="str">
        <f t="shared" si="0"/>
        <v>0x5098</v>
      </c>
      <c r="D41" s="16">
        <f t="shared" si="1"/>
        <v>20632</v>
      </c>
      <c r="F41" s="1" t="s">
        <v>1610</v>
      </c>
      <c r="G41" s="16" t="s">
        <v>541</v>
      </c>
      <c r="H41" s="16" t="s">
        <v>427</v>
      </c>
      <c r="I41" s="16">
        <v>2</v>
      </c>
    </row>
    <row r="42" spans="2:9">
      <c r="B42" s="16" t="str">
        <f t="shared" si="0"/>
        <v>0x509A</v>
      </c>
      <c r="C42" s="16" t="str">
        <f>"0x"&amp;DEC2HEX(E42,4)</f>
        <v>0x509F</v>
      </c>
      <c r="D42" s="16">
        <f t="shared" si="1"/>
        <v>20634</v>
      </c>
      <c r="E42" s="16">
        <f>D42+I42-1</f>
        <v>20639</v>
      </c>
      <c r="F42" s="1" t="s">
        <v>1592</v>
      </c>
      <c r="G42" s="16" t="s">
        <v>802</v>
      </c>
      <c r="H42" s="16" t="s">
        <v>427</v>
      </c>
      <c r="I42" s="16">
        <v>6</v>
      </c>
    </row>
    <row r="43" spans="2:9">
      <c r="B43" s="16" t="str">
        <f t="shared" si="0"/>
        <v>0x50A0</v>
      </c>
      <c r="D43" s="16">
        <f t="shared" si="1"/>
        <v>20640</v>
      </c>
      <c r="F43" s="1" t="s">
        <v>1611</v>
      </c>
      <c r="G43" s="16" t="s">
        <v>541</v>
      </c>
      <c r="H43" s="16" t="s">
        <v>427</v>
      </c>
      <c r="I43" s="16">
        <v>2</v>
      </c>
    </row>
    <row r="44" spans="2:9">
      <c r="B44" s="16" t="str">
        <f t="shared" si="0"/>
        <v>0x50A2</v>
      </c>
      <c r="C44" s="16" t="str">
        <f>"0x"&amp;DEC2HEX(E44,4)</f>
        <v>0x50A7</v>
      </c>
      <c r="D44" s="16">
        <f t="shared" si="1"/>
        <v>20642</v>
      </c>
      <c r="E44" s="16">
        <f>D44+I44-1</f>
        <v>20647</v>
      </c>
      <c r="F44" s="1" t="s">
        <v>1592</v>
      </c>
      <c r="G44" s="16" t="s">
        <v>802</v>
      </c>
      <c r="H44" s="16" t="s">
        <v>427</v>
      </c>
      <c r="I44" s="16">
        <v>6</v>
      </c>
    </row>
    <row r="45" spans="2:9">
      <c r="B45" s="16" t="str">
        <f t="shared" si="0"/>
        <v>0x50A8</v>
      </c>
      <c r="D45" s="16">
        <f t="shared" si="1"/>
        <v>20648</v>
      </c>
      <c r="F45" s="1" t="s">
        <v>1612</v>
      </c>
      <c r="G45" s="16" t="s">
        <v>541</v>
      </c>
      <c r="H45" s="16" t="s">
        <v>427</v>
      </c>
      <c r="I45" s="16">
        <v>2</v>
      </c>
    </row>
    <row r="46" spans="2:9">
      <c r="B46" s="16" t="str">
        <f t="shared" si="0"/>
        <v>0x50AA</v>
      </c>
      <c r="C46" s="16" t="str">
        <f>"0x"&amp;DEC2HEX(E46,4)</f>
        <v>0x50AF</v>
      </c>
      <c r="D46" s="16">
        <f t="shared" si="1"/>
        <v>20650</v>
      </c>
      <c r="E46" s="16">
        <f>D46+I46-1</f>
        <v>20655</v>
      </c>
      <c r="F46" s="1" t="s">
        <v>1592</v>
      </c>
      <c r="G46" s="16" t="s">
        <v>802</v>
      </c>
      <c r="H46" s="16" t="s">
        <v>427</v>
      </c>
      <c r="I46" s="16">
        <v>6</v>
      </c>
    </row>
    <row r="47" spans="2:9">
      <c r="B47" s="16" t="str">
        <f t="shared" si="0"/>
        <v>0x50B0</v>
      </c>
      <c r="D47" s="16">
        <f t="shared" si="1"/>
        <v>20656</v>
      </c>
      <c r="F47" s="1" t="s">
        <v>1613</v>
      </c>
      <c r="G47" s="16" t="s">
        <v>541</v>
      </c>
      <c r="H47" s="16" t="s">
        <v>427</v>
      </c>
      <c r="I47" s="16">
        <v>2</v>
      </c>
    </row>
    <row r="48" spans="2:9">
      <c r="B48" s="16" t="str">
        <f t="shared" si="0"/>
        <v>0x50B2</v>
      </c>
      <c r="C48" s="16" t="str">
        <f>"0x"&amp;DEC2HEX(E48,4)</f>
        <v>0x50B7</v>
      </c>
      <c r="D48" s="16">
        <f t="shared" si="1"/>
        <v>20658</v>
      </c>
      <c r="E48" s="16">
        <f>D48+I48-1</f>
        <v>20663</v>
      </c>
      <c r="F48" s="1" t="s">
        <v>1592</v>
      </c>
      <c r="G48" s="16" t="s">
        <v>802</v>
      </c>
      <c r="H48" s="16" t="s">
        <v>427</v>
      </c>
      <c r="I48" s="16">
        <v>6</v>
      </c>
    </row>
    <row r="49" spans="1:9">
      <c r="B49" s="16" t="str">
        <f t="shared" si="0"/>
        <v>0x50B8</v>
      </c>
      <c r="D49" s="16">
        <f t="shared" si="1"/>
        <v>20664</v>
      </c>
      <c r="F49" s="1" t="s">
        <v>1614</v>
      </c>
      <c r="G49" s="16" t="s">
        <v>541</v>
      </c>
      <c r="H49" s="16" t="s">
        <v>427</v>
      </c>
      <c r="I49" s="16">
        <v>2</v>
      </c>
    </row>
    <row r="50" spans="1:9">
      <c r="B50" s="16" t="str">
        <f t="shared" si="0"/>
        <v>0x50BA</v>
      </c>
      <c r="C50" s="16" t="str">
        <f>"0x"&amp;DEC2HEX(E50,4)</f>
        <v>0x50BF</v>
      </c>
      <c r="D50" s="16">
        <f t="shared" si="1"/>
        <v>20666</v>
      </c>
      <c r="E50" s="16">
        <f>D50+I50-1</f>
        <v>20671</v>
      </c>
      <c r="F50" s="1" t="s">
        <v>1592</v>
      </c>
      <c r="G50" s="16" t="s">
        <v>802</v>
      </c>
      <c r="H50" s="16" t="s">
        <v>427</v>
      </c>
      <c r="I50" s="16">
        <v>6</v>
      </c>
    </row>
    <row r="51" spans="1:9">
      <c r="B51" s="16" t="str">
        <f t="shared" si="0"/>
        <v>0x50C0</v>
      </c>
      <c r="D51" s="16">
        <f t="shared" si="1"/>
        <v>20672</v>
      </c>
      <c r="F51" s="1" t="s">
        <v>1615</v>
      </c>
      <c r="G51" s="16" t="s">
        <v>541</v>
      </c>
      <c r="H51" s="16" t="s">
        <v>427</v>
      </c>
      <c r="I51" s="16">
        <v>2</v>
      </c>
    </row>
    <row r="52" spans="1:9">
      <c r="B52" s="16" t="str">
        <f t="shared" si="0"/>
        <v>0x50C2</v>
      </c>
      <c r="C52" s="16" t="str">
        <f>"0x"&amp;DEC2HEX(E52,4)</f>
        <v>0x50C7</v>
      </c>
      <c r="D52" s="16">
        <f t="shared" si="1"/>
        <v>20674</v>
      </c>
      <c r="E52" s="16">
        <f>D52+I52-1</f>
        <v>20679</v>
      </c>
      <c r="F52" s="1" t="s">
        <v>1592</v>
      </c>
      <c r="G52" s="16" t="s">
        <v>802</v>
      </c>
      <c r="H52" s="16" t="s">
        <v>427</v>
      </c>
      <c r="I52" s="16">
        <v>6</v>
      </c>
    </row>
    <row r="53" spans="1:9" s="3" customFormat="1">
      <c r="B53" s="3" t="str">
        <f t="shared" si="0"/>
        <v>0x50C8</v>
      </c>
      <c r="D53" s="3">
        <f t="shared" si="1"/>
        <v>20680</v>
      </c>
      <c r="F53" s="4" t="s">
        <v>1641</v>
      </c>
      <c r="G53" s="3" t="s">
        <v>541</v>
      </c>
      <c r="H53" s="3" t="s">
        <v>427</v>
      </c>
      <c r="I53" s="3">
        <v>2</v>
      </c>
    </row>
    <row r="54" spans="1:9" s="3" customFormat="1">
      <c r="B54" s="3" t="str">
        <f t="shared" si="0"/>
        <v>0x50CA</v>
      </c>
      <c r="C54" s="3" t="str">
        <f>"0x"&amp;DEC2HEX(E54,4)</f>
        <v>0x50CF</v>
      </c>
      <c r="D54" s="3">
        <f>I53+D53</f>
        <v>20682</v>
      </c>
      <c r="E54" s="3">
        <f>D54+I54-1</f>
        <v>20687</v>
      </c>
      <c r="F54" s="4" t="s">
        <v>1592</v>
      </c>
      <c r="G54" s="3" t="s">
        <v>802</v>
      </c>
      <c r="H54" s="3" t="s">
        <v>427</v>
      </c>
      <c r="I54" s="3">
        <v>6</v>
      </c>
    </row>
    <row r="55" spans="1:9" s="3" customFormat="1">
      <c r="B55" s="3" t="str">
        <f t="shared" si="0"/>
        <v>0x50D0</v>
      </c>
      <c r="D55" s="3">
        <f>I54+D54</f>
        <v>20688</v>
      </c>
      <c r="E55" s="3">
        <f>D55+I55-1</f>
        <v>20689</v>
      </c>
      <c r="F55" s="4" t="s">
        <v>1642</v>
      </c>
      <c r="G55" s="3" t="s">
        <v>541</v>
      </c>
      <c r="H55" s="3" t="s">
        <v>427</v>
      </c>
      <c r="I55" s="3">
        <v>2</v>
      </c>
    </row>
    <row r="56" spans="1:9" s="3" customFormat="1">
      <c r="B56" s="3" t="str">
        <f t="shared" si="0"/>
        <v>0x50D2</v>
      </c>
      <c r="C56" s="3" t="str">
        <f>"0x"&amp;DEC2HEX(E56,4)</f>
        <v>0x50D7</v>
      </c>
      <c r="D56" s="3">
        <f>I55+D55</f>
        <v>20690</v>
      </c>
      <c r="E56" s="3">
        <f>D56+I56-1</f>
        <v>20695</v>
      </c>
      <c r="F56" s="4" t="s">
        <v>1592</v>
      </c>
      <c r="G56" s="3" t="s">
        <v>802</v>
      </c>
      <c r="H56" s="3" t="s">
        <v>427</v>
      </c>
      <c r="I56" s="3">
        <v>6</v>
      </c>
    </row>
    <row r="57" spans="1:9" s="3" customFormat="1">
      <c r="B57" s="3" t="str">
        <f t="shared" si="0"/>
        <v>0x50D8</v>
      </c>
      <c r="D57" s="3">
        <f>I56+D56</f>
        <v>20696</v>
      </c>
      <c r="E57" s="3">
        <f>D57+I57-1</f>
        <v>20697</v>
      </c>
      <c r="F57" s="4" t="s">
        <v>1643</v>
      </c>
      <c r="G57" s="3" t="s">
        <v>541</v>
      </c>
      <c r="H57" s="3" t="s">
        <v>427</v>
      </c>
      <c r="I57" s="3">
        <v>2</v>
      </c>
    </row>
    <row r="58" spans="1:9" s="3" customFormat="1">
      <c r="B58" s="3" t="str">
        <f t="shared" si="0"/>
        <v>0x50DA</v>
      </c>
      <c r="C58" s="3" t="str">
        <f>"0x"&amp;DEC2HEX(E58,4)</f>
        <v>0x50DF</v>
      </c>
      <c r="D58" s="3">
        <f>I57+D57</f>
        <v>20698</v>
      </c>
      <c r="E58" s="3">
        <f>D58+I58-1</f>
        <v>20703</v>
      </c>
      <c r="F58" s="4" t="s">
        <v>1592</v>
      </c>
      <c r="G58" s="3" t="s">
        <v>802</v>
      </c>
      <c r="H58" s="3" t="s">
        <v>427</v>
      </c>
      <c r="I58" s="3">
        <v>6</v>
      </c>
    </row>
    <row r="59" spans="1:9">
      <c r="F59" s="1"/>
    </row>
    <row r="61" spans="1:9" s="26" customFormat="1">
      <c r="A61" s="26" t="s">
        <v>163</v>
      </c>
    </row>
    <row r="62" spans="1:9">
      <c r="B62" s="16" t="str">
        <f t="shared" ref="B62:B111" si="2">"0x"&amp;DEC2HEX(D62,4)</f>
        <v>0x50E0</v>
      </c>
      <c r="D62" s="16">
        <v>20704</v>
      </c>
      <c r="F62" s="1" t="s">
        <v>1616</v>
      </c>
      <c r="G62" s="16" t="s">
        <v>541</v>
      </c>
      <c r="H62" s="16" t="s">
        <v>427</v>
      </c>
      <c r="I62" s="16">
        <v>2</v>
      </c>
    </row>
    <row r="63" spans="1:9">
      <c r="B63" s="16" t="str">
        <f t="shared" si="2"/>
        <v>0x50E2</v>
      </c>
      <c r="C63" s="16" t="str">
        <f>"0x"&amp;DEC2HEX(E63,4)</f>
        <v>0x50E7</v>
      </c>
      <c r="D63" s="16">
        <f t="shared" ref="D63:D111" si="3">I62+D62</f>
        <v>20706</v>
      </c>
      <c r="E63" s="16">
        <f>D63+I63-1</f>
        <v>20711</v>
      </c>
      <c r="F63" s="1" t="s">
        <v>1592</v>
      </c>
      <c r="G63" s="16" t="s">
        <v>802</v>
      </c>
      <c r="H63" s="16" t="s">
        <v>427</v>
      </c>
      <c r="I63" s="16">
        <v>6</v>
      </c>
    </row>
    <row r="64" spans="1:9">
      <c r="B64" s="16" t="str">
        <f t="shared" si="2"/>
        <v>0x50E8</v>
      </c>
      <c r="D64" s="16">
        <f t="shared" si="3"/>
        <v>20712</v>
      </c>
      <c r="F64" s="1" t="s">
        <v>1617</v>
      </c>
      <c r="G64" s="16" t="s">
        <v>541</v>
      </c>
      <c r="H64" s="16" t="s">
        <v>427</v>
      </c>
      <c r="I64" s="16">
        <v>2</v>
      </c>
    </row>
    <row r="65" spans="2:9">
      <c r="B65" s="16" t="str">
        <f t="shared" si="2"/>
        <v>0x50EA</v>
      </c>
      <c r="C65" s="16" t="str">
        <f>"0x"&amp;DEC2HEX(E65,4)</f>
        <v>0x50EF</v>
      </c>
      <c r="D65" s="16">
        <f t="shared" si="3"/>
        <v>20714</v>
      </c>
      <c r="E65" s="16">
        <f>D65+I65-1</f>
        <v>20719</v>
      </c>
      <c r="F65" s="1" t="s">
        <v>1592</v>
      </c>
      <c r="G65" s="16" t="s">
        <v>802</v>
      </c>
      <c r="H65" s="16" t="s">
        <v>427</v>
      </c>
      <c r="I65" s="16">
        <v>6</v>
      </c>
    </row>
    <row r="66" spans="2:9">
      <c r="B66" s="16" t="str">
        <f t="shared" si="2"/>
        <v>0x50F0</v>
      </c>
      <c r="D66" s="16">
        <f t="shared" si="3"/>
        <v>20720</v>
      </c>
      <c r="F66" s="1" t="s">
        <v>1618</v>
      </c>
      <c r="G66" s="16" t="s">
        <v>541</v>
      </c>
      <c r="H66" s="16" t="s">
        <v>427</v>
      </c>
      <c r="I66" s="16">
        <v>2</v>
      </c>
    </row>
    <row r="67" spans="2:9">
      <c r="B67" s="16" t="str">
        <f t="shared" si="2"/>
        <v>0x50F2</v>
      </c>
      <c r="C67" s="16" t="str">
        <f>"0x"&amp;DEC2HEX(E67,4)</f>
        <v>0x50F7</v>
      </c>
      <c r="D67" s="16">
        <f t="shared" si="3"/>
        <v>20722</v>
      </c>
      <c r="E67" s="16">
        <f>D67+I67-1</f>
        <v>20727</v>
      </c>
      <c r="F67" s="1" t="s">
        <v>1592</v>
      </c>
      <c r="G67" s="16" t="s">
        <v>802</v>
      </c>
      <c r="H67" s="16" t="s">
        <v>427</v>
      </c>
      <c r="I67" s="16">
        <v>6</v>
      </c>
    </row>
    <row r="68" spans="2:9">
      <c r="B68" s="16" t="str">
        <f t="shared" si="2"/>
        <v>0x50F8</v>
      </c>
      <c r="D68" s="16">
        <f t="shared" si="3"/>
        <v>20728</v>
      </c>
      <c r="F68" s="1" t="s">
        <v>1619</v>
      </c>
      <c r="G68" s="16" t="s">
        <v>541</v>
      </c>
      <c r="H68" s="16" t="s">
        <v>427</v>
      </c>
      <c r="I68" s="16">
        <v>2</v>
      </c>
    </row>
    <row r="69" spans="2:9">
      <c r="B69" s="16" t="str">
        <f t="shared" si="2"/>
        <v>0x50FA</v>
      </c>
      <c r="C69" s="16" t="str">
        <f>"0x"&amp;DEC2HEX(E69,4)</f>
        <v>0x50FF</v>
      </c>
      <c r="D69" s="16">
        <f t="shared" si="3"/>
        <v>20730</v>
      </c>
      <c r="E69" s="16">
        <f>D69+I69-1</f>
        <v>20735</v>
      </c>
      <c r="F69" s="1" t="s">
        <v>1592</v>
      </c>
      <c r="G69" s="16" t="s">
        <v>802</v>
      </c>
      <c r="H69" s="16" t="s">
        <v>427</v>
      </c>
      <c r="I69" s="16">
        <v>6</v>
      </c>
    </row>
    <row r="70" spans="2:9">
      <c r="B70" s="16" t="str">
        <f t="shared" si="2"/>
        <v>0x5100</v>
      </c>
      <c r="D70" s="16">
        <f t="shared" si="3"/>
        <v>20736</v>
      </c>
      <c r="F70" s="1" t="s">
        <v>1620</v>
      </c>
      <c r="G70" s="16" t="s">
        <v>541</v>
      </c>
      <c r="H70" s="16" t="s">
        <v>427</v>
      </c>
      <c r="I70" s="16">
        <v>2</v>
      </c>
    </row>
    <row r="71" spans="2:9">
      <c r="B71" s="16" t="str">
        <f t="shared" si="2"/>
        <v>0x5102</v>
      </c>
      <c r="C71" s="16" t="str">
        <f>"0x"&amp;DEC2HEX(E71,4)</f>
        <v>0x5107</v>
      </c>
      <c r="D71" s="16">
        <f t="shared" si="3"/>
        <v>20738</v>
      </c>
      <c r="E71" s="16">
        <f>D71+I71-1</f>
        <v>20743</v>
      </c>
      <c r="F71" s="1" t="s">
        <v>1592</v>
      </c>
      <c r="G71" s="16" t="s">
        <v>802</v>
      </c>
      <c r="H71" s="16" t="s">
        <v>427</v>
      </c>
      <c r="I71" s="16">
        <v>6</v>
      </c>
    </row>
    <row r="72" spans="2:9">
      <c r="B72" s="16" t="str">
        <f t="shared" si="2"/>
        <v>0x5108</v>
      </c>
      <c r="D72" s="16">
        <f t="shared" si="3"/>
        <v>20744</v>
      </c>
      <c r="F72" s="1" t="s">
        <v>1621</v>
      </c>
      <c r="G72" s="16" t="s">
        <v>541</v>
      </c>
      <c r="H72" s="16" t="s">
        <v>427</v>
      </c>
      <c r="I72" s="16">
        <v>2</v>
      </c>
    </row>
    <row r="73" spans="2:9">
      <c r="B73" s="16" t="str">
        <f t="shared" si="2"/>
        <v>0x510A</v>
      </c>
      <c r="C73" s="16" t="str">
        <f>"0x"&amp;DEC2HEX(E73,4)</f>
        <v>0x510F</v>
      </c>
      <c r="D73" s="16">
        <f t="shared" si="3"/>
        <v>20746</v>
      </c>
      <c r="E73" s="16">
        <f>D73+I73-1</f>
        <v>20751</v>
      </c>
      <c r="F73" s="1" t="s">
        <v>1592</v>
      </c>
      <c r="G73" s="16" t="s">
        <v>802</v>
      </c>
      <c r="H73" s="16" t="s">
        <v>427</v>
      </c>
      <c r="I73" s="16">
        <v>6</v>
      </c>
    </row>
    <row r="74" spans="2:9">
      <c r="B74" s="16" t="str">
        <f t="shared" si="2"/>
        <v>0x5110</v>
      </c>
      <c r="D74" s="16">
        <f t="shared" si="3"/>
        <v>20752</v>
      </c>
      <c r="F74" s="1" t="s">
        <v>1622</v>
      </c>
      <c r="G74" s="16" t="s">
        <v>541</v>
      </c>
      <c r="H74" s="16" t="s">
        <v>427</v>
      </c>
      <c r="I74" s="16">
        <v>2</v>
      </c>
    </row>
    <row r="75" spans="2:9">
      <c r="B75" s="16" t="str">
        <f t="shared" si="2"/>
        <v>0x5112</v>
      </c>
      <c r="C75" s="16" t="str">
        <f>"0x"&amp;DEC2HEX(E75,4)</f>
        <v>0x5117</v>
      </c>
      <c r="D75" s="16">
        <f t="shared" si="3"/>
        <v>20754</v>
      </c>
      <c r="E75" s="16">
        <f>D75+I75-1</f>
        <v>20759</v>
      </c>
      <c r="F75" s="1" t="s">
        <v>1592</v>
      </c>
      <c r="G75" s="16" t="s">
        <v>802</v>
      </c>
      <c r="H75" s="16" t="s">
        <v>427</v>
      </c>
      <c r="I75" s="16">
        <v>6</v>
      </c>
    </row>
    <row r="76" spans="2:9">
      <c r="B76" s="16" t="str">
        <f t="shared" si="2"/>
        <v>0x5118</v>
      </c>
      <c r="D76" s="16">
        <f t="shared" si="3"/>
        <v>20760</v>
      </c>
      <c r="F76" s="1" t="s">
        <v>1623</v>
      </c>
      <c r="G76" s="16" t="s">
        <v>541</v>
      </c>
      <c r="H76" s="16" t="s">
        <v>427</v>
      </c>
      <c r="I76" s="16">
        <v>2</v>
      </c>
    </row>
    <row r="77" spans="2:9">
      <c r="B77" s="16" t="str">
        <f t="shared" si="2"/>
        <v>0x511A</v>
      </c>
      <c r="C77" s="16" t="str">
        <f>"0x"&amp;DEC2HEX(E77,4)</f>
        <v>0x511F</v>
      </c>
      <c r="D77" s="16">
        <f t="shared" si="3"/>
        <v>20762</v>
      </c>
      <c r="E77" s="16">
        <f>D77+I77-1</f>
        <v>20767</v>
      </c>
      <c r="F77" s="1" t="s">
        <v>1592</v>
      </c>
      <c r="G77" s="16" t="s">
        <v>802</v>
      </c>
      <c r="H77" s="16" t="s">
        <v>427</v>
      </c>
      <c r="I77" s="16">
        <v>6</v>
      </c>
    </row>
    <row r="78" spans="2:9">
      <c r="B78" s="16" t="str">
        <f t="shared" si="2"/>
        <v>0x5120</v>
      </c>
      <c r="D78" s="16">
        <f t="shared" si="3"/>
        <v>20768</v>
      </c>
      <c r="F78" s="1" t="s">
        <v>1624</v>
      </c>
      <c r="G78" s="16" t="s">
        <v>541</v>
      </c>
      <c r="H78" s="16" t="s">
        <v>427</v>
      </c>
      <c r="I78" s="16">
        <v>2</v>
      </c>
    </row>
    <row r="79" spans="2:9">
      <c r="B79" s="16" t="str">
        <f t="shared" si="2"/>
        <v>0x5122</v>
      </c>
      <c r="C79" s="16" t="str">
        <f>"0x"&amp;DEC2HEX(E79,4)</f>
        <v>0x5127</v>
      </c>
      <c r="D79" s="16">
        <f t="shared" si="3"/>
        <v>20770</v>
      </c>
      <c r="E79" s="16">
        <f>D79+I79-1</f>
        <v>20775</v>
      </c>
      <c r="F79" s="1" t="s">
        <v>1592</v>
      </c>
      <c r="G79" s="16" t="s">
        <v>802</v>
      </c>
      <c r="H79" s="16" t="s">
        <v>427</v>
      </c>
      <c r="I79" s="16">
        <v>6</v>
      </c>
    </row>
    <row r="80" spans="2:9">
      <c r="B80" s="16" t="str">
        <f t="shared" si="2"/>
        <v>0x5128</v>
      </c>
      <c r="D80" s="16">
        <f t="shared" si="3"/>
        <v>20776</v>
      </c>
      <c r="F80" s="1" t="s">
        <v>1625</v>
      </c>
      <c r="G80" s="16" t="s">
        <v>541</v>
      </c>
      <c r="H80" s="16" t="s">
        <v>427</v>
      </c>
      <c r="I80" s="16">
        <v>2</v>
      </c>
    </row>
    <row r="81" spans="2:9">
      <c r="B81" s="16" t="str">
        <f t="shared" si="2"/>
        <v>0x512A</v>
      </c>
      <c r="C81" s="16" t="str">
        <f>"0x"&amp;DEC2HEX(E81,4)</f>
        <v>0x512F</v>
      </c>
      <c r="D81" s="16">
        <f t="shared" si="3"/>
        <v>20778</v>
      </c>
      <c r="E81" s="16">
        <f>D81+I81-1</f>
        <v>20783</v>
      </c>
      <c r="F81" s="1" t="s">
        <v>1592</v>
      </c>
      <c r="G81" s="16" t="s">
        <v>802</v>
      </c>
      <c r="H81" s="16" t="s">
        <v>427</v>
      </c>
      <c r="I81" s="16">
        <v>6</v>
      </c>
    </row>
    <row r="82" spans="2:9">
      <c r="B82" s="16" t="str">
        <f t="shared" si="2"/>
        <v>0x5130</v>
      </c>
      <c r="D82" s="16">
        <f t="shared" si="3"/>
        <v>20784</v>
      </c>
      <c r="F82" s="1" t="s">
        <v>1626</v>
      </c>
      <c r="G82" s="16" t="s">
        <v>541</v>
      </c>
      <c r="H82" s="16" t="s">
        <v>427</v>
      </c>
      <c r="I82" s="16">
        <v>2</v>
      </c>
    </row>
    <row r="83" spans="2:9">
      <c r="B83" s="16" t="str">
        <f t="shared" si="2"/>
        <v>0x5132</v>
      </c>
      <c r="C83" s="16" t="str">
        <f>"0x"&amp;DEC2HEX(E83,4)</f>
        <v>0x5137</v>
      </c>
      <c r="D83" s="16">
        <f t="shared" si="3"/>
        <v>20786</v>
      </c>
      <c r="E83" s="16">
        <f>D83+I83-1</f>
        <v>20791</v>
      </c>
      <c r="F83" s="1" t="s">
        <v>1592</v>
      </c>
      <c r="G83" s="16" t="s">
        <v>802</v>
      </c>
      <c r="H83" s="16" t="s">
        <v>427</v>
      </c>
      <c r="I83" s="16">
        <v>6</v>
      </c>
    </row>
    <row r="84" spans="2:9">
      <c r="B84" s="16" t="str">
        <f t="shared" si="2"/>
        <v>0x5138</v>
      </c>
      <c r="D84" s="16">
        <f t="shared" si="3"/>
        <v>20792</v>
      </c>
      <c r="F84" s="1" t="s">
        <v>1627</v>
      </c>
      <c r="G84" s="16" t="s">
        <v>541</v>
      </c>
      <c r="H84" s="16" t="s">
        <v>427</v>
      </c>
      <c r="I84" s="16">
        <v>2</v>
      </c>
    </row>
    <row r="85" spans="2:9">
      <c r="B85" s="16" t="str">
        <f t="shared" si="2"/>
        <v>0x513A</v>
      </c>
      <c r="C85" s="16" t="str">
        <f>"0x"&amp;DEC2HEX(E85,4)</f>
        <v>0x513F</v>
      </c>
      <c r="D85" s="16">
        <f t="shared" si="3"/>
        <v>20794</v>
      </c>
      <c r="E85" s="16">
        <f>D85+I85-1</f>
        <v>20799</v>
      </c>
      <c r="F85" s="1" t="s">
        <v>1592</v>
      </c>
      <c r="G85" s="16" t="s">
        <v>802</v>
      </c>
      <c r="H85" s="16" t="s">
        <v>427</v>
      </c>
      <c r="I85" s="16">
        <v>6</v>
      </c>
    </row>
    <row r="86" spans="2:9">
      <c r="B86" s="16" t="str">
        <f t="shared" si="2"/>
        <v>0x5140</v>
      </c>
      <c r="D86" s="16">
        <f t="shared" si="3"/>
        <v>20800</v>
      </c>
      <c r="F86" s="1" t="s">
        <v>1628</v>
      </c>
      <c r="G86" s="16" t="s">
        <v>541</v>
      </c>
      <c r="H86" s="16" t="s">
        <v>427</v>
      </c>
      <c r="I86" s="16">
        <v>2</v>
      </c>
    </row>
    <row r="87" spans="2:9">
      <c r="B87" s="16" t="str">
        <f t="shared" si="2"/>
        <v>0x5142</v>
      </c>
      <c r="C87" s="16" t="str">
        <f>"0x"&amp;DEC2HEX(E87,4)</f>
        <v>0x5147</v>
      </c>
      <c r="D87" s="16">
        <f t="shared" si="3"/>
        <v>20802</v>
      </c>
      <c r="E87" s="16">
        <f>D87+I87-1</f>
        <v>20807</v>
      </c>
      <c r="F87" s="1" t="s">
        <v>1592</v>
      </c>
      <c r="G87" s="16" t="s">
        <v>802</v>
      </c>
      <c r="H87" s="16" t="s">
        <v>427</v>
      </c>
      <c r="I87" s="16">
        <v>6</v>
      </c>
    </row>
    <row r="88" spans="2:9">
      <c r="B88" s="16" t="str">
        <f t="shared" si="2"/>
        <v>0x5148</v>
      </c>
      <c r="D88" s="16">
        <f t="shared" si="3"/>
        <v>20808</v>
      </c>
      <c r="F88" s="1" t="s">
        <v>1629</v>
      </c>
      <c r="G88" s="16" t="s">
        <v>541</v>
      </c>
      <c r="H88" s="16" t="s">
        <v>427</v>
      </c>
      <c r="I88" s="16">
        <v>2</v>
      </c>
    </row>
    <row r="89" spans="2:9">
      <c r="B89" s="16" t="str">
        <f t="shared" si="2"/>
        <v>0x514A</v>
      </c>
      <c r="C89" s="16" t="str">
        <f>"0x"&amp;DEC2HEX(E89,4)</f>
        <v>0x514F</v>
      </c>
      <c r="D89" s="16">
        <f t="shared" si="3"/>
        <v>20810</v>
      </c>
      <c r="E89" s="16">
        <f>D89+I89-1</f>
        <v>20815</v>
      </c>
      <c r="F89" s="1" t="s">
        <v>1592</v>
      </c>
      <c r="G89" s="16" t="s">
        <v>802</v>
      </c>
      <c r="H89" s="16" t="s">
        <v>427</v>
      </c>
      <c r="I89" s="16">
        <v>6</v>
      </c>
    </row>
    <row r="90" spans="2:9">
      <c r="B90" s="16" t="str">
        <f t="shared" si="2"/>
        <v>0x5150</v>
      </c>
      <c r="D90" s="16">
        <f t="shared" si="3"/>
        <v>20816</v>
      </c>
      <c r="F90" s="1" t="s">
        <v>1630</v>
      </c>
      <c r="G90" s="16" t="s">
        <v>541</v>
      </c>
      <c r="H90" s="16" t="s">
        <v>427</v>
      </c>
      <c r="I90" s="16">
        <v>2</v>
      </c>
    </row>
    <row r="91" spans="2:9">
      <c r="B91" s="16" t="str">
        <f t="shared" si="2"/>
        <v>0x5152</v>
      </c>
      <c r="C91" s="16" t="str">
        <f>"0x"&amp;DEC2HEX(E91,4)</f>
        <v>0x5157</v>
      </c>
      <c r="D91" s="16">
        <f t="shared" si="3"/>
        <v>20818</v>
      </c>
      <c r="E91" s="16">
        <f>D91+I91-1</f>
        <v>20823</v>
      </c>
      <c r="F91" s="1" t="s">
        <v>1592</v>
      </c>
      <c r="G91" s="16" t="s">
        <v>802</v>
      </c>
      <c r="H91" s="16" t="s">
        <v>427</v>
      </c>
      <c r="I91" s="16">
        <v>6</v>
      </c>
    </row>
    <row r="92" spans="2:9">
      <c r="B92" s="16" t="str">
        <f t="shared" si="2"/>
        <v>0x5158</v>
      </c>
      <c r="D92" s="16">
        <f t="shared" si="3"/>
        <v>20824</v>
      </c>
      <c r="F92" s="1" t="s">
        <v>1631</v>
      </c>
      <c r="G92" s="16" t="s">
        <v>541</v>
      </c>
      <c r="H92" s="16" t="s">
        <v>427</v>
      </c>
      <c r="I92" s="16">
        <v>2</v>
      </c>
    </row>
    <row r="93" spans="2:9">
      <c r="B93" s="16" t="str">
        <f t="shared" si="2"/>
        <v>0x515A</v>
      </c>
      <c r="C93" s="16" t="str">
        <f>"0x"&amp;DEC2HEX(E93,4)</f>
        <v>0x515F</v>
      </c>
      <c r="D93" s="16">
        <f t="shared" si="3"/>
        <v>20826</v>
      </c>
      <c r="E93" s="16">
        <f>D93+I93-1</f>
        <v>20831</v>
      </c>
      <c r="F93" s="1" t="s">
        <v>1592</v>
      </c>
      <c r="G93" s="16" t="s">
        <v>802</v>
      </c>
      <c r="H93" s="16" t="s">
        <v>427</v>
      </c>
      <c r="I93" s="16">
        <v>6</v>
      </c>
    </row>
    <row r="94" spans="2:9">
      <c r="B94" s="16" t="str">
        <f t="shared" si="2"/>
        <v>0x5160</v>
      </c>
      <c r="D94" s="16">
        <f t="shared" si="3"/>
        <v>20832</v>
      </c>
      <c r="F94" s="1" t="s">
        <v>1632</v>
      </c>
      <c r="G94" s="16" t="s">
        <v>541</v>
      </c>
      <c r="H94" s="16" t="s">
        <v>427</v>
      </c>
      <c r="I94" s="16">
        <v>2</v>
      </c>
    </row>
    <row r="95" spans="2:9">
      <c r="B95" s="16" t="str">
        <f t="shared" si="2"/>
        <v>0x5162</v>
      </c>
      <c r="C95" s="16" t="str">
        <f>"0x"&amp;DEC2HEX(E95,4)</f>
        <v>0x5167</v>
      </c>
      <c r="D95" s="16">
        <f t="shared" si="3"/>
        <v>20834</v>
      </c>
      <c r="E95" s="16">
        <f>D95+I95-1</f>
        <v>20839</v>
      </c>
      <c r="F95" s="1" t="s">
        <v>1592</v>
      </c>
      <c r="G95" s="16" t="s">
        <v>802</v>
      </c>
      <c r="H95" s="16" t="s">
        <v>427</v>
      </c>
      <c r="I95" s="16">
        <v>6</v>
      </c>
    </row>
    <row r="96" spans="2:9">
      <c r="B96" s="16" t="str">
        <f t="shared" si="2"/>
        <v>0x5168</v>
      </c>
      <c r="D96" s="16">
        <f t="shared" si="3"/>
        <v>20840</v>
      </c>
      <c r="F96" s="1" t="s">
        <v>1633</v>
      </c>
      <c r="G96" s="16" t="s">
        <v>541</v>
      </c>
      <c r="H96" s="16" t="s">
        <v>427</v>
      </c>
      <c r="I96" s="16">
        <v>2</v>
      </c>
    </row>
    <row r="97" spans="2:9">
      <c r="B97" s="16" t="str">
        <f t="shared" si="2"/>
        <v>0x516A</v>
      </c>
      <c r="C97" s="16" t="str">
        <f>"0x"&amp;DEC2HEX(E97,4)</f>
        <v>0x516F</v>
      </c>
      <c r="D97" s="16">
        <f t="shared" si="3"/>
        <v>20842</v>
      </c>
      <c r="E97" s="16">
        <f>D97+I97-1</f>
        <v>20847</v>
      </c>
      <c r="F97" s="1" t="s">
        <v>1592</v>
      </c>
      <c r="G97" s="16" t="s">
        <v>802</v>
      </c>
      <c r="H97" s="16" t="s">
        <v>427</v>
      </c>
      <c r="I97" s="16">
        <v>6</v>
      </c>
    </row>
    <row r="98" spans="2:9">
      <c r="B98" s="16" t="str">
        <f t="shared" si="2"/>
        <v>0x5170</v>
      </c>
      <c r="D98" s="16">
        <f t="shared" si="3"/>
        <v>20848</v>
      </c>
      <c r="F98" s="1" t="s">
        <v>1634</v>
      </c>
      <c r="G98" s="16" t="s">
        <v>541</v>
      </c>
      <c r="H98" s="16" t="s">
        <v>427</v>
      </c>
      <c r="I98" s="16">
        <v>2</v>
      </c>
    </row>
    <row r="99" spans="2:9">
      <c r="B99" s="16" t="str">
        <f t="shared" si="2"/>
        <v>0x5172</v>
      </c>
      <c r="C99" s="16" t="str">
        <f>"0x"&amp;DEC2HEX(E99,4)</f>
        <v>0x5177</v>
      </c>
      <c r="D99" s="16">
        <f t="shared" si="3"/>
        <v>20850</v>
      </c>
      <c r="E99" s="16">
        <f>D99+I99-1</f>
        <v>20855</v>
      </c>
      <c r="F99" s="1" t="s">
        <v>1592</v>
      </c>
      <c r="G99" s="16" t="s">
        <v>802</v>
      </c>
      <c r="H99" s="16" t="s">
        <v>427</v>
      </c>
      <c r="I99" s="16">
        <v>6</v>
      </c>
    </row>
    <row r="100" spans="2:9">
      <c r="B100" s="16" t="str">
        <f t="shared" si="2"/>
        <v>0x5178</v>
      </c>
      <c r="D100" s="16">
        <f t="shared" si="3"/>
        <v>20856</v>
      </c>
      <c r="F100" s="1" t="s">
        <v>1635</v>
      </c>
      <c r="G100" s="16" t="s">
        <v>541</v>
      </c>
      <c r="H100" s="16" t="s">
        <v>427</v>
      </c>
      <c r="I100" s="16">
        <v>2</v>
      </c>
    </row>
    <row r="101" spans="2:9">
      <c r="B101" s="16" t="str">
        <f t="shared" si="2"/>
        <v>0x517A</v>
      </c>
      <c r="C101" s="16" t="str">
        <f>"0x"&amp;DEC2HEX(E101,4)</f>
        <v>0x517F</v>
      </c>
      <c r="D101" s="16">
        <f t="shared" si="3"/>
        <v>20858</v>
      </c>
      <c r="E101" s="16">
        <f>D101+I101-1</f>
        <v>20863</v>
      </c>
      <c r="F101" s="1" t="s">
        <v>1592</v>
      </c>
      <c r="G101" s="16" t="s">
        <v>802</v>
      </c>
      <c r="H101" s="16" t="s">
        <v>427</v>
      </c>
      <c r="I101" s="16">
        <v>6</v>
      </c>
    </row>
    <row r="102" spans="2:9">
      <c r="B102" s="16" t="str">
        <f t="shared" si="2"/>
        <v>0x5180</v>
      </c>
      <c r="D102" s="16">
        <f t="shared" si="3"/>
        <v>20864</v>
      </c>
      <c r="F102" s="1" t="s">
        <v>1636</v>
      </c>
      <c r="G102" s="16" t="s">
        <v>541</v>
      </c>
      <c r="H102" s="16" t="s">
        <v>427</v>
      </c>
      <c r="I102" s="16">
        <v>2</v>
      </c>
    </row>
    <row r="103" spans="2:9">
      <c r="B103" s="16" t="str">
        <f t="shared" si="2"/>
        <v>0x5182</v>
      </c>
      <c r="C103" s="16" t="str">
        <f>"0x"&amp;DEC2HEX(E103,4)</f>
        <v>0x5187</v>
      </c>
      <c r="D103" s="16">
        <f t="shared" si="3"/>
        <v>20866</v>
      </c>
      <c r="E103" s="16">
        <f>D103+I103-1</f>
        <v>20871</v>
      </c>
      <c r="F103" s="1" t="s">
        <v>1592</v>
      </c>
      <c r="G103" s="16" t="s">
        <v>802</v>
      </c>
      <c r="H103" s="16" t="s">
        <v>427</v>
      </c>
      <c r="I103" s="16">
        <v>6</v>
      </c>
    </row>
    <row r="104" spans="2:9">
      <c r="B104" s="16" t="str">
        <f t="shared" si="2"/>
        <v>0x5188</v>
      </c>
      <c r="D104" s="16">
        <f t="shared" si="3"/>
        <v>20872</v>
      </c>
      <c r="F104" s="1" t="s">
        <v>1637</v>
      </c>
      <c r="G104" s="16" t="s">
        <v>541</v>
      </c>
      <c r="H104" s="16" t="s">
        <v>427</v>
      </c>
      <c r="I104" s="16">
        <v>2</v>
      </c>
    </row>
    <row r="105" spans="2:9">
      <c r="B105" s="16" t="str">
        <f t="shared" si="2"/>
        <v>0x518A</v>
      </c>
      <c r="C105" s="16" t="str">
        <f>"0x"&amp;DEC2HEX(E105,4)</f>
        <v>0x518F</v>
      </c>
      <c r="D105" s="16">
        <f t="shared" si="3"/>
        <v>20874</v>
      </c>
      <c r="E105" s="16">
        <f>D105+I105-1</f>
        <v>20879</v>
      </c>
      <c r="F105" s="1" t="s">
        <v>1592</v>
      </c>
      <c r="G105" s="16" t="s">
        <v>802</v>
      </c>
      <c r="H105" s="16" t="s">
        <v>427</v>
      </c>
      <c r="I105" s="16">
        <v>6</v>
      </c>
    </row>
    <row r="106" spans="2:9">
      <c r="B106" s="16" t="str">
        <f t="shared" si="2"/>
        <v>0x5190</v>
      </c>
      <c r="D106" s="16">
        <f t="shared" si="3"/>
        <v>20880</v>
      </c>
      <c r="F106" s="1" t="s">
        <v>1638</v>
      </c>
      <c r="G106" s="16" t="s">
        <v>541</v>
      </c>
      <c r="H106" s="16" t="s">
        <v>427</v>
      </c>
      <c r="I106" s="16">
        <v>2</v>
      </c>
    </row>
    <row r="107" spans="2:9">
      <c r="B107" s="16" t="str">
        <f t="shared" si="2"/>
        <v>0x5192</v>
      </c>
      <c r="C107" s="16" t="str">
        <f>"0x"&amp;DEC2HEX(E107,4)</f>
        <v>0x5197</v>
      </c>
      <c r="D107" s="16">
        <f t="shared" si="3"/>
        <v>20882</v>
      </c>
      <c r="E107" s="16">
        <f>D107+I107-1</f>
        <v>20887</v>
      </c>
      <c r="F107" s="1" t="s">
        <v>1592</v>
      </c>
      <c r="G107" s="16" t="s">
        <v>802</v>
      </c>
      <c r="H107" s="16" t="s">
        <v>427</v>
      </c>
      <c r="I107" s="16">
        <v>6</v>
      </c>
    </row>
    <row r="108" spans="2:9">
      <c r="B108" s="16" t="str">
        <f t="shared" si="2"/>
        <v>0x5198</v>
      </c>
      <c r="D108" s="16">
        <f t="shared" si="3"/>
        <v>20888</v>
      </c>
      <c r="F108" s="1" t="s">
        <v>1639</v>
      </c>
      <c r="G108" s="16" t="s">
        <v>541</v>
      </c>
      <c r="H108" s="16" t="s">
        <v>427</v>
      </c>
      <c r="I108" s="16">
        <v>2</v>
      </c>
    </row>
    <row r="109" spans="2:9">
      <c r="B109" s="16" t="str">
        <f t="shared" si="2"/>
        <v>0x519A</v>
      </c>
      <c r="C109" s="16" t="str">
        <f>"0x"&amp;DEC2HEX(E109,4)</f>
        <v>0x519F</v>
      </c>
      <c r="D109" s="16">
        <f t="shared" si="3"/>
        <v>20890</v>
      </c>
      <c r="E109" s="16">
        <f>D109+I109-1</f>
        <v>20895</v>
      </c>
      <c r="F109" s="1" t="s">
        <v>1592</v>
      </c>
      <c r="G109" s="16" t="s">
        <v>802</v>
      </c>
      <c r="H109" s="16" t="s">
        <v>427</v>
      </c>
      <c r="I109" s="16">
        <v>6</v>
      </c>
    </row>
    <row r="110" spans="2:9">
      <c r="B110" s="16" t="str">
        <f t="shared" si="2"/>
        <v>0x51A0</v>
      </c>
      <c r="D110" s="16">
        <f t="shared" si="3"/>
        <v>20896</v>
      </c>
      <c r="F110" s="1" t="s">
        <v>1640</v>
      </c>
      <c r="G110" s="16" t="s">
        <v>541</v>
      </c>
      <c r="H110" s="16" t="s">
        <v>427</v>
      </c>
      <c r="I110" s="16">
        <v>2</v>
      </c>
    </row>
    <row r="111" spans="2:9">
      <c r="B111" s="16" t="str">
        <f t="shared" si="2"/>
        <v>0x51A2</v>
      </c>
      <c r="C111" s="16" t="str">
        <f>"0x"&amp;DEC2HEX(E111,4)</f>
        <v>0x51A7</v>
      </c>
      <c r="D111" s="16">
        <f t="shared" si="3"/>
        <v>20898</v>
      </c>
      <c r="E111" s="16">
        <f>D111+I111-1</f>
        <v>20903</v>
      </c>
      <c r="F111" s="1" t="s">
        <v>1592</v>
      </c>
      <c r="G111" s="16" t="s">
        <v>802</v>
      </c>
      <c r="H111" s="16" t="s">
        <v>427</v>
      </c>
      <c r="I111" s="16">
        <v>6</v>
      </c>
    </row>
    <row r="114" spans="2:10">
      <c r="F114" s="1"/>
    </row>
    <row r="115" spans="2:10">
      <c r="F115" s="1"/>
    </row>
    <row r="116" spans="2:10">
      <c r="F116" s="1"/>
    </row>
    <row r="117" spans="2:10">
      <c r="F117" s="1"/>
    </row>
    <row r="118" spans="2:10">
      <c r="F118" s="1"/>
    </row>
    <row r="119" spans="2:10">
      <c r="F119" s="1"/>
    </row>
    <row r="122" spans="2:10">
      <c r="B122" s="16" t="str">
        <f t="shared" ref="B122:B185" si="4">"0x"&amp;DEC2HEX(D122,4)</f>
        <v>0x52E0</v>
      </c>
      <c r="D122" s="16">
        <v>21216</v>
      </c>
      <c r="F122" s="16" t="s">
        <v>1644</v>
      </c>
      <c r="G122" s="16" t="s">
        <v>541</v>
      </c>
      <c r="H122" s="16" t="s">
        <v>427</v>
      </c>
      <c r="I122" s="16">
        <v>2</v>
      </c>
      <c r="J122" s="69"/>
    </row>
    <row r="123" spans="2:10">
      <c r="B123" s="16" t="str">
        <f t="shared" si="4"/>
        <v>0x52E2</v>
      </c>
      <c r="C123" s="16" t="str">
        <f>"0x"&amp;DEC2HEX(E123,4)</f>
        <v>0x52E7</v>
      </c>
      <c r="D123" s="16">
        <f t="shared" ref="D123:D154" si="5">I122+D122</f>
        <v>21218</v>
      </c>
      <c r="E123" s="16">
        <f>D123+I123-1</f>
        <v>21223</v>
      </c>
      <c r="F123" s="16" t="s">
        <v>1592</v>
      </c>
      <c r="G123" s="16" t="s">
        <v>802</v>
      </c>
      <c r="H123" s="16" t="s">
        <v>427</v>
      </c>
      <c r="I123" s="16">
        <v>6</v>
      </c>
    </row>
    <row r="124" spans="2:10">
      <c r="B124" s="16" t="str">
        <f t="shared" si="4"/>
        <v>0x52E8</v>
      </c>
      <c r="D124" s="16">
        <f t="shared" si="5"/>
        <v>21224</v>
      </c>
      <c r="F124" s="16" t="s">
        <v>1645</v>
      </c>
      <c r="G124" s="16" t="s">
        <v>541</v>
      </c>
      <c r="H124" s="16" t="s">
        <v>427</v>
      </c>
      <c r="I124" s="16">
        <v>2</v>
      </c>
      <c r="J124" s="69"/>
    </row>
    <row r="125" spans="2:10">
      <c r="B125" s="16" t="str">
        <f t="shared" si="4"/>
        <v>0x52EA</v>
      </c>
      <c r="C125" s="16" t="str">
        <f>"0x"&amp;DEC2HEX(E125,4)</f>
        <v>0x52EF</v>
      </c>
      <c r="D125" s="16">
        <f t="shared" si="5"/>
        <v>21226</v>
      </c>
      <c r="E125" s="16">
        <f>D125+I125-1</f>
        <v>21231</v>
      </c>
      <c r="F125" s="16" t="s">
        <v>1592</v>
      </c>
      <c r="G125" s="16" t="s">
        <v>802</v>
      </c>
      <c r="H125" s="16" t="s">
        <v>427</v>
      </c>
      <c r="I125" s="16">
        <v>6</v>
      </c>
    </row>
    <row r="126" spans="2:10">
      <c r="B126" s="16" t="str">
        <f t="shared" si="4"/>
        <v>0x52F0</v>
      </c>
      <c r="D126" s="16">
        <f t="shared" si="5"/>
        <v>21232</v>
      </c>
      <c r="F126" s="16" t="s">
        <v>1646</v>
      </c>
      <c r="G126" s="16" t="s">
        <v>541</v>
      </c>
      <c r="H126" s="16" t="s">
        <v>427</v>
      </c>
      <c r="I126" s="16">
        <v>2</v>
      </c>
      <c r="J126" s="69"/>
    </row>
    <row r="127" spans="2:10">
      <c r="B127" s="16" t="str">
        <f t="shared" si="4"/>
        <v>0x52F2</v>
      </c>
      <c r="C127" s="16" t="str">
        <f>"0x"&amp;DEC2HEX(E127,4)</f>
        <v>0x52F7</v>
      </c>
      <c r="D127" s="16">
        <f t="shared" si="5"/>
        <v>21234</v>
      </c>
      <c r="E127" s="16">
        <f>D127+I127-1</f>
        <v>21239</v>
      </c>
      <c r="F127" s="16" t="s">
        <v>1592</v>
      </c>
      <c r="G127" s="16" t="s">
        <v>802</v>
      </c>
      <c r="H127" s="16" t="s">
        <v>427</v>
      </c>
      <c r="I127" s="16">
        <v>6</v>
      </c>
    </row>
    <row r="128" spans="2:10">
      <c r="B128" s="16" t="str">
        <f t="shared" si="4"/>
        <v>0x52F8</v>
      </c>
      <c r="D128" s="16">
        <f t="shared" si="5"/>
        <v>21240</v>
      </c>
      <c r="F128" s="16" t="s">
        <v>1647</v>
      </c>
      <c r="G128" s="16" t="s">
        <v>541</v>
      </c>
      <c r="H128" s="16" t="s">
        <v>427</v>
      </c>
      <c r="I128" s="16">
        <v>2</v>
      </c>
      <c r="J128" s="69"/>
    </row>
    <row r="129" spans="2:10">
      <c r="B129" s="16" t="str">
        <f t="shared" si="4"/>
        <v>0x52FA</v>
      </c>
      <c r="C129" s="16" t="str">
        <f>"0x"&amp;DEC2HEX(E129,4)</f>
        <v>0x52FF</v>
      </c>
      <c r="D129" s="16">
        <f t="shared" si="5"/>
        <v>21242</v>
      </c>
      <c r="E129" s="16">
        <f>D129+I129-1</f>
        <v>21247</v>
      </c>
      <c r="F129" s="16" t="s">
        <v>1592</v>
      </c>
      <c r="G129" s="16" t="s">
        <v>802</v>
      </c>
      <c r="H129" s="16" t="s">
        <v>427</v>
      </c>
      <c r="I129" s="16">
        <v>6</v>
      </c>
    </row>
    <row r="130" spans="2:10">
      <c r="B130" s="16" t="str">
        <f t="shared" si="4"/>
        <v>0x5300</v>
      </c>
      <c r="D130" s="16">
        <f t="shared" si="5"/>
        <v>21248</v>
      </c>
      <c r="F130" s="16" t="s">
        <v>1648</v>
      </c>
      <c r="G130" s="16" t="s">
        <v>541</v>
      </c>
      <c r="H130" s="16" t="s">
        <v>427</v>
      </c>
      <c r="I130" s="16">
        <v>2</v>
      </c>
      <c r="J130" s="69"/>
    </row>
    <row r="131" spans="2:10">
      <c r="B131" s="16" t="str">
        <f t="shared" si="4"/>
        <v>0x5302</v>
      </c>
      <c r="C131" s="16" t="str">
        <f>"0x"&amp;DEC2HEX(E131,4)</f>
        <v>0x5307</v>
      </c>
      <c r="D131" s="16">
        <f t="shared" si="5"/>
        <v>21250</v>
      </c>
      <c r="E131" s="16">
        <f>D131+I131-1</f>
        <v>21255</v>
      </c>
      <c r="F131" s="16" t="s">
        <v>1592</v>
      </c>
      <c r="G131" s="16" t="s">
        <v>802</v>
      </c>
      <c r="H131" s="16" t="s">
        <v>427</v>
      </c>
      <c r="I131" s="16">
        <v>6</v>
      </c>
    </row>
    <row r="132" spans="2:10">
      <c r="B132" s="16" t="str">
        <f t="shared" si="4"/>
        <v>0x5308</v>
      </c>
      <c r="D132" s="16">
        <f t="shared" si="5"/>
        <v>21256</v>
      </c>
      <c r="F132" s="16" t="s">
        <v>1649</v>
      </c>
      <c r="G132" s="16" t="s">
        <v>541</v>
      </c>
      <c r="H132" s="16" t="s">
        <v>427</v>
      </c>
      <c r="I132" s="16">
        <v>2</v>
      </c>
      <c r="J132" s="69"/>
    </row>
    <row r="133" spans="2:10">
      <c r="B133" s="16" t="str">
        <f t="shared" si="4"/>
        <v>0x530A</v>
      </c>
      <c r="C133" s="16" t="str">
        <f>"0x"&amp;DEC2HEX(E133,4)</f>
        <v>0x530F</v>
      </c>
      <c r="D133" s="16">
        <f t="shared" si="5"/>
        <v>21258</v>
      </c>
      <c r="E133" s="16">
        <f>D133+I133-1</f>
        <v>21263</v>
      </c>
      <c r="F133" s="16" t="s">
        <v>1592</v>
      </c>
      <c r="G133" s="16" t="s">
        <v>802</v>
      </c>
      <c r="H133" s="16" t="s">
        <v>427</v>
      </c>
      <c r="I133" s="16">
        <v>6</v>
      </c>
    </row>
    <row r="134" spans="2:10">
      <c r="B134" s="16" t="str">
        <f t="shared" si="4"/>
        <v>0x5310</v>
      </c>
      <c r="D134" s="16">
        <f t="shared" si="5"/>
        <v>21264</v>
      </c>
      <c r="F134" s="16" t="s">
        <v>1650</v>
      </c>
      <c r="G134" s="16" t="s">
        <v>541</v>
      </c>
      <c r="H134" s="16" t="s">
        <v>427</v>
      </c>
      <c r="I134" s="16">
        <v>2</v>
      </c>
      <c r="J134" s="69"/>
    </row>
    <row r="135" spans="2:10">
      <c r="B135" s="16" t="str">
        <f t="shared" si="4"/>
        <v>0x5312</v>
      </c>
      <c r="C135" s="16" t="str">
        <f>"0x"&amp;DEC2HEX(E135,4)</f>
        <v>0x5317</v>
      </c>
      <c r="D135" s="16">
        <f t="shared" si="5"/>
        <v>21266</v>
      </c>
      <c r="E135" s="16">
        <f>D135+I135-1</f>
        <v>21271</v>
      </c>
      <c r="F135" s="16" t="s">
        <v>1592</v>
      </c>
      <c r="G135" s="16" t="s">
        <v>802</v>
      </c>
      <c r="H135" s="16" t="s">
        <v>427</v>
      </c>
      <c r="I135" s="16">
        <v>6</v>
      </c>
    </row>
    <row r="136" spans="2:10">
      <c r="B136" s="16" t="str">
        <f t="shared" si="4"/>
        <v>0x5318</v>
      </c>
      <c r="D136" s="16">
        <f t="shared" si="5"/>
        <v>21272</v>
      </c>
      <c r="F136" s="16" t="s">
        <v>1651</v>
      </c>
      <c r="G136" s="16" t="s">
        <v>541</v>
      </c>
      <c r="H136" s="16" t="s">
        <v>427</v>
      </c>
      <c r="I136" s="16">
        <v>2</v>
      </c>
      <c r="J136" s="69"/>
    </row>
    <row r="137" spans="2:10">
      <c r="B137" s="16" t="str">
        <f t="shared" si="4"/>
        <v>0x531A</v>
      </c>
      <c r="C137" s="16" t="str">
        <f>"0x"&amp;DEC2HEX(E137,4)</f>
        <v>0x531F</v>
      </c>
      <c r="D137" s="16">
        <f t="shared" si="5"/>
        <v>21274</v>
      </c>
      <c r="E137" s="16">
        <f>D137+I137-1</f>
        <v>21279</v>
      </c>
      <c r="F137" s="16" t="s">
        <v>1592</v>
      </c>
      <c r="G137" s="16" t="s">
        <v>802</v>
      </c>
      <c r="H137" s="16" t="s">
        <v>427</v>
      </c>
      <c r="I137" s="16">
        <v>6</v>
      </c>
    </row>
    <row r="138" spans="2:10">
      <c r="B138" s="16" t="str">
        <f t="shared" si="4"/>
        <v>0x5320</v>
      </c>
      <c r="D138" s="16">
        <f t="shared" si="5"/>
        <v>21280</v>
      </c>
      <c r="F138" s="16" t="s">
        <v>1652</v>
      </c>
      <c r="G138" s="16" t="s">
        <v>541</v>
      </c>
      <c r="H138" s="16" t="s">
        <v>427</v>
      </c>
      <c r="I138" s="16">
        <v>2</v>
      </c>
      <c r="J138" s="69"/>
    </row>
    <row r="139" spans="2:10">
      <c r="B139" s="16" t="str">
        <f t="shared" si="4"/>
        <v>0x5322</v>
      </c>
      <c r="C139" s="16" t="str">
        <f>"0x"&amp;DEC2HEX(E139,4)</f>
        <v>0x5327</v>
      </c>
      <c r="D139" s="16">
        <f t="shared" si="5"/>
        <v>21282</v>
      </c>
      <c r="E139" s="16">
        <f>D139+I139-1</f>
        <v>21287</v>
      </c>
      <c r="F139" s="16" t="s">
        <v>1592</v>
      </c>
      <c r="G139" s="16" t="s">
        <v>802</v>
      </c>
      <c r="H139" s="16" t="s">
        <v>427</v>
      </c>
      <c r="I139" s="16">
        <v>6</v>
      </c>
    </row>
    <row r="140" spans="2:10">
      <c r="B140" s="16" t="str">
        <f t="shared" si="4"/>
        <v>0x5328</v>
      </c>
      <c r="D140" s="16">
        <f t="shared" si="5"/>
        <v>21288</v>
      </c>
      <c r="F140" s="16" t="s">
        <v>1653</v>
      </c>
      <c r="G140" s="16" t="s">
        <v>541</v>
      </c>
      <c r="H140" s="16" t="s">
        <v>427</v>
      </c>
      <c r="I140" s="16">
        <v>2</v>
      </c>
      <c r="J140" s="69"/>
    </row>
    <row r="141" spans="2:10">
      <c r="B141" s="16" t="str">
        <f t="shared" si="4"/>
        <v>0x532A</v>
      </c>
      <c r="C141" s="16" t="str">
        <f>"0x"&amp;DEC2HEX(E141,4)</f>
        <v>0x532F</v>
      </c>
      <c r="D141" s="16">
        <f t="shared" si="5"/>
        <v>21290</v>
      </c>
      <c r="E141" s="16">
        <f>D141+I141-1</f>
        <v>21295</v>
      </c>
      <c r="F141" s="16" t="s">
        <v>1592</v>
      </c>
      <c r="G141" s="16" t="s">
        <v>802</v>
      </c>
      <c r="H141" s="16" t="s">
        <v>427</v>
      </c>
      <c r="I141" s="16">
        <v>6</v>
      </c>
    </row>
    <row r="142" spans="2:10">
      <c r="B142" s="16" t="str">
        <f t="shared" si="4"/>
        <v>0x5330</v>
      </c>
      <c r="D142" s="16">
        <f t="shared" si="5"/>
        <v>21296</v>
      </c>
      <c r="F142" s="16" t="s">
        <v>1654</v>
      </c>
      <c r="G142" s="16" t="s">
        <v>541</v>
      </c>
      <c r="H142" s="16" t="s">
        <v>427</v>
      </c>
      <c r="I142" s="16">
        <v>2</v>
      </c>
      <c r="J142" s="69"/>
    </row>
    <row r="143" spans="2:10">
      <c r="B143" s="16" t="str">
        <f t="shared" si="4"/>
        <v>0x5332</v>
      </c>
      <c r="C143" s="16" t="str">
        <f>"0x"&amp;DEC2HEX(E143,4)</f>
        <v>0x5337</v>
      </c>
      <c r="D143" s="16">
        <f t="shared" si="5"/>
        <v>21298</v>
      </c>
      <c r="E143" s="16">
        <f>D143+I143-1</f>
        <v>21303</v>
      </c>
      <c r="F143" s="16" t="s">
        <v>1592</v>
      </c>
      <c r="G143" s="16" t="s">
        <v>802</v>
      </c>
      <c r="H143" s="16" t="s">
        <v>427</v>
      </c>
      <c r="I143" s="16">
        <v>6</v>
      </c>
    </row>
    <row r="144" spans="2:10">
      <c r="B144" s="16" t="str">
        <f t="shared" si="4"/>
        <v>0x5338</v>
      </c>
      <c r="D144" s="16">
        <f t="shared" si="5"/>
        <v>21304</v>
      </c>
      <c r="F144" s="16" t="s">
        <v>1655</v>
      </c>
      <c r="G144" s="16" t="s">
        <v>541</v>
      </c>
      <c r="H144" s="16" t="s">
        <v>427</v>
      </c>
      <c r="I144" s="16">
        <v>2</v>
      </c>
      <c r="J144" s="69"/>
    </row>
    <row r="145" spans="2:10">
      <c r="B145" s="16" t="str">
        <f t="shared" si="4"/>
        <v>0x533A</v>
      </c>
      <c r="C145" s="16" t="str">
        <f>"0x"&amp;DEC2HEX(E145,4)</f>
        <v>0x533F</v>
      </c>
      <c r="D145" s="16">
        <f t="shared" si="5"/>
        <v>21306</v>
      </c>
      <c r="E145" s="16">
        <f>D145+I145-1</f>
        <v>21311</v>
      </c>
      <c r="F145" s="16" t="s">
        <v>1592</v>
      </c>
      <c r="G145" s="16" t="s">
        <v>802</v>
      </c>
      <c r="H145" s="16" t="s">
        <v>427</v>
      </c>
      <c r="I145" s="16">
        <v>6</v>
      </c>
    </row>
    <row r="146" spans="2:10">
      <c r="B146" s="16" t="str">
        <f t="shared" si="4"/>
        <v>0x5340</v>
      </c>
      <c r="D146" s="16">
        <f t="shared" si="5"/>
        <v>21312</v>
      </c>
      <c r="F146" s="16" t="s">
        <v>1656</v>
      </c>
      <c r="G146" s="16" t="s">
        <v>541</v>
      </c>
      <c r="H146" s="16" t="s">
        <v>427</v>
      </c>
      <c r="I146" s="16">
        <v>2</v>
      </c>
      <c r="J146" s="69"/>
    </row>
    <row r="147" spans="2:10">
      <c r="B147" s="16" t="str">
        <f t="shared" si="4"/>
        <v>0x5342</v>
      </c>
      <c r="C147" s="16" t="str">
        <f>"0x"&amp;DEC2HEX(E147,4)</f>
        <v>0x5347</v>
      </c>
      <c r="D147" s="16">
        <f t="shared" si="5"/>
        <v>21314</v>
      </c>
      <c r="E147" s="16">
        <f>D147+I147-1</f>
        <v>21319</v>
      </c>
      <c r="F147" s="16" t="s">
        <v>1592</v>
      </c>
      <c r="G147" s="16" t="s">
        <v>802</v>
      </c>
      <c r="H147" s="16" t="s">
        <v>427</v>
      </c>
      <c r="I147" s="16">
        <v>6</v>
      </c>
    </row>
    <row r="148" spans="2:10">
      <c r="B148" s="16" t="str">
        <f t="shared" si="4"/>
        <v>0x5348</v>
      </c>
      <c r="D148" s="16">
        <f t="shared" si="5"/>
        <v>21320</v>
      </c>
      <c r="F148" s="16" t="s">
        <v>1657</v>
      </c>
      <c r="G148" s="16" t="s">
        <v>541</v>
      </c>
      <c r="H148" s="16" t="s">
        <v>427</v>
      </c>
      <c r="I148" s="16">
        <v>2</v>
      </c>
      <c r="J148" s="69"/>
    </row>
    <row r="149" spans="2:10">
      <c r="B149" s="16" t="str">
        <f t="shared" si="4"/>
        <v>0x534A</v>
      </c>
      <c r="C149" s="16" t="str">
        <f>"0x"&amp;DEC2HEX(E149,4)</f>
        <v>0x534F</v>
      </c>
      <c r="D149" s="16">
        <f t="shared" si="5"/>
        <v>21322</v>
      </c>
      <c r="E149" s="16">
        <f>D149+I149-1</f>
        <v>21327</v>
      </c>
      <c r="F149" s="16" t="s">
        <v>1592</v>
      </c>
      <c r="G149" s="16" t="s">
        <v>802</v>
      </c>
      <c r="H149" s="16" t="s">
        <v>427</v>
      </c>
      <c r="I149" s="16">
        <v>6</v>
      </c>
    </row>
    <row r="150" spans="2:10">
      <c r="B150" s="16" t="str">
        <f t="shared" si="4"/>
        <v>0x5350</v>
      </c>
      <c r="D150" s="16">
        <f t="shared" si="5"/>
        <v>21328</v>
      </c>
      <c r="F150" s="16" t="s">
        <v>1658</v>
      </c>
      <c r="G150" s="16" t="s">
        <v>541</v>
      </c>
      <c r="H150" s="16" t="s">
        <v>427</v>
      </c>
      <c r="I150" s="16">
        <v>2</v>
      </c>
      <c r="J150" s="69"/>
    </row>
    <row r="151" spans="2:10">
      <c r="B151" s="16" t="str">
        <f t="shared" si="4"/>
        <v>0x5352</v>
      </c>
      <c r="C151" s="16" t="str">
        <f>"0x"&amp;DEC2HEX(E151,4)</f>
        <v>0x5357</v>
      </c>
      <c r="D151" s="16">
        <f t="shared" si="5"/>
        <v>21330</v>
      </c>
      <c r="E151" s="16">
        <f>D151+I151-1</f>
        <v>21335</v>
      </c>
      <c r="F151" s="16" t="s">
        <v>1592</v>
      </c>
      <c r="G151" s="16" t="s">
        <v>802</v>
      </c>
      <c r="H151" s="16" t="s">
        <v>427</v>
      </c>
      <c r="I151" s="16">
        <v>6</v>
      </c>
    </row>
    <row r="152" spans="2:10">
      <c r="B152" s="16" t="str">
        <f t="shared" si="4"/>
        <v>0x5358</v>
      </c>
      <c r="D152" s="16">
        <f t="shared" si="5"/>
        <v>21336</v>
      </c>
      <c r="F152" s="16" t="s">
        <v>1659</v>
      </c>
      <c r="G152" s="16" t="s">
        <v>541</v>
      </c>
      <c r="H152" s="16" t="s">
        <v>427</v>
      </c>
      <c r="I152" s="16">
        <v>2</v>
      </c>
      <c r="J152" s="69"/>
    </row>
    <row r="153" spans="2:10">
      <c r="B153" s="16" t="str">
        <f t="shared" si="4"/>
        <v>0x535A</v>
      </c>
      <c r="C153" s="16" t="str">
        <f>"0x"&amp;DEC2HEX(E153,4)</f>
        <v>0x535F</v>
      </c>
      <c r="D153" s="16">
        <f t="shared" si="5"/>
        <v>21338</v>
      </c>
      <c r="E153" s="16">
        <f>D153+I153-1</f>
        <v>21343</v>
      </c>
      <c r="F153" s="16" t="s">
        <v>1592</v>
      </c>
      <c r="G153" s="16" t="s">
        <v>802</v>
      </c>
      <c r="H153" s="16" t="s">
        <v>427</v>
      </c>
      <c r="I153" s="16">
        <v>6</v>
      </c>
    </row>
    <row r="154" spans="2:10">
      <c r="B154" s="16" t="str">
        <f t="shared" si="4"/>
        <v>0x5360</v>
      </c>
      <c r="D154" s="16">
        <f t="shared" si="5"/>
        <v>21344</v>
      </c>
      <c r="F154" s="16" t="s">
        <v>1660</v>
      </c>
      <c r="G154" s="16" t="s">
        <v>541</v>
      </c>
      <c r="H154" s="16" t="s">
        <v>427</v>
      </c>
      <c r="I154" s="16">
        <v>2</v>
      </c>
      <c r="J154" s="69"/>
    </row>
    <row r="155" spans="2:10">
      <c r="B155" s="16" t="str">
        <f t="shared" si="4"/>
        <v>0x5362</v>
      </c>
      <c r="C155" s="16" t="str">
        <f>"0x"&amp;DEC2HEX(E155,4)</f>
        <v>0x5367</v>
      </c>
      <c r="D155" s="16">
        <f t="shared" ref="D155:D186" si="6">I154+D154</f>
        <v>21346</v>
      </c>
      <c r="E155" s="16">
        <f>D155+I155-1</f>
        <v>21351</v>
      </c>
      <c r="F155" s="16" t="s">
        <v>1592</v>
      </c>
      <c r="G155" s="16" t="s">
        <v>802</v>
      </c>
      <c r="H155" s="16" t="s">
        <v>427</v>
      </c>
      <c r="I155" s="16">
        <v>6</v>
      </c>
    </row>
    <row r="156" spans="2:10">
      <c r="B156" s="16" t="str">
        <f t="shared" si="4"/>
        <v>0x5368</v>
      </c>
      <c r="D156" s="16">
        <f t="shared" si="6"/>
        <v>21352</v>
      </c>
      <c r="F156" s="16" t="s">
        <v>1661</v>
      </c>
      <c r="G156" s="16" t="s">
        <v>541</v>
      </c>
      <c r="H156" s="16" t="s">
        <v>427</v>
      </c>
      <c r="I156" s="16">
        <v>2</v>
      </c>
      <c r="J156" s="69"/>
    </row>
    <row r="157" spans="2:10">
      <c r="B157" s="16" t="str">
        <f t="shared" si="4"/>
        <v>0x536A</v>
      </c>
      <c r="C157" s="16" t="str">
        <f>"0x"&amp;DEC2HEX(E157,4)</f>
        <v>0x536F</v>
      </c>
      <c r="D157" s="16">
        <f t="shared" si="6"/>
        <v>21354</v>
      </c>
      <c r="E157" s="16">
        <f>D157+I157-1</f>
        <v>21359</v>
      </c>
      <c r="F157" s="16" t="s">
        <v>1592</v>
      </c>
      <c r="G157" s="16" t="s">
        <v>802</v>
      </c>
      <c r="H157" s="16" t="s">
        <v>427</v>
      </c>
      <c r="I157" s="16">
        <v>6</v>
      </c>
    </row>
    <row r="158" spans="2:10">
      <c r="B158" s="16" t="str">
        <f t="shared" si="4"/>
        <v>0x5370</v>
      </c>
      <c r="D158" s="16">
        <f t="shared" si="6"/>
        <v>21360</v>
      </c>
      <c r="F158" s="16" t="s">
        <v>1662</v>
      </c>
      <c r="G158" s="16" t="s">
        <v>541</v>
      </c>
      <c r="H158" s="16" t="s">
        <v>427</v>
      </c>
      <c r="I158" s="16">
        <v>2</v>
      </c>
      <c r="J158" s="69"/>
    </row>
    <row r="159" spans="2:10">
      <c r="B159" s="16" t="str">
        <f t="shared" si="4"/>
        <v>0x5372</v>
      </c>
      <c r="C159" s="16" t="str">
        <f>"0x"&amp;DEC2HEX(E159,4)</f>
        <v>0x5377</v>
      </c>
      <c r="D159" s="16">
        <f t="shared" si="6"/>
        <v>21362</v>
      </c>
      <c r="E159" s="16">
        <f>D159+I159-1</f>
        <v>21367</v>
      </c>
      <c r="F159" s="16" t="s">
        <v>1592</v>
      </c>
      <c r="G159" s="16" t="s">
        <v>802</v>
      </c>
      <c r="H159" s="16" t="s">
        <v>427</v>
      </c>
      <c r="I159" s="16">
        <v>6</v>
      </c>
    </row>
    <row r="160" spans="2:10">
      <c r="B160" s="16" t="str">
        <f t="shared" si="4"/>
        <v>0x5378</v>
      </c>
      <c r="D160" s="16">
        <f t="shared" si="6"/>
        <v>21368</v>
      </c>
      <c r="F160" s="16" t="s">
        <v>1663</v>
      </c>
      <c r="G160" s="16" t="s">
        <v>541</v>
      </c>
      <c r="H160" s="16" t="s">
        <v>427</v>
      </c>
      <c r="I160" s="16">
        <v>2</v>
      </c>
      <c r="J160" s="69"/>
    </row>
    <row r="161" spans="2:10">
      <c r="B161" s="16" t="str">
        <f t="shared" si="4"/>
        <v>0x537A</v>
      </c>
      <c r="C161" s="16" t="str">
        <f>"0x"&amp;DEC2HEX(E161,4)</f>
        <v>0x537F</v>
      </c>
      <c r="D161" s="16">
        <f t="shared" si="6"/>
        <v>21370</v>
      </c>
      <c r="E161" s="16">
        <f>D161+I161-1</f>
        <v>21375</v>
      </c>
      <c r="F161" s="16" t="s">
        <v>1592</v>
      </c>
      <c r="G161" s="16" t="s">
        <v>802</v>
      </c>
      <c r="H161" s="16" t="s">
        <v>427</v>
      </c>
      <c r="I161" s="16">
        <v>6</v>
      </c>
    </row>
    <row r="162" spans="2:10" ht="29.25" customHeight="1">
      <c r="B162" s="16" t="str">
        <f t="shared" si="4"/>
        <v>0x5380</v>
      </c>
      <c r="D162" s="16">
        <f t="shared" si="6"/>
        <v>21376</v>
      </c>
      <c r="F162" s="16" t="s">
        <v>1664</v>
      </c>
      <c r="G162" s="16" t="s">
        <v>541</v>
      </c>
      <c r="H162" s="16" t="s">
        <v>427</v>
      </c>
      <c r="I162" s="16">
        <v>2</v>
      </c>
      <c r="J162" s="69"/>
    </row>
    <row r="163" spans="2:10">
      <c r="B163" s="16" t="str">
        <f t="shared" si="4"/>
        <v>0x5382</v>
      </c>
      <c r="C163" s="16" t="str">
        <f>"0x"&amp;DEC2HEX(E163,4)</f>
        <v>0x5387</v>
      </c>
      <c r="D163" s="16">
        <f t="shared" si="6"/>
        <v>21378</v>
      </c>
      <c r="E163" s="16">
        <f>D163+I163-1</f>
        <v>21383</v>
      </c>
      <c r="F163" s="16" t="s">
        <v>1592</v>
      </c>
      <c r="G163" s="16" t="s">
        <v>802</v>
      </c>
      <c r="H163" s="16" t="s">
        <v>427</v>
      </c>
      <c r="I163" s="16">
        <v>6</v>
      </c>
    </row>
    <row r="164" spans="2:10">
      <c r="B164" s="16" t="str">
        <f t="shared" si="4"/>
        <v>0x5388</v>
      </c>
      <c r="D164" s="16">
        <f t="shared" si="6"/>
        <v>21384</v>
      </c>
      <c r="F164" s="16" t="s">
        <v>1665</v>
      </c>
      <c r="G164" s="16" t="s">
        <v>541</v>
      </c>
      <c r="H164" s="16" t="s">
        <v>427</v>
      </c>
      <c r="I164" s="16">
        <v>2</v>
      </c>
      <c r="J164" s="69"/>
    </row>
    <row r="165" spans="2:10">
      <c r="B165" s="16" t="str">
        <f t="shared" si="4"/>
        <v>0x538A</v>
      </c>
      <c r="C165" s="16" t="str">
        <f>"0x"&amp;DEC2HEX(E165,4)</f>
        <v>0x538F</v>
      </c>
      <c r="D165" s="16">
        <f t="shared" si="6"/>
        <v>21386</v>
      </c>
      <c r="E165" s="16">
        <f>D165+I165-1</f>
        <v>21391</v>
      </c>
      <c r="F165" s="16" t="s">
        <v>1592</v>
      </c>
      <c r="G165" s="16" t="s">
        <v>802</v>
      </c>
      <c r="H165" s="16" t="s">
        <v>427</v>
      </c>
      <c r="I165" s="16">
        <v>6</v>
      </c>
    </row>
    <row r="166" spans="2:10">
      <c r="B166" s="16" t="str">
        <f t="shared" si="4"/>
        <v>0x5390</v>
      </c>
      <c r="D166" s="16">
        <f t="shared" si="6"/>
        <v>21392</v>
      </c>
      <c r="F166" s="16" t="s">
        <v>1666</v>
      </c>
      <c r="G166" s="16" t="s">
        <v>541</v>
      </c>
      <c r="H166" s="16" t="s">
        <v>427</v>
      </c>
      <c r="I166" s="16">
        <v>2</v>
      </c>
      <c r="J166" s="69"/>
    </row>
    <row r="167" spans="2:10">
      <c r="B167" s="16" t="str">
        <f t="shared" si="4"/>
        <v>0x5392</v>
      </c>
      <c r="C167" s="16" t="str">
        <f>"0x"&amp;DEC2HEX(E167,4)</f>
        <v>0x5397</v>
      </c>
      <c r="D167" s="16">
        <f t="shared" si="6"/>
        <v>21394</v>
      </c>
      <c r="E167" s="16">
        <f>D167+I167-1</f>
        <v>21399</v>
      </c>
      <c r="F167" s="16" t="s">
        <v>1592</v>
      </c>
      <c r="G167" s="16" t="s">
        <v>802</v>
      </c>
      <c r="H167" s="16" t="s">
        <v>427</v>
      </c>
      <c r="I167" s="16">
        <v>6</v>
      </c>
    </row>
    <row r="168" spans="2:10">
      <c r="B168" s="16" t="str">
        <f t="shared" si="4"/>
        <v>0x5398</v>
      </c>
      <c r="D168" s="16">
        <f t="shared" si="6"/>
        <v>21400</v>
      </c>
      <c r="F168" s="16" t="s">
        <v>1667</v>
      </c>
      <c r="G168" s="16" t="s">
        <v>541</v>
      </c>
      <c r="H168" s="16" t="s">
        <v>427</v>
      </c>
      <c r="I168" s="16">
        <v>2</v>
      </c>
      <c r="J168" s="69"/>
    </row>
    <row r="169" spans="2:10">
      <c r="B169" s="16" t="str">
        <f t="shared" si="4"/>
        <v>0x539A</v>
      </c>
      <c r="C169" s="16" t="str">
        <f>"0x"&amp;DEC2HEX(E169,4)</f>
        <v>0x539F</v>
      </c>
      <c r="D169" s="16">
        <f t="shared" si="6"/>
        <v>21402</v>
      </c>
      <c r="E169" s="16">
        <f>D169+I169-1</f>
        <v>21407</v>
      </c>
      <c r="F169" s="16" t="s">
        <v>1592</v>
      </c>
      <c r="G169" s="16" t="s">
        <v>802</v>
      </c>
      <c r="H169" s="16" t="s">
        <v>427</v>
      </c>
      <c r="I169" s="16">
        <v>6</v>
      </c>
    </row>
    <row r="170" spans="2:10">
      <c r="B170" s="16" t="str">
        <f t="shared" si="4"/>
        <v>0x53A0</v>
      </c>
      <c r="D170" s="16">
        <f t="shared" si="6"/>
        <v>21408</v>
      </c>
      <c r="F170" s="16" t="s">
        <v>1668</v>
      </c>
      <c r="G170" s="16" t="s">
        <v>541</v>
      </c>
      <c r="H170" s="16" t="s">
        <v>427</v>
      </c>
      <c r="I170" s="16">
        <v>2</v>
      </c>
      <c r="J170" s="69"/>
    </row>
    <row r="171" spans="2:10">
      <c r="B171" s="16" t="str">
        <f t="shared" si="4"/>
        <v>0x53A2</v>
      </c>
      <c r="C171" s="16" t="str">
        <f>"0x"&amp;DEC2HEX(E171,4)</f>
        <v>0x53A7</v>
      </c>
      <c r="D171" s="16">
        <f t="shared" si="6"/>
        <v>21410</v>
      </c>
      <c r="E171" s="16">
        <f>D171+I171-1</f>
        <v>21415</v>
      </c>
      <c r="F171" s="16" t="s">
        <v>1592</v>
      </c>
      <c r="G171" s="16" t="s">
        <v>802</v>
      </c>
      <c r="H171" s="16" t="s">
        <v>427</v>
      </c>
      <c r="I171" s="16">
        <v>6</v>
      </c>
    </row>
    <row r="172" spans="2:10">
      <c r="B172" s="16" t="str">
        <f t="shared" si="4"/>
        <v>0x53A8</v>
      </c>
      <c r="D172" s="16">
        <f t="shared" si="6"/>
        <v>21416</v>
      </c>
      <c r="F172" s="16" t="s">
        <v>1669</v>
      </c>
      <c r="G172" s="16" t="s">
        <v>541</v>
      </c>
      <c r="H172" s="16" t="s">
        <v>427</v>
      </c>
      <c r="I172" s="16">
        <v>2</v>
      </c>
      <c r="J172" s="69"/>
    </row>
    <row r="173" spans="2:10">
      <c r="B173" s="16" t="str">
        <f t="shared" si="4"/>
        <v>0x53AA</v>
      </c>
      <c r="C173" s="16" t="str">
        <f>"0x"&amp;DEC2HEX(E173,4)</f>
        <v>0x53AF</v>
      </c>
      <c r="D173" s="16">
        <f t="shared" si="6"/>
        <v>21418</v>
      </c>
      <c r="E173" s="16">
        <f>D173+I173-1</f>
        <v>21423</v>
      </c>
      <c r="F173" s="16" t="s">
        <v>1592</v>
      </c>
      <c r="G173" s="16" t="s">
        <v>802</v>
      </c>
      <c r="H173" s="16" t="s">
        <v>427</v>
      </c>
      <c r="I173" s="16">
        <v>6</v>
      </c>
    </row>
    <row r="174" spans="2:10">
      <c r="B174" s="16" t="str">
        <f t="shared" si="4"/>
        <v>0x53B0</v>
      </c>
      <c r="D174" s="16">
        <f t="shared" si="6"/>
        <v>21424</v>
      </c>
      <c r="F174" s="16" t="s">
        <v>1670</v>
      </c>
      <c r="G174" s="16" t="s">
        <v>541</v>
      </c>
      <c r="H174" s="16" t="s">
        <v>427</v>
      </c>
      <c r="I174" s="16">
        <v>2</v>
      </c>
      <c r="J174" s="69"/>
    </row>
    <row r="175" spans="2:10">
      <c r="B175" s="16" t="str">
        <f t="shared" si="4"/>
        <v>0x53B2</v>
      </c>
      <c r="C175" s="16" t="str">
        <f>"0x"&amp;DEC2HEX(E175,4)</f>
        <v>0x53B7</v>
      </c>
      <c r="D175" s="16">
        <f t="shared" si="6"/>
        <v>21426</v>
      </c>
      <c r="E175" s="16">
        <f>D175+I175-1</f>
        <v>21431</v>
      </c>
      <c r="F175" s="16" t="s">
        <v>1592</v>
      </c>
      <c r="G175" s="16" t="s">
        <v>802</v>
      </c>
      <c r="H175" s="16" t="s">
        <v>427</v>
      </c>
      <c r="I175" s="16">
        <v>6</v>
      </c>
    </row>
    <row r="176" spans="2:10">
      <c r="B176" s="16" t="str">
        <f t="shared" si="4"/>
        <v>0x53B8</v>
      </c>
      <c r="D176" s="16">
        <f t="shared" si="6"/>
        <v>21432</v>
      </c>
      <c r="F176" s="16" t="s">
        <v>1671</v>
      </c>
      <c r="G176" s="16" t="s">
        <v>541</v>
      </c>
      <c r="H176" s="16" t="s">
        <v>427</v>
      </c>
      <c r="I176" s="16">
        <v>2</v>
      </c>
      <c r="J176" s="69"/>
    </row>
    <row r="177" spans="2:10">
      <c r="B177" s="16" t="str">
        <f t="shared" si="4"/>
        <v>0x53BA</v>
      </c>
      <c r="C177" s="16" t="str">
        <f>"0x"&amp;DEC2HEX(E177,4)</f>
        <v>0x53BF</v>
      </c>
      <c r="D177" s="16">
        <f t="shared" si="6"/>
        <v>21434</v>
      </c>
      <c r="E177" s="16">
        <f>D177+I177-1</f>
        <v>21439</v>
      </c>
      <c r="F177" s="16" t="s">
        <v>1592</v>
      </c>
      <c r="G177" s="16" t="s">
        <v>802</v>
      </c>
      <c r="H177" s="16" t="s">
        <v>427</v>
      </c>
      <c r="I177" s="16">
        <v>6</v>
      </c>
    </row>
    <row r="178" spans="2:10">
      <c r="B178" s="16" t="str">
        <f t="shared" si="4"/>
        <v>0x53C0</v>
      </c>
      <c r="D178" s="16">
        <f t="shared" si="6"/>
        <v>21440</v>
      </c>
      <c r="F178" s="16" t="s">
        <v>1672</v>
      </c>
      <c r="G178" s="16" t="s">
        <v>541</v>
      </c>
      <c r="H178" s="16" t="s">
        <v>427</v>
      </c>
      <c r="I178" s="16">
        <v>2</v>
      </c>
      <c r="J178" s="69"/>
    </row>
    <row r="179" spans="2:10">
      <c r="B179" s="16" t="str">
        <f t="shared" si="4"/>
        <v>0x53C2</v>
      </c>
      <c r="C179" s="16" t="str">
        <f>"0x"&amp;DEC2HEX(E179,4)</f>
        <v>0x53C7</v>
      </c>
      <c r="D179" s="16">
        <f t="shared" si="6"/>
        <v>21442</v>
      </c>
      <c r="E179" s="16">
        <f>D179+I179-1</f>
        <v>21447</v>
      </c>
      <c r="F179" s="16" t="s">
        <v>1592</v>
      </c>
      <c r="G179" s="16" t="s">
        <v>802</v>
      </c>
      <c r="H179" s="16" t="s">
        <v>427</v>
      </c>
      <c r="I179" s="16">
        <v>6</v>
      </c>
    </row>
    <row r="180" spans="2:10">
      <c r="B180" s="16" t="str">
        <f t="shared" si="4"/>
        <v>0x53C8</v>
      </c>
      <c r="D180" s="16">
        <f t="shared" si="6"/>
        <v>21448</v>
      </c>
      <c r="F180" s="16" t="s">
        <v>1673</v>
      </c>
      <c r="G180" s="16" t="s">
        <v>541</v>
      </c>
      <c r="H180" s="16" t="s">
        <v>427</v>
      </c>
      <c r="I180" s="16">
        <v>2</v>
      </c>
      <c r="J180" s="69"/>
    </row>
    <row r="181" spans="2:10">
      <c r="B181" s="16" t="str">
        <f t="shared" si="4"/>
        <v>0x53CA</v>
      </c>
      <c r="C181" s="16" t="str">
        <f>"0x"&amp;DEC2HEX(E181,4)</f>
        <v>0x53CF</v>
      </c>
      <c r="D181" s="16">
        <f t="shared" si="6"/>
        <v>21450</v>
      </c>
      <c r="E181" s="16">
        <f>D181+I181-1</f>
        <v>21455</v>
      </c>
      <c r="F181" s="16" t="s">
        <v>1592</v>
      </c>
      <c r="G181" s="16" t="s">
        <v>802</v>
      </c>
      <c r="H181" s="16" t="s">
        <v>427</v>
      </c>
      <c r="I181" s="16">
        <v>6</v>
      </c>
    </row>
    <row r="182" spans="2:10">
      <c r="B182" s="16" t="str">
        <f t="shared" si="4"/>
        <v>0x53D0</v>
      </c>
      <c r="D182" s="16">
        <f t="shared" si="6"/>
        <v>21456</v>
      </c>
      <c r="F182" s="16" t="s">
        <v>1674</v>
      </c>
      <c r="G182" s="16" t="s">
        <v>541</v>
      </c>
      <c r="H182" s="16" t="s">
        <v>427</v>
      </c>
      <c r="I182" s="16">
        <v>2</v>
      </c>
      <c r="J182" s="69"/>
    </row>
    <row r="183" spans="2:10">
      <c r="B183" s="16" t="str">
        <f t="shared" si="4"/>
        <v>0x53D2</v>
      </c>
      <c r="C183" s="16" t="str">
        <f>"0x"&amp;DEC2HEX(E183,4)</f>
        <v>0x53D7</v>
      </c>
      <c r="D183" s="16">
        <f t="shared" si="6"/>
        <v>21458</v>
      </c>
      <c r="E183" s="16">
        <f>D183+I183-1</f>
        <v>21463</v>
      </c>
      <c r="F183" s="16" t="s">
        <v>1592</v>
      </c>
      <c r="G183" s="16" t="s">
        <v>802</v>
      </c>
      <c r="H183" s="16" t="s">
        <v>427</v>
      </c>
      <c r="I183" s="16">
        <v>6</v>
      </c>
    </row>
    <row r="184" spans="2:10">
      <c r="B184" s="16" t="str">
        <f t="shared" si="4"/>
        <v>0x53D8</v>
      </c>
      <c r="D184" s="16">
        <f t="shared" si="6"/>
        <v>21464</v>
      </c>
      <c r="F184" s="16" t="s">
        <v>1675</v>
      </c>
      <c r="G184" s="16" t="s">
        <v>541</v>
      </c>
      <c r="H184" s="16" t="s">
        <v>427</v>
      </c>
      <c r="I184" s="16">
        <v>2</v>
      </c>
      <c r="J184" s="69"/>
    </row>
    <row r="185" spans="2:10">
      <c r="B185" s="16" t="str">
        <f t="shared" si="4"/>
        <v>0x53DA</v>
      </c>
      <c r="C185" s="16" t="str">
        <f>"0x"&amp;DEC2HEX(E185,4)</f>
        <v>0x53DF</v>
      </c>
      <c r="D185" s="16">
        <f t="shared" si="6"/>
        <v>21466</v>
      </c>
      <c r="E185" s="16">
        <f>D185+I185-1</f>
        <v>21471</v>
      </c>
      <c r="F185" s="16" t="s">
        <v>1592</v>
      </c>
      <c r="G185" s="16" t="s">
        <v>802</v>
      </c>
      <c r="H185" s="16" t="s">
        <v>427</v>
      </c>
      <c r="I185" s="16">
        <v>6</v>
      </c>
    </row>
    <row r="186" spans="2:10">
      <c r="B186" s="16" t="str">
        <f t="shared" ref="B186:B199" si="7">"0x"&amp;DEC2HEX(D186,4)</f>
        <v>0x53E0</v>
      </c>
      <c r="D186" s="16">
        <f t="shared" si="6"/>
        <v>21472</v>
      </c>
      <c r="F186" s="16" t="s">
        <v>1676</v>
      </c>
      <c r="G186" s="16" t="s">
        <v>541</v>
      </c>
      <c r="H186" s="16" t="s">
        <v>427</v>
      </c>
      <c r="I186" s="16">
        <v>2</v>
      </c>
      <c r="J186" s="69"/>
    </row>
    <row r="187" spans="2:10">
      <c r="B187" s="16" t="str">
        <f t="shared" si="7"/>
        <v>0x53E2</v>
      </c>
      <c r="C187" s="16" t="str">
        <f>"0x"&amp;DEC2HEX(E187,4)</f>
        <v>0x53E7</v>
      </c>
      <c r="D187" s="16">
        <f t="shared" ref="D187:D199" si="8">I186+D186</f>
        <v>21474</v>
      </c>
      <c r="E187" s="16">
        <f>D187+I187-1</f>
        <v>21479</v>
      </c>
      <c r="F187" s="16" t="s">
        <v>1592</v>
      </c>
      <c r="G187" s="16" t="s">
        <v>802</v>
      </c>
      <c r="H187" s="16" t="s">
        <v>427</v>
      </c>
      <c r="I187" s="16">
        <v>6</v>
      </c>
    </row>
    <row r="188" spans="2:10">
      <c r="B188" s="16" t="str">
        <f t="shared" si="7"/>
        <v>0x53E8</v>
      </c>
      <c r="D188" s="16">
        <f t="shared" si="8"/>
        <v>21480</v>
      </c>
      <c r="F188" s="16" t="s">
        <v>1677</v>
      </c>
      <c r="G188" s="16" t="s">
        <v>541</v>
      </c>
      <c r="H188" s="16" t="s">
        <v>427</v>
      </c>
      <c r="I188" s="16">
        <v>2</v>
      </c>
      <c r="J188" s="69"/>
    </row>
    <row r="189" spans="2:10">
      <c r="B189" s="16" t="str">
        <f t="shared" si="7"/>
        <v>0x53EA</v>
      </c>
      <c r="C189" s="16" t="str">
        <f>"0x"&amp;DEC2HEX(E189,4)</f>
        <v>0x53EF</v>
      </c>
      <c r="D189" s="16">
        <f t="shared" si="8"/>
        <v>21482</v>
      </c>
      <c r="E189" s="16">
        <f>D189+I189-1</f>
        <v>21487</v>
      </c>
      <c r="F189" s="16" t="s">
        <v>1592</v>
      </c>
      <c r="G189" s="16" t="s">
        <v>802</v>
      </c>
      <c r="H189" s="16" t="s">
        <v>427</v>
      </c>
      <c r="I189" s="16">
        <v>6</v>
      </c>
    </row>
    <row r="190" spans="2:10">
      <c r="B190" s="16" t="str">
        <f t="shared" si="7"/>
        <v>0x53F0</v>
      </c>
      <c r="D190" s="16">
        <f t="shared" si="8"/>
        <v>21488</v>
      </c>
      <c r="F190" s="16" t="s">
        <v>1678</v>
      </c>
      <c r="G190" s="16" t="s">
        <v>541</v>
      </c>
      <c r="H190" s="16" t="s">
        <v>427</v>
      </c>
      <c r="I190" s="16">
        <v>2</v>
      </c>
      <c r="J190" s="69"/>
    </row>
    <row r="191" spans="2:10">
      <c r="B191" s="16" t="str">
        <f t="shared" si="7"/>
        <v>0x53F2</v>
      </c>
      <c r="C191" s="16" t="str">
        <f>"0x"&amp;DEC2HEX(E191,4)</f>
        <v>0x53F7</v>
      </c>
      <c r="D191" s="16">
        <f t="shared" si="8"/>
        <v>21490</v>
      </c>
      <c r="E191" s="16">
        <f>D191+I191-1</f>
        <v>21495</v>
      </c>
      <c r="F191" s="16" t="s">
        <v>1592</v>
      </c>
      <c r="G191" s="16" t="s">
        <v>802</v>
      </c>
      <c r="H191" s="16" t="s">
        <v>427</v>
      </c>
      <c r="I191" s="16">
        <v>6</v>
      </c>
    </row>
    <row r="192" spans="2:10">
      <c r="B192" s="16" t="str">
        <f t="shared" si="7"/>
        <v>0x53F8</v>
      </c>
      <c r="D192" s="16">
        <f t="shared" si="8"/>
        <v>21496</v>
      </c>
      <c r="F192" s="16" t="s">
        <v>1679</v>
      </c>
      <c r="G192" s="16" t="s">
        <v>541</v>
      </c>
      <c r="H192" s="16" t="s">
        <v>427</v>
      </c>
      <c r="I192" s="16">
        <v>2</v>
      </c>
      <c r="J192" s="69"/>
    </row>
    <row r="193" spans="2:10">
      <c r="B193" s="16" t="str">
        <f t="shared" si="7"/>
        <v>0x53FA</v>
      </c>
      <c r="C193" s="16" t="str">
        <f>"0x"&amp;DEC2HEX(E193,4)</f>
        <v>0x53FF</v>
      </c>
      <c r="D193" s="16">
        <f t="shared" si="8"/>
        <v>21498</v>
      </c>
      <c r="E193" s="16">
        <f>D193+I193-1</f>
        <v>21503</v>
      </c>
      <c r="F193" s="16" t="s">
        <v>1592</v>
      </c>
      <c r="G193" s="16" t="s">
        <v>802</v>
      </c>
      <c r="H193" s="16" t="s">
        <v>427</v>
      </c>
      <c r="I193" s="16">
        <v>6</v>
      </c>
    </row>
    <row r="194" spans="2:10">
      <c r="B194" s="16" t="str">
        <f t="shared" si="7"/>
        <v>0x5400</v>
      </c>
      <c r="D194" s="16">
        <f t="shared" si="8"/>
        <v>21504</v>
      </c>
      <c r="F194" s="16" t="s">
        <v>1680</v>
      </c>
      <c r="G194" s="16" t="s">
        <v>541</v>
      </c>
      <c r="H194" s="16" t="s">
        <v>427</v>
      </c>
      <c r="I194" s="16">
        <v>2</v>
      </c>
      <c r="J194" s="69"/>
    </row>
    <row r="195" spans="2:10">
      <c r="B195" s="16" t="str">
        <f t="shared" si="7"/>
        <v>0x5402</v>
      </c>
      <c r="C195" s="16" t="str">
        <f>"0x"&amp;DEC2HEX(E195,4)</f>
        <v>0x5407</v>
      </c>
      <c r="D195" s="16">
        <f t="shared" si="8"/>
        <v>21506</v>
      </c>
      <c r="E195" s="16">
        <f>D195+I195-1</f>
        <v>21511</v>
      </c>
      <c r="F195" s="16" t="s">
        <v>1592</v>
      </c>
      <c r="G195" s="16" t="s">
        <v>802</v>
      </c>
      <c r="H195" s="16" t="s">
        <v>427</v>
      </c>
      <c r="I195" s="16">
        <v>6</v>
      </c>
    </row>
    <row r="196" spans="2:10">
      <c r="B196" s="16" t="str">
        <f t="shared" si="7"/>
        <v>0x5408</v>
      </c>
      <c r="D196" s="16">
        <f t="shared" si="8"/>
        <v>21512</v>
      </c>
      <c r="F196" s="16" t="s">
        <v>1681</v>
      </c>
      <c r="G196" s="16" t="s">
        <v>541</v>
      </c>
      <c r="H196" s="16" t="s">
        <v>427</v>
      </c>
      <c r="I196" s="16">
        <v>2</v>
      </c>
      <c r="J196" s="69"/>
    </row>
    <row r="197" spans="2:10">
      <c r="B197" s="16" t="str">
        <f t="shared" si="7"/>
        <v>0x540A</v>
      </c>
      <c r="C197" s="16" t="str">
        <f>"0x"&amp;DEC2HEX(E197,4)</f>
        <v>0x540F</v>
      </c>
      <c r="D197" s="16">
        <f t="shared" si="8"/>
        <v>21514</v>
      </c>
      <c r="E197" s="16">
        <f>D197+I197-1</f>
        <v>21519</v>
      </c>
      <c r="F197" s="16" t="s">
        <v>1592</v>
      </c>
      <c r="G197" s="16" t="s">
        <v>802</v>
      </c>
      <c r="H197" s="16" t="s">
        <v>427</v>
      </c>
      <c r="I197" s="16">
        <v>6</v>
      </c>
    </row>
    <row r="198" spans="2:10">
      <c r="B198" s="16" t="str">
        <f t="shared" si="7"/>
        <v>0x5410</v>
      </c>
      <c r="D198" s="16">
        <f t="shared" si="8"/>
        <v>21520</v>
      </c>
      <c r="F198" s="16" t="s">
        <v>1682</v>
      </c>
      <c r="G198" s="16" t="s">
        <v>541</v>
      </c>
      <c r="H198" s="16" t="s">
        <v>427</v>
      </c>
      <c r="I198" s="16">
        <v>2</v>
      </c>
    </row>
    <row r="199" spans="2:10">
      <c r="B199" s="16" t="str">
        <f t="shared" si="7"/>
        <v>0x5412</v>
      </c>
      <c r="C199" s="16" t="str">
        <f>"0x"&amp;DEC2HEX(E199,4)</f>
        <v>0x5417</v>
      </c>
      <c r="D199" s="16">
        <f t="shared" si="8"/>
        <v>21522</v>
      </c>
      <c r="E199" s="16">
        <f>D199+I199-1</f>
        <v>21527</v>
      </c>
      <c r="F199" s="16" t="s">
        <v>1592</v>
      </c>
      <c r="G199" s="16" t="s">
        <v>802</v>
      </c>
      <c r="H199" s="16" t="s">
        <v>427</v>
      </c>
      <c r="I199" s="16">
        <v>6</v>
      </c>
    </row>
    <row r="201" spans="2:10">
      <c r="B201" s="16" t="str">
        <f t="shared" ref="B201:B264" si="9">"0x"&amp;DEC2HEX(D201,4)</f>
        <v>0x5418</v>
      </c>
      <c r="D201" s="16">
        <v>21528</v>
      </c>
      <c r="F201" s="16" t="s">
        <v>1683</v>
      </c>
      <c r="G201" s="16" t="s">
        <v>541</v>
      </c>
      <c r="H201" s="16" t="s">
        <v>427</v>
      </c>
      <c r="I201" s="16">
        <v>2</v>
      </c>
      <c r="J201" s="69"/>
    </row>
    <row r="202" spans="2:10">
      <c r="B202" s="16" t="str">
        <f t="shared" si="9"/>
        <v>0x541A</v>
      </c>
      <c r="C202" s="16" t="str">
        <f>"0x"&amp;DEC2HEX(E202,4)</f>
        <v>0x541F</v>
      </c>
      <c r="D202" s="16">
        <f t="shared" ref="D202:D233" si="10">I201+D201</f>
        <v>21530</v>
      </c>
      <c r="E202" s="16">
        <f>D202+I202-1</f>
        <v>21535</v>
      </c>
      <c r="F202" s="16" t="s">
        <v>1592</v>
      </c>
      <c r="G202" s="16" t="s">
        <v>802</v>
      </c>
      <c r="H202" s="16" t="s">
        <v>427</v>
      </c>
      <c r="I202" s="16">
        <v>6</v>
      </c>
    </row>
    <row r="203" spans="2:10">
      <c r="B203" s="16" t="str">
        <f t="shared" si="9"/>
        <v>0x5420</v>
      </c>
      <c r="D203" s="16">
        <f t="shared" si="10"/>
        <v>21536</v>
      </c>
      <c r="F203" s="16" t="s">
        <v>1684</v>
      </c>
      <c r="G203" s="16" t="s">
        <v>541</v>
      </c>
      <c r="H203" s="16" t="s">
        <v>427</v>
      </c>
      <c r="I203" s="16">
        <v>2</v>
      </c>
      <c r="J203" s="69"/>
    </row>
    <row r="204" spans="2:10">
      <c r="B204" s="16" t="str">
        <f t="shared" si="9"/>
        <v>0x5422</v>
      </c>
      <c r="C204" s="16" t="str">
        <f>"0x"&amp;DEC2HEX(E204,4)</f>
        <v>0x5427</v>
      </c>
      <c r="D204" s="16">
        <f t="shared" si="10"/>
        <v>21538</v>
      </c>
      <c r="E204" s="16">
        <f>D204+I204-1</f>
        <v>21543</v>
      </c>
      <c r="F204" s="16" t="s">
        <v>1592</v>
      </c>
      <c r="G204" s="16" t="s">
        <v>802</v>
      </c>
      <c r="H204" s="16" t="s">
        <v>427</v>
      </c>
      <c r="I204" s="16">
        <v>6</v>
      </c>
    </row>
    <row r="205" spans="2:10">
      <c r="B205" s="16" t="str">
        <f t="shared" si="9"/>
        <v>0x5428</v>
      </c>
      <c r="D205" s="16">
        <f t="shared" si="10"/>
        <v>21544</v>
      </c>
      <c r="F205" s="16" t="s">
        <v>1685</v>
      </c>
      <c r="G205" s="16" t="s">
        <v>541</v>
      </c>
      <c r="H205" s="16" t="s">
        <v>427</v>
      </c>
      <c r="I205" s="16">
        <v>2</v>
      </c>
      <c r="J205" s="69"/>
    </row>
    <row r="206" spans="2:10">
      <c r="B206" s="16" t="str">
        <f t="shared" si="9"/>
        <v>0x542A</v>
      </c>
      <c r="C206" s="16" t="str">
        <f>"0x"&amp;DEC2HEX(E206,4)</f>
        <v>0x542F</v>
      </c>
      <c r="D206" s="16">
        <f t="shared" si="10"/>
        <v>21546</v>
      </c>
      <c r="E206" s="16">
        <f>D206+I206-1</f>
        <v>21551</v>
      </c>
      <c r="F206" s="16" t="s">
        <v>1592</v>
      </c>
      <c r="G206" s="16" t="s">
        <v>802</v>
      </c>
      <c r="H206" s="16" t="s">
        <v>427</v>
      </c>
      <c r="I206" s="16">
        <v>6</v>
      </c>
    </row>
    <row r="207" spans="2:10">
      <c r="B207" s="16" t="str">
        <f t="shared" si="9"/>
        <v>0x5430</v>
      </c>
      <c r="D207" s="16">
        <f t="shared" si="10"/>
        <v>21552</v>
      </c>
      <c r="F207" s="16" t="s">
        <v>1686</v>
      </c>
      <c r="G207" s="16" t="s">
        <v>541</v>
      </c>
      <c r="H207" s="16" t="s">
        <v>427</v>
      </c>
      <c r="I207" s="16">
        <v>2</v>
      </c>
      <c r="J207" s="69"/>
    </row>
    <row r="208" spans="2:10">
      <c r="B208" s="16" t="str">
        <f t="shared" si="9"/>
        <v>0x5432</v>
      </c>
      <c r="C208" s="16" t="str">
        <f>"0x"&amp;DEC2HEX(E208,4)</f>
        <v>0x5437</v>
      </c>
      <c r="D208" s="16">
        <f t="shared" si="10"/>
        <v>21554</v>
      </c>
      <c r="E208" s="16">
        <f>D208+I208-1</f>
        <v>21559</v>
      </c>
      <c r="F208" s="16" t="s">
        <v>1592</v>
      </c>
      <c r="G208" s="16" t="s">
        <v>802</v>
      </c>
      <c r="H208" s="16" t="s">
        <v>427</v>
      </c>
      <c r="I208" s="16">
        <v>6</v>
      </c>
    </row>
    <row r="209" spans="2:10">
      <c r="B209" s="16" t="str">
        <f t="shared" si="9"/>
        <v>0x5438</v>
      </c>
      <c r="D209" s="16">
        <f t="shared" si="10"/>
        <v>21560</v>
      </c>
      <c r="F209" s="16" t="s">
        <v>1687</v>
      </c>
      <c r="G209" s="16" t="s">
        <v>541</v>
      </c>
      <c r="H209" s="16" t="s">
        <v>427</v>
      </c>
      <c r="I209" s="16">
        <v>2</v>
      </c>
      <c r="J209" s="69"/>
    </row>
    <row r="210" spans="2:10">
      <c r="B210" s="16" t="str">
        <f t="shared" si="9"/>
        <v>0x543A</v>
      </c>
      <c r="C210" s="16" t="str">
        <f>"0x"&amp;DEC2HEX(E210,4)</f>
        <v>0x543F</v>
      </c>
      <c r="D210" s="16">
        <f t="shared" si="10"/>
        <v>21562</v>
      </c>
      <c r="E210" s="16">
        <f>D210+I210-1</f>
        <v>21567</v>
      </c>
      <c r="F210" s="16" t="s">
        <v>1592</v>
      </c>
      <c r="G210" s="16" t="s">
        <v>802</v>
      </c>
      <c r="H210" s="16" t="s">
        <v>427</v>
      </c>
      <c r="I210" s="16">
        <v>6</v>
      </c>
    </row>
    <row r="211" spans="2:10">
      <c r="B211" s="16" t="str">
        <f t="shared" si="9"/>
        <v>0x5440</v>
      </c>
      <c r="D211" s="16">
        <f t="shared" si="10"/>
        <v>21568</v>
      </c>
      <c r="F211" s="16" t="s">
        <v>1688</v>
      </c>
      <c r="G211" s="16" t="s">
        <v>541</v>
      </c>
      <c r="H211" s="16" t="s">
        <v>427</v>
      </c>
      <c r="I211" s="16">
        <v>2</v>
      </c>
      <c r="J211" s="69"/>
    </row>
    <row r="212" spans="2:10">
      <c r="B212" s="16" t="str">
        <f t="shared" si="9"/>
        <v>0x5442</v>
      </c>
      <c r="C212" s="16" t="str">
        <f>"0x"&amp;DEC2HEX(E212,4)</f>
        <v>0x5447</v>
      </c>
      <c r="D212" s="16">
        <f t="shared" si="10"/>
        <v>21570</v>
      </c>
      <c r="E212" s="16">
        <f>D212+I212-1</f>
        <v>21575</v>
      </c>
      <c r="F212" s="16" t="s">
        <v>1592</v>
      </c>
      <c r="G212" s="16" t="s">
        <v>802</v>
      </c>
      <c r="H212" s="16" t="s">
        <v>427</v>
      </c>
      <c r="I212" s="16">
        <v>6</v>
      </c>
    </row>
    <row r="213" spans="2:10">
      <c r="B213" s="16" t="str">
        <f t="shared" si="9"/>
        <v>0x5448</v>
      </c>
      <c r="D213" s="16">
        <f t="shared" si="10"/>
        <v>21576</v>
      </c>
      <c r="F213" s="16" t="s">
        <v>1689</v>
      </c>
      <c r="G213" s="16" t="s">
        <v>541</v>
      </c>
      <c r="H213" s="16" t="s">
        <v>427</v>
      </c>
      <c r="I213" s="16">
        <v>2</v>
      </c>
      <c r="J213" s="69"/>
    </row>
    <row r="214" spans="2:10">
      <c r="B214" s="16" t="str">
        <f t="shared" si="9"/>
        <v>0x544A</v>
      </c>
      <c r="C214" s="16" t="str">
        <f>"0x"&amp;DEC2HEX(E214,4)</f>
        <v>0x544F</v>
      </c>
      <c r="D214" s="16">
        <f t="shared" si="10"/>
        <v>21578</v>
      </c>
      <c r="E214" s="16">
        <f>D214+I214-1</f>
        <v>21583</v>
      </c>
      <c r="F214" s="16" t="s">
        <v>1592</v>
      </c>
      <c r="G214" s="16" t="s">
        <v>802</v>
      </c>
      <c r="H214" s="16" t="s">
        <v>427</v>
      </c>
      <c r="I214" s="16">
        <v>6</v>
      </c>
    </row>
    <row r="215" spans="2:10">
      <c r="B215" s="16" t="str">
        <f t="shared" si="9"/>
        <v>0x5450</v>
      </c>
      <c r="D215" s="16">
        <f t="shared" si="10"/>
        <v>21584</v>
      </c>
      <c r="F215" s="16" t="s">
        <v>1690</v>
      </c>
      <c r="G215" s="16" t="s">
        <v>541</v>
      </c>
      <c r="H215" s="16" t="s">
        <v>427</v>
      </c>
      <c r="I215" s="16">
        <v>2</v>
      </c>
      <c r="J215" s="69"/>
    </row>
    <row r="216" spans="2:10">
      <c r="B216" s="16" t="str">
        <f t="shared" si="9"/>
        <v>0x5452</v>
      </c>
      <c r="C216" s="16" t="str">
        <f>"0x"&amp;DEC2HEX(E216,4)</f>
        <v>0x5457</v>
      </c>
      <c r="D216" s="16">
        <f t="shared" si="10"/>
        <v>21586</v>
      </c>
      <c r="E216" s="16">
        <f>D216+I216-1</f>
        <v>21591</v>
      </c>
      <c r="F216" s="16" t="s">
        <v>1592</v>
      </c>
      <c r="G216" s="16" t="s">
        <v>802</v>
      </c>
      <c r="H216" s="16" t="s">
        <v>427</v>
      </c>
      <c r="I216" s="16">
        <v>6</v>
      </c>
    </row>
    <row r="217" spans="2:10">
      <c r="B217" s="16" t="str">
        <f t="shared" si="9"/>
        <v>0x5458</v>
      </c>
      <c r="D217" s="16">
        <f t="shared" si="10"/>
        <v>21592</v>
      </c>
      <c r="F217" s="16" t="s">
        <v>1691</v>
      </c>
      <c r="G217" s="16" t="s">
        <v>541</v>
      </c>
      <c r="H217" s="16" t="s">
        <v>427</v>
      </c>
      <c r="I217" s="16">
        <v>2</v>
      </c>
      <c r="J217" s="69"/>
    </row>
    <row r="218" spans="2:10">
      <c r="B218" s="16" t="str">
        <f t="shared" si="9"/>
        <v>0x545A</v>
      </c>
      <c r="C218" s="16" t="str">
        <f>"0x"&amp;DEC2HEX(E218,4)</f>
        <v>0x545F</v>
      </c>
      <c r="D218" s="16">
        <f t="shared" si="10"/>
        <v>21594</v>
      </c>
      <c r="E218" s="16">
        <f>D218+I218-1</f>
        <v>21599</v>
      </c>
      <c r="F218" s="16" t="s">
        <v>1592</v>
      </c>
      <c r="G218" s="16" t="s">
        <v>802</v>
      </c>
      <c r="H218" s="16" t="s">
        <v>427</v>
      </c>
      <c r="I218" s="16">
        <v>6</v>
      </c>
    </row>
    <row r="219" spans="2:10">
      <c r="B219" s="16" t="str">
        <f t="shared" si="9"/>
        <v>0x5460</v>
      </c>
      <c r="D219" s="16">
        <f t="shared" si="10"/>
        <v>21600</v>
      </c>
      <c r="F219" s="16" t="s">
        <v>1692</v>
      </c>
      <c r="G219" s="16" t="s">
        <v>541</v>
      </c>
      <c r="H219" s="16" t="s">
        <v>427</v>
      </c>
      <c r="I219" s="16">
        <v>2</v>
      </c>
      <c r="J219" s="69"/>
    </row>
    <row r="220" spans="2:10">
      <c r="B220" s="16" t="str">
        <f t="shared" si="9"/>
        <v>0x5462</v>
      </c>
      <c r="C220" s="16" t="str">
        <f>"0x"&amp;DEC2HEX(E220,4)</f>
        <v>0x5467</v>
      </c>
      <c r="D220" s="16">
        <f t="shared" si="10"/>
        <v>21602</v>
      </c>
      <c r="E220" s="16">
        <f>D220+I220-1</f>
        <v>21607</v>
      </c>
      <c r="F220" s="16" t="s">
        <v>1592</v>
      </c>
      <c r="G220" s="16" t="s">
        <v>802</v>
      </c>
      <c r="H220" s="16" t="s">
        <v>427</v>
      </c>
      <c r="I220" s="16">
        <v>6</v>
      </c>
    </row>
    <row r="221" spans="2:10">
      <c r="B221" s="16" t="str">
        <f t="shared" si="9"/>
        <v>0x5468</v>
      </c>
      <c r="D221" s="16">
        <f t="shared" si="10"/>
        <v>21608</v>
      </c>
      <c r="F221" s="16" t="s">
        <v>1693</v>
      </c>
      <c r="G221" s="16" t="s">
        <v>541</v>
      </c>
      <c r="H221" s="16" t="s">
        <v>427</v>
      </c>
      <c r="I221" s="16">
        <v>2</v>
      </c>
      <c r="J221" s="69"/>
    </row>
    <row r="222" spans="2:10">
      <c r="B222" s="16" t="str">
        <f t="shared" si="9"/>
        <v>0x546A</v>
      </c>
      <c r="C222" s="16" t="str">
        <f>"0x"&amp;DEC2HEX(E222,4)</f>
        <v>0x546F</v>
      </c>
      <c r="D222" s="16">
        <f t="shared" si="10"/>
        <v>21610</v>
      </c>
      <c r="E222" s="16">
        <f>D222+I222-1</f>
        <v>21615</v>
      </c>
      <c r="F222" s="16" t="s">
        <v>1592</v>
      </c>
      <c r="G222" s="16" t="s">
        <v>802</v>
      </c>
      <c r="H222" s="16" t="s">
        <v>427</v>
      </c>
      <c r="I222" s="16">
        <v>6</v>
      </c>
    </row>
    <row r="223" spans="2:10">
      <c r="B223" s="16" t="str">
        <f t="shared" si="9"/>
        <v>0x5470</v>
      </c>
      <c r="D223" s="16">
        <f t="shared" si="10"/>
        <v>21616</v>
      </c>
      <c r="F223" s="16" t="s">
        <v>1694</v>
      </c>
      <c r="G223" s="16" t="s">
        <v>541</v>
      </c>
      <c r="H223" s="16" t="s">
        <v>427</v>
      </c>
      <c r="I223" s="16">
        <v>2</v>
      </c>
      <c r="J223" s="69"/>
    </row>
    <row r="224" spans="2:10">
      <c r="B224" s="16" t="str">
        <f t="shared" si="9"/>
        <v>0x5472</v>
      </c>
      <c r="C224" s="16" t="str">
        <f>"0x"&amp;DEC2HEX(E224,4)</f>
        <v>0x5477</v>
      </c>
      <c r="D224" s="16">
        <f t="shared" si="10"/>
        <v>21618</v>
      </c>
      <c r="E224" s="16">
        <f>D224+I224-1</f>
        <v>21623</v>
      </c>
      <c r="F224" s="16" t="s">
        <v>1592</v>
      </c>
      <c r="G224" s="16" t="s">
        <v>802</v>
      </c>
      <c r="H224" s="16" t="s">
        <v>427</v>
      </c>
      <c r="I224" s="16">
        <v>6</v>
      </c>
    </row>
    <row r="225" spans="2:10">
      <c r="B225" s="16" t="str">
        <f t="shared" si="9"/>
        <v>0x5478</v>
      </c>
      <c r="D225" s="16">
        <f t="shared" si="10"/>
        <v>21624</v>
      </c>
      <c r="F225" s="16" t="s">
        <v>1695</v>
      </c>
      <c r="G225" s="16" t="s">
        <v>541</v>
      </c>
      <c r="H225" s="16" t="s">
        <v>427</v>
      </c>
      <c r="I225" s="16">
        <v>2</v>
      </c>
      <c r="J225" s="69"/>
    </row>
    <row r="226" spans="2:10">
      <c r="B226" s="16" t="str">
        <f t="shared" si="9"/>
        <v>0x547A</v>
      </c>
      <c r="C226" s="16" t="str">
        <f>"0x"&amp;DEC2HEX(E226,4)</f>
        <v>0x547F</v>
      </c>
      <c r="D226" s="16">
        <f t="shared" si="10"/>
        <v>21626</v>
      </c>
      <c r="E226" s="16">
        <f>D226+I226-1</f>
        <v>21631</v>
      </c>
      <c r="F226" s="16" t="s">
        <v>1592</v>
      </c>
      <c r="G226" s="16" t="s">
        <v>802</v>
      </c>
      <c r="H226" s="16" t="s">
        <v>427</v>
      </c>
      <c r="I226" s="16">
        <v>6</v>
      </c>
    </row>
    <row r="227" spans="2:10">
      <c r="B227" s="16" t="str">
        <f t="shared" si="9"/>
        <v>0x5480</v>
      </c>
      <c r="D227" s="16">
        <f t="shared" si="10"/>
        <v>21632</v>
      </c>
      <c r="F227" s="16" t="s">
        <v>1696</v>
      </c>
      <c r="G227" s="16" t="s">
        <v>541</v>
      </c>
      <c r="H227" s="16" t="s">
        <v>427</v>
      </c>
      <c r="I227" s="16">
        <v>2</v>
      </c>
      <c r="J227" s="69"/>
    </row>
    <row r="228" spans="2:10">
      <c r="B228" s="16" t="str">
        <f t="shared" si="9"/>
        <v>0x5482</v>
      </c>
      <c r="C228" s="16" t="str">
        <f>"0x"&amp;DEC2HEX(E228,4)</f>
        <v>0x5487</v>
      </c>
      <c r="D228" s="16">
        <f t="shared" si="10"/>
        <v>21634</v>
      </c>
      <c r="E228" s="16">
        <f>D228+I228-1</f>
        <v>21639</v>
      </c>
      <c r="F228" s="16" t="s">
        <v>1592</v>
      </c>
      <c r="G228" s="16" t="s">
        <v>802</v>
      </c>
      <c r="H228" s="16" t="s">
        <v>427</v>
      </c>
      <c r="I228" s="16">
        <v>6</v>
      </c>
    </row>
    <row r="229" spans="2:10">
      <c r="B229" s="16" t="str">
        <f t="shared" si="9"/>
        <v>0x5488</v>
      </c>
      <c r="D229" s="16">
        <f t="shared" si="10"/>
        <v>21640</v>
      </c>
      <c r="F229" s="16" t="s">
        <v>1697</v>
      </c>
      <c r="G229" s="16" t="s">
        <v>541</v>
      </c>
      <c r="H229" s="16" t="s">
        <v>427</v>
      </c>
      <c r="I229" s="16">
        <v>2</v>
      </c>
      <c r="J229" s="69"/>
    </row>
    <row r="230" spans="2:10">
      <c r="B230" s="16" t="str">
        <f t="shared" si="9"/>
        <v>0x548A</v>
      </c>
      <c r="C230" s="16" t="str">
        <f>"0x"&amp;DEC2HEX(E230,4)</f>
        <v>0x548F</v>
      </c>
      <c r="D230" s="16">
        <f t="shared" si="10"/>
        <v>21642</v>
      </c>
      <c r="E230" s="16">
        <f>D230+I230-1</f>
        <v>21647</v>
      </c>
      <c r="F230" s="16" t="s">
        <v>1592</v>
      </c>
      <c r="G230" s="16" t="s">
        <v>802</v>
      </c>
      <c r="H230" s="16" t="s">
        <v>427</v>
      </c>
      <c r="I230" s="16">
        <v>6</v>
      </c>
    </row>
    <row r="231" spans="2:10">
      <c r="B231" s="16" t="str">
        <f t="shared" si="9"/>
        <v>0x5490</v>
      </c>
      <c r="D231" s="16">
        <f t="shared" si="10"/>
        <v>21648</v>
      </c>
      <c r="F231" s="16" t="s">
        <v>1698</v>
      </c>
      <c r="G231" s="16" t="s">
        <v>541</v>
      </c>
      <c r="H231" s="16" t="s">
        <v>427</v>
      </c>
      <c r="I231" s="16">
        <v>2</v>
      </c>
      <c r="J231" s="69"/>
    </row>
    <row r="232" spans="2:10">
      <c r="B232" s="16" t="str">
        <f t="shared" si="9"/>
        <v>0x5492</v>
      </c>
      <c r="C232" s="16" t="str">
        <f>"0x"&amp;DEC2HEX(E232,4)</f>
        <v>0x5497</v>
      </c>
      <c r="D232" s="16">
        <f t="shared" si="10"/>
        <v>21650</v>
      </c>
      <c r="E232" s="16">
        <f>D232+I232-1</f>
        <v>21655</v>
      </c>
      <c r="F232" s="16" t="s">
        <v>1592</v>
      </c>
      <c r="G232" s="16" t="s">
        <v>802</v>
      </c>
      <c r="H232" s="16" t="s">
        <v>427</v>
      </c>
      <c r="I232" s="16">
        <v>6</v>
      </c>
    </row>
    <row r="233" spans="2:10">
      <c r="B233" s="16" t="str">
        <f t="shared" si="9"/>
        <v>0x5498</v>
      </c>
      <c r="D233" s="16">
        <f t="shared" si="10"/>
        <v>21656</v>
      </c>
      <c r="F233" s="16" t="s">
        <v>1699</v>
      </c>
      <c r="G233" s="16" t="s">
        <v>541</v>
      </c>
      <c r="H233" s="16" t="s">
        <v>427</v>
      </c>
      <c r="I233" s="16">
        <v>2</v>
      </c>
      <c r="J233" s="69"/>
    </row>
    <row r="234" spans="2:10">
      <c r="B234" s="16" t="str">
        <f t="shared" si="9"/>
        <v>0x549A</v>
      </c>
      <c r="C234" s="16" t="str">
        <f>"0x"&amp;DEC2HEX(E234,4)</f>
        <v>0x549F</v>
      </c>
      <c r="D234" s="16">
        <f t="shared" ref="D234:D265" si="11">I233+D233</f>
        <v>21658</v>
      </c>
      <c r="E234" s="16">
        <f>D234+I234-1</f>
        <v>21663</v>
      </c>
      <c r="F234" s="16" t="s">
        <v>1592</v>
      </c>
      <c r="G234" s="16" t="s">
        <v>802</v>
      </c>
      <c r="H234" s="16" t="s">
        <v>427</v>
      </c>
      <c r="I234" s="16">
        <v>6</v>
      </c>
    </row>
    <row r="235" spans="2:10">
      <c r="B235" s="16" t="str">
        <f t="shared" si="9"/>
        <v>0x54A0</v>
      </c>
      <c r="D235" s="16">
        <f t="shared" si="11"/>
        <v>21664</v>
      </c>
      <c r="F235" s="16" t="s">
        <v>1700</v>
      </c>
      <c r="G235" s="16" t="s">
        <v>541</v>
      </c>
      <c r="H235" s="16" t="s">
        <v>427</v>
      </c>
      <c r="I235" s="16">
        <v>2</v>
      </c>
      <c r="J235" s="69"/>
    </row>
    <row r="236" spans="2:10">
      <c r="B236" s="16" t="str">
        <f t="shared" si="9"/>
        <v>0x54A2</v>
      </c>
      <c r="C236" s="16" t="str">
        <f>"0x"&amp;DEC2HEX(E236,4)</f>
        <v>0x54A7</v>
      </c>
      <c r="D236" s="16">
        <f t="shared" si="11"/>
        <v>21666</v>
      </c>
      <c r="E236" s="16">
        <f>D236+I236-1</f>
        <v>21671</v>
      </c>
      <c r="F236" s="16" t="s">
        <v>1592</v>
      </c>
      <c r="G236" s="16" t="s">
        <v>802</v>
      </c>
      <c r="H236" s="16" t="s">
        <v>427</v>
      </c>
      <c r="I236" s="16">
        <v>6</v>
      </c>
    </row>
    <row r="237" spans="2:10">
      <c r="B237" s="16" t="str">
        <f t="shared" si="9"/>
        <v>0x54A8</v>
      </c>
      <c r="D237" s="16">
        <f t="shared" si="11"/>
        <v>21672</v>
      </c>
      <c r="F237" s="16" t="s">
        <v>1701</v>
      </c>
      <c r="G237" s="16" t="s">
        <v>541</v>
      </c>
      <c r="H237" s="16" t="s">
        <v>427</v>
      </c>
      <c r="I237" s="16">
        <v>2</v>
      </c>
      <c r="J237" s="69"/>
    </row>
    <row r="238" spans="2:10">
      <c r="B238" s="16" t="str">
        <f t="shared" si="9"/>
        <v>0x54AA</v>
      </c>
      <c r="C238" s="16" t="str">
        <f>"0x"&amp;DEC2HEX(E238,4)</f>
        <v>0x54AF</v>
      </c>
      <c r="D238" s="16">
        <f t="shared" si="11"/>
        <v>21674</v>
      </c>
      <c r="E238" s="16">
        <f>D238+I238-1</f>
        <v>21679</v>
      </c>
      <c r="F238" s="16" t="s">
        <v>1592</v>
      </c>
      <c r="G238" s="16" t="s">
        <v>802</v>
      </c>
      <c r="H238" s="16" t="s">
        <v>427</v>
      </c>
      <c r="I238" s="16">
        <v>6</v>
      </c>
    </row>
    <row r="239" spans="2:10">
      <c r="B239" s="16" t="str">
        <f t="shared" si="9"/>
        <v>0x54B0</v>
      </c>
      <c r="D239" s="16">
        <f t="shared" si="11"/>
        <v>21680</v>
      </c>
      <c r="F239" s="16" t="s">
        <v>1702</v>
      </c>
      <c r="G239" s="16" t="s">
        <v>541</v>
      </c>
      <c r="H239" s="16" t="s">
        <v>427</v>
      </c>
      <c r="I239" s="16">
        <v>2</v>
      </c>
      <c r="J239" s="69"/>
    </row>
    <row r="240" spans="2:10">
      <c r="B240" s="16" t="str">
        <f t="shared" si="9"/>
        <v>0x54B2</v>
      </c>
      <c r="C240" s="16" t="str">
        <f>"0x"&amp;DEC2HEX(E240,4)</f>
        <v>0x54B7</v>
      </c>
      <c r="D240" s="16">
        <f t="shared" si="11"/>
        <v>21682</v>
      </c>
      <c r="E240" s="16">
        <f>D240+I240-1</f>
        <v>21687</v>
      </c>
      <c r="F240" s="16" t="s">
        <v>1592</v>
      </c>
      <c r="G240" s="16" t="s">
        <v>802</v>
      </c>
      <c r="H240" s="16" t="s">
        <v>427</v>
      </c>
      <c r="I240" s="16">
        <v>6</v>
      </c>
    </row>
    <row r="241" spans="2:10">
      <c r="B241" s="16" t="str">
        <f t="shared" si="9"/>
        <v>0x54B8</v>
      </c>
      <c r="D241" s="16">
        <f t="shared" si="11"/>
        <v>21688</v>
      </c>
      <c r="F241" s="16" t="s">
        <v>1703</v>
      </c>
      <c r="G241" s="16" t="s">
        <v>541</v>
      </c>
      <c r="H241" s="16" t="s">
        <v>427</v>
      </c>
      <c r="I241" s="16">
        <v>2</v>
      </c>
      <c r="J241" s="69"/>
    </row>
    <row r="242" spans="2:10">
      <c r="B242" s="16" t="str">
        <f t="shared" si="9"/>
        <v>0x54BA</v>
      </c>
      <c r="C242" s="16" t="str">
        <f>"0x"&amp;DEC2HEX(E242,4)</f>
        <v>0x54BF</v>
      </c>
      <c r="D242" s="16">
        <f t="shared" si="11"/>
        <v>21690</v>
      </c>
      <c r="E242" s="16">
        <f>D242+I242-1</f>
        <v>21695</v>
      </c>
      <c r="F242" s="16" t="s">
        <v>1592</v>
      </c>
      <c r="G242" s="16" t="s">
        <v>802</v>
      </c>
      <c r="H242" s="16" t="s">
        <v>427</v>
      </c>
      <c r="I242" s="16">
        <v>6</v>
      </c>
    </row>
    <row r="243" spans="2:10">
      <c r="B243" s="16" t="str">
        <f t="shared" si="9"/>
        <v>0x54C0</v>
      </c>
      <c r="D243" s="16">
        <f t="shared" si="11"/>
        <v>21696</v>
      </c>
      <c r="F243" s="16" t="s">
        <v>1704</v>
      </c>
      <c r="G243" s="16" t="s">
        <v>541</v>
      </c>
      <c r="H243" s="16" t="s">
        <v>427</v>
      </c>
      <c r="I243" s="16">
        <v>2</v>
      </c>
      <c r="J243" s="69"/>
    </row>
    <row r="244" spans="2:10">
      <c r="B244" s="16" t="str">
        <f t="shared" si="9"/>
        <v>0x54C2</v>
      </c>
      <c r="C244" s="16" t="str">
        <f>"0x"&amp;DEC2HEX(E244,4)</f>
        <v>0x54C7</v>
      </c>
      <c r="D244" s="16">
        <f t="shared" si="11"/>
        <v>21698</v>
      </c>
      <c r="E244" s="16">
        <f>D244+I244-1</f>
        <v>21703</v>
      </c>
      <c r="F244" s="16" t="s">
        <v>1592</v>
      </c>
      <c r="G244" s="16" t="s">
        <v>802</v>
      </c>
      <c r="H244" s="16" t="s">
        <v>427</v>
      </c>
      <c r="I244" s="16">
        <v>6</v>
      </c>
    </row>
    <row r="245" spans="2:10">
      <c r="B245" s="16" t="str">
        <f t="shared" si="9"/>
        <v>0x54C8</v>
      </c>
      <c r="D245" s="16">
        <f t="shared" si="11"/>
        <v>21704</v>
      </c>
      <c r="F245" s="16" t="s">
        <v>1705</v>
      </c>
      <c r="G245" s="16" t="s">
        <v>541</v>
      </c>
      <c r="H245" s="16" t="s">
        <v>427</v>
      </c>
      <c r="I245" s="16">
        <v>2</v>
      </c>
      <c r="J245" s="69"/>
    </row>
    <row r="246" spans="2:10">
      <c r="B246" s="16" t="str">
        <f t="shared" si="9"/>
        <v>0x54CA</v>
      </c>
      <c r="C246" s="16" t="str">
        <f>"0x"&amp;DEC2HEX(E246,4)</f>
        <v>0x54CF</v>
      </c>
      <c r="D246" s="16">
        <f t="shared" si="11"/>
        <v>21706</v>
      </c>
      <c r="E246" s="16">
        <f>D246+I246-1</f>
        <v>21711</v>
      </c>
      <c r="F246" s="16" t="s">
        <v>1592</v>
      </c>
      <c r="G246" s="16" t="s">
        <v>802</v>
      </c>
      <c r="H246" s="16" t="s">
        <v>427</v>
      </c>
      <c r="I246" s="16">
        <v>6</v>
      </c>
    </row>
    <row r="247" spans="2:10">
      <c r="B247" s="16" t="str">
        <f t="shared" si="9"/>
        <v>0x54D0</v>
      </c>
      <c r="D247" s="16">
        <f t="shared" si="11"/>
        <v>21712</v>
      </c>
      <c r="F247" s="16" t="s">
        <v>1706</v>
      </c>
      <c r="G247" s="16" t="s">
        <v>541</v>
      </c>
      <c r="H247" s="16" t="s">
        <v>427</v>
      </c>
      <c r="I247" s="16">
        <v>2</v>
      </c>
      <c r="J247" s="69"/>
    </row>
    <row r="248" spans="2:10">
      <c r="B248" s="16" t="str">
        <f t="shared" si="9"/>
        <v>0x54D2</v>
      </c>
      <c r="C248" s="16" t="str">
        <f>"0x"&amp;DEC2HEX(E248,4)</f>
        <v>0x54D7</v>
      </c>
      <c r="D248" s="16">
        <f t="shared" si="11"/>
        <v>21714</v>
      </c>
      <c r="E248" s="16">
        <f>D248+I248-1</f>
        <v>21719</v>
      </c>
      <c r="F248" s="16" t="s">
        <v>1592</v>
      </c>
      <c r="G248" s="16" t="s">
        <v>802</v>
      </c>
      <c r="H248" s="16" t="s">
        <v>427</v>
      </c>
      <c r="I248" s="16">
        <v>6</v>
      </c>
    </row>
    <row r="249" spans="2:10">
      <c r="B249" s="16" t="str">
        <f t="shared" si="9"/>
        <v>0x54D8</v>
      </c>
      <c r="D249" s="16">
        <f t="shared" si="11"/>
        <v>21720</v>
      </c>
      <c r="F249" s="16" t="s">
        <v>1707</v>
      </c>
      <c r="G249" s="16" t="s">
        <v>541</v>
      </c>
      <c r="H249" s="16" t="s">
        <v>427</v>
      </c>
      <c r="I249" s="16">
        <v>2</v>
      </c>
      <c r="J249" s="69"/>
    </row>
    <row r="250" spans="2:10">
      <c r="B250" s="16" t="str">
        <f t="shared" si="9"/>
        <v>0x54DA</v>
      </c>
      <c r="C250" s="16" t="str">
        <f>"0x"&amp;DEC2HEX(E250,4)</f>
        <v>0x54DF</v>
      </c>
      <c r="D250" s="16">
        <f t="shared" si="11"/>
        <v>21722</v>
      </c>
      <c r="E250" s="16">
        <f>D250+I250-1</f>
        <v>21727</v>
      </c>
      <c r="F250" s="16" t="s">
        <v>1592</v>
      </c>
      <c r="G250" s="16" t="s">
        <v>802</v>
      </c>
      <c r="H250" s="16" t="s">
        <v>427</v>
      </c>
      <c r="I250" s="16">
        <v>6</v>
      </c>
    </row>
    <row r="251" spans="2:10">
      <c r="B251" s="16" t="str">
        <f t="shared" si="9"/>
        <v>0x54E0</v>
      </c>
      <c r="D251" s="16">
        <f t="shared" si="11"/>
        <v>21728</v>
      </c>
      <c r="F251" s="16" t="s">
        <v>1708</v>
      </c>
      <c r="G251" s="16" t="s">
        <v>541</v>
      </c>
      <c r="H251" s="16" t="s">
        <v>427</v>
      </c>
      <c r="I251" s="16">
        <v>2</v>
      </c>
      <c r="J251" s="69"/>
    </row>
    <row r="252" spans="2:10">
      <c r="B252" s="16" t="str">
        <f t="shared" si="9"/>
        <v>0x54E2</v>
      </c>
      <c r="C252" s="16" t="str">
        <f>"0x"&amp;DEC2HEX(E252,4)</f>
        <v>0x54E7</v>
      </c>
      <c r="D252" s="16">
        <f t="shared" si="11"/>
        <v>21730</v>
      </c>
      <c r="E252" s="16">
        <f>D252+I252-1</f>
        <v>21735</v>
      </c>
      <c r="F252" s="16" t="s">
        <v>1592</v>
      </c>
      <c r="G252" s="16" t="s">
        <v>802</v>
      </c>
      <c r="H252" s="16" t="s">
        <v>427</v>
      </c>
      <c r="I252" s="16">
        <v>6</v>
      </c>
    </row>
    <row r="253" spans="2:10">
      <c r="B253" s="16" t="str">
        <f t="shared" si="9"/>
        <v>0x54E8</v>
      </c>
      <c r="D253" s="16">
        <f t="shared" si="11"/>
        <v>21736</v>
      </c>
      <c r="F253" s="16" t="s">
        <v>1709</v>
      </c>
      <c r="G253" s="16" t="s">
        <v>541</v>
      </c>
      <c r="H253" s="16" t="s">
        <v>427</v>
      </c>
      <c r="I253" s="16">
        <v>2</v>
      </c>
      <c r="J253" s="69"/>
    </row>
    <row r="254" spans="2:10">
      <c r="B254" s="16" t="str">
        <f t="shared" si="9"/>
        <v>0x54EA</v>
      </c>
      <c r="C254" s="16" t="str">
        <f>"0x"&amp;DEC2HEX(E254,4)</f>
        <v>0x54EF</v>
      </c>
      <c r="D254" s="16">
        <f t="shared" si="11"/>
        <v>21738</v>
      </c>
      <c r="E254" s="16">
        <f>D254+I254-1</f>
        <v>21743</v>
      </c>
      <c r="F254" s="16" t="s">
        <v>1592</v>
      </c>
      <c r="G254" s="16" t="s">
        <v>802</v>
      </c>
      <c r="H254" s="16" t="s">
        <v>427</v>
      </c>
      <c r="I254" s="16">
        <v>6</v>
      </c>
    </row>
    <row r="255" spans="2:10">
      <c r="B255" s="16" t="str">
        <f t="shared" si="9"/>
        <v>0x54F0</v>
      </c>
      <c r="D255" s="16">
        <f t="shared" si="11"/>
        <v>21744</v>
      </c>
      <c r="F255" s="16" t="s">
        <v>1710</v>
      </c>
      <c r="G255" s="16" t="s">
        <v>541</v>
      </c>
      <c r="H255" s="16" t="s">
        <v>427</v>
      </c>
      <c r="I255" s="16">
        <v>2</v>
      </c>
      <c r="J255" s="69"/>
    </row>
    <row r="256" spans="2:10">
      <c r="B256" s="16" t="str">
        <f t="shared" si="9"/>
        <v>0x54F2</v>
      </c>
      <c r="C256" s="16" t="str">
        <f>"0x"&amp;DEC2HEX(E256,4)</f>
        <v>0x54F7</v>
      </c>
      <c r="D256" s="16">
        <f t="shared" si="11"/>
        <v>21746</v>
      </c>
      <c r="E256" s="16">
        <f>D256+I256-1</f>
        <v>21751</v>
      </c>
      <c r="F256" s="16" t="s">
        <v>1592</v>
      </c>
      <c r="G256" s="16" t="s">
        <v>802</v>
      </c>
      <c r="H256" s="16" t="s">
        <v>427</v>
      </c>
      <c r="I256" s="16">
        <v>6</v>
      </c>
    </row>
    <row r="257" spans="2:10">
      <c r="B257" s="16" t="str">
        <f t="shared" si="9"/>
        <v>0x54F8</v>
      </c>
      <c r="D257" s="16">
        <f t="shared" si="11"/>
        <v>21752</v>
      </c>
      <c r="F257" s="16" t="s">
        <v>1711</v>
      </c>
      <c r="G257" s="16" t="s">
        <v>541</v>
      </c>
      <c r="H257" s="16" t="s">
        <v>427</v>
      </c>
      <c r="I257" s="16">
        <v>2</v>
      </c>
      <c r="J257" s="69"/>
    </row>
    <row r="258" spans="2:10">
      <c r="B258" s="16" t="str">
        <f t="shared" si="9"/>
        <v>0x54FA</v>
      </c>
      <c r="C258" s="16" t="str">
        <f>"0x"&amp;DEC2HEX(E258,4)</f>
        <v>0x54FF</v>
      </c>
      <c r="D258" s="16">
        <f t="shared" si="11"/>
        <v>21754</v>
      </c>
      <c r="E258" s="16">
        <f>D258+I258-1</f>
        <v>21759</v>
      </c>
      <c r="F258" s="16" t="s">
        <v>1592</v>
      </c>
      <c r="G258" s="16" t="s">
        <v>802</v>
      </c>
      <c r="H258" s="16" t="s">
        <v>427</v>
      </c>
      <c r="I258" s="16">
        <v>6</v>
      </c>
    </row>
    <row r="259" spans="2:10">
      <c r="B259" s="16" t="str">
        <f t="shared" si="9"/>
        <v>0x5500</v>
      </c>
      <c r="D259" s="16">
        <f t="shared" si="11"/>
        <v>21760</v>
      </c>
      <c r="F259" s="16" t="s">
        <v>1712</v>
      </c>
      <c r="G259" s="16" t="s">
        <v>541</v>
      </c>
      <c r="H259" s="16" t="s">
        <v>427</v>
      </c>
      <c r="I259" s="16">
        <v>2</v>
      </c>
      <c r="J259" s="69"/>
    </row>
    <row r="260" spans="2:10">
      <c r="B260" s="16" t="str">
        <f t="shared" si="9"/>
        <v>0x5502</v>
      </c>
      <c r="C260" s="16" t="str">
        <f>"0x"&amp;DEC2HEX(E260,4)</f>
        <v>0x5507</v>
      </c>
      <c r="D260" s="16">
        <f t="shared" si="11"/>
        <v>21762</v>
      </c>
      <c r="E260" s="16">
        <f>D260+I260-1</f>
        <v>21767</v>
      </c>
      <c r="F260" s="16" t="s">
        <v>1592</v>
      </c>
      <c r="G260" s="16" t="s">
        <v>802</v>
      </c>
      <c r="H260" s="16" t="s">
        <v>427</v>
      </c>
      <c r="I260" s="16">
        <v>6</v>
      </c>
    </row>
    <row r="261" spans="2:10">
      <c r="B261" s="16" t="str">
        <f t="shared" si="9"/>
        <v>0x5508</v>
      </c>
      <c r="D261" s="16">
        <f t="shared" si="11"/>
        <v>21768</v>
      </c>
      <c r="F261" s="16" t="s">
        <v>1713</v>
      </c>
      <c r="G261" s="16" t="s">
        <v>541</v>
      </c>
      <c r="H261" s="16" t="s">
        <v>427</v>
      </c>
      <c r="I261" s="16">
        <v>2</v>
      </c>
      <c r="J261" s="69"/>
    </row>
    <row r="262" spans="2:10">
      <c r="B262" s="16" t="str">
        <f t="shared" si="9"/>
        <v>0x550A</v>
      </c>
      <c r="C262" s="16" t="str">
        <f>"0x"&amp;DEC2HEX(E262,4)</f>
        <v>0x550F</v>
      </c>
      <c r="D262" s="16">
        <f t="shared" si="11"/>
        <v>21770</v>
      </c>
      <c r="E262" s="16">
        <f>D262+I262-1</f>
        <v>21775</v>
      </c>
      <c r="F262" s="16" t="s">
        <v>1592</v>
      </c>
      <c r="G262" s="16" t="s">
        <v>802</v>
      </c>
      <c r="H262" s="16" t="s">
        <v>427</v>
      </c>
      <c r="I262" s="16">
        <v>6</v>
      </c>
    </row>
    <row r="263" spans="2:10">
      <c r="B263" s="16" t="str">
        <f t="shared" si="9"/>
        <v>0x5510</v>
      </c>
      <c r="D263" s="16">
        <f t="shared" si="11"/>
        <v>21776</v>
      </c>
      <c r="F263" s="16" t="s">
        <v>1714</v>
      </c>
      <c r="G263" s="16" t="s">
        <v>541</v>
      </c>
      <c r="H263" s="16" t="s">
        <v>427</v>
      </c>
      <c r="I263" s="16">
        <v>2</v>
      </c>
      <c r="J263" s="69"/>
    </row>
    <row r="264" spans="2:10">
      <c r="B264" s="16" t="str">
        <f t="shared" si="9"/>
        <v>0x5512</v>
      </c>
      <c r="C264" s="16" t="str">
        <f>"0x"&amp;DEC2HEX(E264,4)</f>
        <v>0x5517</v>
      </c>
      <c r="D264" s="16">
        <f t="shared" si="11"/>
        <v>21778</v>
      </c>
      <c r="E264" s="16">
        <f>D264+I264-1</f>
        <v>21783</v>
      </c>
      <c r="F264" s="16" t="s">
        <v>1592</v>
      </c>
      <c r="G264" s="16" t="s">
        <v>802</v>
      </c>
      <c r="H264" s="16" t="s">
        <v>427</v>
      </c>
      <c r="I264" s="16">
        <v>6</v>
      </c>
    </row>
    <row r="265" spans="2:10">
      <c r="B265" s="16" t="str">
        <f t="shared" ref="B265:B276" si="12">"0x"&amp;DEC2HEX(D265,4)</f>
        <v>0x5518</v>
      </c>
      <c r="D265" s="16">
        <f t="shared" si="11"/>
        <v>21784</v>
      </c>
      <c r="F265" s="16" t="s">
        <v>1715</v>
      </c>
      <c r="G265" s="16" t="s">
        <v>541</v>
      </c>
      <c r="H265" s="16" t="s">
        <v>427</v>
      </c>
      <c r="I265" s="16">
        <v>2</v>
      </c>
      <c r="J265" s="69"/>
    </row>
    <row r="266" spans="2:10">
      <c r="B266" s="16" t="str">
        <f t="shared" si="12"/>
        <v>0x551A</v>
      </c>
      <c r="C266" s="16" t="str">
        <f>"0x"&amp;DEC2HEX(E266,4)</f>
        <v>0x551F</v>
      </c>
      <c r="D266" s="16">
        <f t="shared" ref="D266:D276" si="13">I265+D265</f>
        <v>21786</v>
      </c>
      <c r="E266" s="16">
        <f>D266+I266-1</f>
        <v>21791</v>
      </c>
      <c r="F266" s="16" t="s">
        <v>1592</v>
      </c>
      <c r="G266" s="16" t="s">
        <v>802</v>
      </c>
      <c r="H266" s="16" t="s">
        <v>427</v>
      </c>
      <c r="I266" s="16">
        <v>6</v>
      </c>
    </row>
    <row r="267" spans="2:10">
      <c r="B267" s="16" t="str">
        <f t="shared" si="12"/>
        <v>0x5520</v>
      </c>
      <c r="D267" s="16">
        <f t="shared" si="13"/>
        <v>21792</v>
      </c>
      <c r="F267" s="16" t="s">
        <v>1716</v>
      </c>
      <c r="G267" s="16" t="s">
        <v>541</v>
      </c>
      <c r="H267" s="16" t="s">
        <v>427</v>
      </c>
      <c r="I267" s="16">
        <v>2</v>
      </c>
      <c r="J267" s="69"/>
    </row>
    <row r="268" spans="2:10">
      <c r="B268" s="16" t="str">
        <f t="shared" si="12"/>
        <v>0x5522</v>
      </c>
      <c r="C268" s="16" t="str">
        <f>"0x"&amp;DEC2HEX(E268,4)</f>
        <v>0x5527</v>
      </c>
      <c r="D268" s="16">
        <f t="shared" si="13"/>
        <v>21794</v>
      </c>
      <c r="E268" s="16">
        <f>D268+I268-1</f>
        <v>21799</v>
      </c>
      <c r="F268" s="16" t="s">
        <v>1592</v>
      </c>
      <c r="G268" s="16" t="s">
        <v>802</v>
      </c>
      <c r="H268" s="16" t="s">
        <v>427</v>
      </c>
      <c r="I268" s="16">
        <v>6</v>
      </c>
    </row>
    <row r="269" spans="2:10">
      <c r="B269" s="16" t="str">
        <f t="shared" si="12"/>
        <v>0x5528</v>
      </c>
      <c r="D269" s="16">
        <f t="shared" si="13"/>
        <v>21800</v>
      </c>
      <c r="F269" s="16" t="s">
        <v>1717</v>
      </c>
      <c r="G269" s="16" t="s">
        <v>541</v>
      </c>
      <c r="H269" s="16" t="s">
        <v>427</v>
      </c>
      <c r="I269" s="16">
        <v>2</v>
      </c>
      <c r="J269" s="69"/>
    </row>
    <row r="270" spans="2:10">
      <c r="B270" s="16" t="str">
        <f t="shared" si="12"/>
        <v>0x552A</v>
      </c>
      <c r="C270" s="16" t="str">
        <f>"0x"&amp;DEC2HEX(E270,4)</f>
        <v>0x552F</v>
      </c>
      <c r="D270" s="16">
        <f t="shared" si="13"/>
        <v>21802</v>
      </c>
      <c r="E270" s="16">
        <f>D270+I270-1</f>
        <v>21807</v>
      </c>
      <c r="F270" s="16" t="s">
        <v>1592</v>
      </c>
      <c r="G270" s="16" t="s">
        <v>802</v>
      </c>
      <c r="H270" s="16" t="s">
        <v>427</v>
      </c>
      <c r="I270" s="16">
        <v>6</v>
      </c>
    </row>
    <row r="271" spans="2:10">
      <c r="B271" s="16" t="str">
        <f t="shared" si="12"/>
        <v>0x5530</v>
      </c>
      <c r="D271" s="16">
        <f t="shared" si="13"/>
        <v>21808</v>
      </c>
      <c r="F271" s="16" t="s">
        <v>1718</v>
      </c>
      <c r="G271" s="16" t="s">
        <v>541</v>
      </c>
      <c r="H271" s="16" t="s">
        <v>427</v>
      </c>
      <c r="I271" s="16">
        <v>2</v>
      </c>
      <c r="J271" s="69"/>
    </row>
    <row r="272" spans="2:10">
      <c r="B272" s="16" t="str">
        <f t="shared" si="12"/>
        <v>0x5532</v>
      </c>
      <c r="C272" s="16" t="str">
        <f>"0x"&amp;DEC2HEX(E272,4)</f>
        <v>0x5537</v>
      </c>
      <c r="D272" s="16">
        <f t="shared" si="13"/>
        <v>21810</v>
      </c>
      <c r="E272" s="16">
        <f>D272+I272-1</f>
        <v>21815</v>
      </c>
      <c r="F272" s="16" t="s">
        <v>1592</v>
      </c>
      <c r="G272" s="16" t="s">
        <v>802</v>
      </c>
      <c r="H272" s="16" t="s">
        <v>427</v>
      </c>
      <c r="I272" s="16">
        <v>6</v>
      </c>
    </row>
    <row r="273" spans="2:10">
      <c r="B273" s="16" t="str">
        <f t="shared" si="12"/>
        <v>0x5538</v>
      </c>
      <c r="D273" s="16">
        <f t="shared" si="13"/>
        <v>21816</v>
      </c>
      <c r="F273" s="16" t="s">
        <v>1719</v>
      </c>
      <c r="G273" s="16" t="s">
        <v>541</v>
      </c>
      <c r="H273" s="16" t="s">
        <v>427</v>
      </c>
      <c r="I273" s="16">
        <v>2</v>
      </c>
      <c r="J273" s="69"/>
    </row>
    <row r="274" spans="2:10">
      <c r="B274" s="16" t="str">
        <f t="shared" si="12"/>
        <v>0x553A</v>
      </c>
      <c r="C274" s="16" t="str">
        <f>"0x"&amp;DEC2HEX(E274,4)</f>
        <v>0x553F</v>
      </c>
      <c r="D274" s="16">
        <f t="shared" si="13"/>
        <v>21818</v>
      </c>
      <c r="E274" s="16">
        <f>D274+I274-1</f>
        <v>21823</v>
      </c>
      <c r="F274" s="16" t="s">
        <v>1592</v>
      </c>
      <c r="G274" s="16" t="s">
        <v>802</v>
      </c>
      <c r="H274" s="16" t="s">
        <v>427</v>
      </c>
      <c r="I274" s="16">
        <v>6</v>
      </c>
    </row>
    <row r="275" spans="2:10">
      <c r="B275" s="16" t="str">
        <f t="shared" si="12"/>
        <v>0x5540</v>
      </c>
      <c r="D275" s="16">
        <f t="shared" si="13"/>
        <v>21824</v>
      </c>
      <c r="F275" s="16" t="s">
        <v>1720</v>
      </c>
      <c r="G275" s="16" t="s">
        <v>541</v>
      </c>
      <c r="H275" s="16" t="s">
        <v>427</v>
      </c>
      <c r="I275" s="16">
        <v>2</v>
      </c>
    </row>
    <row r="276" spans="2:10">
      <c r="B276" s="16" t="str">
        <f t="shared" si="12"/>
        <v>0x5542</v>
      </c>
      <c r="C276" s="16" t="str">
        <f>"0x"&amp;DEC2HEX(E276,4)</f>
        <v>0x5547</v>
      </c>
      <c r="D276" s="16">
        <f t="shared" si="13"/>
        <v>21826</v>
      </c>
      <c r="E276" s="16">
        <f>D276+I276-1</f>
        <v>21831</v>
      </c>
      <c r="F276" s="16" t="s">
        <v>1592</v>
      </c>
      <c r="G276" s="16" t="s">
        <v>802</v>
      </c>
      <c r="H276" s="16" t="s">
        <v>427</v>
      </c>
      <c r="I276" s="16">
        <v>6</v>
      </c>
    </row>
  </sheetData>
  <phoneticPr fontId="4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22"/>
  <sheetViews>
    <sheetView workbookViewId="0">
      <pane ySplit="1" topLeftCell="A2" activePane="bottomLeft" state="frozen"/>
      <selection pane="bottomLeft" activeCell="B23" sqref="B23"/>
    </sheetView>
  </sheetViews>
  <sheetFormatPr defaultColWidth="9" defaultRowHeight="12.75"/>
  <cols>
    <col min="1" max="1" width="24.42578125" style="16" customWidth="1"/>
    <col min="2" max="2" width="10.7109375" style="16" customWidth="1"/>
    <col min="3" max="4" width="9" style="16"/>
    <col min="5" max="5" width="14.5703125" style="16" customWidth="1"/>
    <col min="6" max="6" width="25" style="16" customWidth="1"/>
    <col min="7" max="16384" width="9" style="16"/>
  </cols>
  <sheetData>
    <row r="1" spans="1:12" s="39" customFormat="1">
      <c r="A1" s="39" t="s">
        <v>27</v>
      </c>
      <c r="B1" s="39" t="s">
        <v>414</v>
      </c>
      <c r="C1" s="39" t="s">
        <v>415</v>
      </c>
      <c r="D1" s="39" t="s">
        <v>416</v>
      </c>
      <c r="E1" s="39" t="s">
        <v>417</v>
      </c>
      <c r="F1" s="39" t="s">
        <v>418</v>
      </c>
      <c r="G1" s="39" t="s">
        <v>419</v>
      </c>
      <c r="H1" s="39" t="s">
        <v>421</v>
      </c>
      <c r="I1" s="39" t="s">
        <v>420</v>
      </c>
      <c r="J1" s="39" t="s">
        <v>422</v>
      </c>
      <c r="K1" s="39" t="s">
        <v>480</v>
      </c>
      <c r="L1" s="39" t="s">
        <v>481</v>
      </c>
    </row>
    <row r="2" spans="1:12" s="26" customFormat="1" ht="38.25">
      <c r="A2" s="6" t="s">
        <v>3390</v>
      </c>
    </row>
    <row r="3" spans="1:12">
      <c r="B3" s="16" t="str">
        <f t="shared" ref="B3:B12" si="0">"0x"&amp;DEC2HEX(D3,4)</f>
        <v>0x0000</v>
      </c>
      <c r="C3" s="16" t="str">
        <f t="shared" ref="C3:C12" si="1">"0x"&amp;DEC2HEX(E3,4)</f>
        <v>0x0000</v>
      </c>
      <c r="D3" s="16">
        <v>0</v>
      </c>
      <c r="E3" s="16">
        <v>0</v>
      </c>
      <c r="F3" s="16" t="s">
        <v>1721</v>
      </c>
      <c r="H3" s="16" t="s">
        <v>527</v>
      </c>
      <c r="I3" s="16">
        <v>1</v>
      </c>
    </row>
    <row r="4" spans="1:12">
      <c r="B4" s="16" t="str">
        <f t="shared" si="0"/>
        <v>0x0001</v>
      </c>
      <c r="C4" s="16" t="str">
        <f t="shared" si="1"/>
        <v>0x0001</v>
      </c>
      <c r="D4" s="16">
        <f t="shared" ref="D4:D12" si="2">D3+I3</f>
        <v>1</v>
      </c>
      <c r="E4" s="16">
        <f t="shared" ref="E4:E12" si="3">D4+I3-1</f>
        <v>1</v>
      </c>
      <c r="F4" s="16" t="s">
        <v>1722</v>
      </c>
      <c r="H4" s="16" t="s">
        <v>527</v>
      </c>
      <c r="I4" s="16">
        <v>1</v>
      </c>
    </row>
    <row r="5" spans="1:12">
      <c r="B5" s="16" t="str">
        <f t="shared" si="0"/>
        <v>0x0002</v>
      </c>
      <c r="C5" s="16" t="str">
        <f t="shared" si="1"/>
        <v>0x0002</v>
      </c>
      <c r="D5" s="16">
        <f t="shared" si="2"/>
        <v>2</v>
      </c>
      <c r="E5" s="16">
        <f t="shared" si="3"/>
        <v>2</v>
      </c>
      <c r="F5" s="16" t="s">
        <v>1723</v>
      </c>
      <c r="H5" s="16" t="s">
        <v>527</v>
      </c>
      <c r="I5" s="16">
        <v>1</v>
      </c>
    </row>
    <row r="6" spans="1:12">
      <c r="B6" s="16" t="str">
        <f t="shared" si="0"/>
        <v>0x0003</v>
      </c>
      <c r="C6" s="16" t="str">
        <f t="shared" si="1"/>
        <v>0x0003</v>
      </c>
      <c r="D6" s="16">
        <f t="shared" si="2"/>
        <v>3</v>
      </c>
      <c r="E6" s="16">
        <f t="shared" si="3"/>
        <v>3</v>
      </c>
      <c r="F6" s="16" t="s">
        <v>1724</v>
      </c>
      <c r="H6" s="16" t="s">
        <v>527</v>
      </c>
      <c r="I6" s="16">
        <v>1</v>
      </c>
    </row>
    <row r="7" spans="1:12">
      <c r="B7" s="16" t="str">
        <f t="shared" si="0"/>
        <v>0x0004</v>
      </c>
      <c r="C7" s="16" t="str">
        <f t="shared" si="1"/>
        <v>0x0004</v>
      </c>
      <c r="D7" s="16">
        <f t="shared" si="2"/>
        <v>4</v>
      </c>
      <c r="E7" s="16">
        <f t="shared" si="3"/>
        <v>4</v>
      </c>
      <c r="F7" s="16" t="s">
        <v>1725</v>
      </c>
      <c r="H7" s="16" t="s">
        <v>527</v>
      </c>
      <c r="I7" s="16">
        <v>1</v>
      </c>
    </row>
    <row r="8" spans="1:12">
      <c r="B8" s="16" t="str">
        <f t="shared" si="0"/>
        <v>0x0005</v>
      </c>
      <c r="C8" s="16" t="str">
        <f t="shared" si="1"/>
        <v>0x0005</v>
      </c>
      <c r="D8" s="16">
        <f t="shared" si="2"/>
        <v>5</v>
      </c>
      <c r="E8" s="16">
        <f t="shared" si="3"/>
        <v>5</v>
      </c>
      <c r="F8" s="16" t="s">
        <v>1726</v>
      </c>
      <c r="H8" s="16" t="s">
        <v>527</v>
      </c>
      <c r="I8" s="16">
        <v>1</v>
      </c>
    </row>
    <row r="9" spans="1:12">
      <c r="B9" s="16" t="str">
        <f t="shared" si="0"/>
        <v>0x0006</v>
      </c>
      <c r="C9" s="16" t="str">
        <f t="shared" si="1"/>
        <v>0x0006</v>
      </c>
      <c r="D9" s="16">
        <f t="shared" si="2"/>
        <v>6</v>
      </c>
      <c r="E9" s="16">
        <f t="shared" si="3"/>
        <v>6</v>
      </c>
      <c r="F9" s="16" t="s">
        <v>1727</v>
      </c>
      <c r="H9" s="16" t="s">
        <v>527</v>
      </c>
      <c r="I9" s="16">
        <v>1</v>
      </c>
    </row>
    <row r="10" spans="1:12">
      <c r="B10" s="16" t="str">
        <f t="shared" si="0"/>
        <v>0x0007</v>
      </c>
      <c r="C10" s="16" t="str">
        <f t="shared" si="1"/>
        <v>0x0007</v>
      </c>
      <c r="D10" s="16">
        <f t="shared" si="2"/>
        <v>7</v>
      </c>
      <c r="E10" s="16">
        <f t="shared" si="3"/>
        <v>7</v>
      </c>
      <c r="F10" s="16" t="s">
        <v>1728</v>
      </c>
      <c r="H10" s="16" t="s">
        <v>527</v>
      </c>
      <c r="I10" s="16">
        <v>1</v>
      </c>
    </row>
    <row r="11" spans="1:12">
      <c r="B11" s="16" t="str">
        <f t="shared" si="0"/>
        <v>0x0008</v>
      </c>
      <c r="C11" s="16" t="str">
        <f t="shared" si="1"/>
        <v>0x0008</v>
      </c>
      <c r="D11" s="16">
        <f t="shared" si="2"/>
        <v>8</v>
      </c>
      <c r="E11" s="16">
        <f t="shared" si="3"/>
        <v>8</v>
      </c>
      <c r="F11" s="16" t="s">
        <v>1729</v>
      </c>
      <c r="H11" s="16" t="s">
        <v>527</v>
      </c>
      <c r="I11" s="16">
        <v>1</v>
      </c>
    </row>
    <row r="12" spans="1:12">
      <c r="B12" s="16" t="str">
        <f t="shared" si="0"/>
        <v>0x0009</v>
      </c>
      <c r="C12" s="16" t="str">
        <f t="shared" si="1"/>
        <v>0x0009</v>
      </c>
      <c r="D12" s="16">
        <f t="shared" si="2"/>
        <v>9</v>
      </c>
      <c r="E12" s="16">
        <f t="shared" si="3"/>
        <v>9</v>
      </c>
      <c r="F12" s="16" t="s">
        <v>1730</v>
      </c>
      <c r="H12" s="16" t="s">
        <v>527</v>
      </c>
      <c r="I12" s="16">
        <v>1</v>
      </c>
    </row>
    <row r="14" spans="1:12" ht="38.25">
      <c r="A14" s="111" t="s">
        <v>3391</v>
      </c>
    </row>
    <row r="15" spans="1:12">
      <c r="B15" s="3" t="str">
        <f>"0x"&amp;DEC2HEX(D15,4)</f>
        <v>0xF083</v>
      </c>
      <c r="C15" s="3" t="str">
        <f t="shared" ref="C15:C22" si="4">"0x"&amp;DEC2HEX(E15,4)</f>
        <v>0xF083</v>
      </c>
      <c r="D15" s="3">
        <v>61571</v>
      </c>
      <c r="E15" s="3">
        <v>61571</v>
      </c>
      <c r="F15" s="3" t="s">
        <v>1721</v>
      </c>
      <c r="G15" s="3"/>
      <c r="H15" s="3" t="s">
        <v>527</v>
      </c>
      <c r="I15" s="3">
        <v>1</v>
      </c>
    </row>
    <row r="16" spans="1:12">
      <c r="B16" s="3" t="str">
        <f t="shared" ref="B15:B22" si="5">"0x"&amp;DEC2HEX(D16,4)</f>
        <v>0xF084</v>
      </c>
      <c r="C16" s="3" t="str">
        <f t="shared" si="4"/>
        <v>0xF084</v>
      </c>
      <c r="D16" s="3">
        <f t="shared" ref="D16:D22" si="6">D15+I15</f>
        <v>61572</v>
      </c>
      <c r="E16" s="3">
        <f t="shared" ref="E16:E22" si="7">D16+I15-1</f>
        <v>61572</v>
      </c>
      <c r="F16" s="3" t="s">
        <v>1722</v>
      </c>
      <c r="G16" s="3"/>
      <c r="H16" s="3" t="s">
        <v>527</v>
      </c>
      <c r="I16" s="3">
        <v>1</v>
      </c>
    </row>
    <row r="17" spans="2:9">
      <c r="B17" s="3" t="str">
        <f t="shared" si="5"/>
        <v>0xF085</v>
      </c>
      <c r="C17" s="3" t="str">
        <f t="shared" si="4"/>
        <v>0xF085</v>
      </c>
      <c r="D17" s="3">
        <f t="shared" si="6"/>
        <v>61573</v>
      </c>
      <c r="E17" s="3">
        <f t="shared" si="7"/>
        <v>61573</v>
      </c>
      <c r="F17" s="3" t="s">
        <v>1723</v>
      </c>
      <c r="G17" s="3"/>
      <c r="H17" s="3" t="s">
        <v>527</v>
      </c>
      <c r="I17" s="3">
        <v>1</v>
      </c>
    </row>
    <row r="18" spans="2:9">
      <c r="B18" s="3" t="str">
        <f t="shared" si="5"/>
        <v>0xF086</v>
      </c>
      <c r="C18" s="3" t="str">
        <f t="shared" si="4"/>
        <v>0xF086</v>
      </c>
      <c r="D18" s="3">
        <f t="shared" si="6"/>
        <v>61574</v>
      </c>
      <c r="E18" s="3">
        <f t="shared" si="7"/>
        <v>61574</v>
      </c>
      <c r="F18" s="3" t="s">
        <v>1724</v>
      </c>
      <c r="G18" s="3"/>
      <c r="H18" s="3" t="s">
        <v>527</v>
      </c>
      <c r="I18" s="3">
        <v>1</v>
      </c>
    </row>
    <row r="19" spans="2:9">
      <c r="B19" s="3" t="str">
        <f t="shared" si="5"/>
        <v>0xF087</v>
      </c>
      <c r="C19" s="3" t="str">
        <f t="shared" si="4"/>
        <v>0xF087</v>
      </c>
      <c r="D19" s="3">
        <f t="shared" si="6"/>
        <v>61575</v>
      </c>
      <c r="E19" s="3">
        <f t="shared" si="7"/>
        <v>61575</v>
      </c>
      <c r="F19" s="3" t="s">
        <v>1725</v>
      </c>
      <c r="G19" s="3"/>
      <c r="H19" s="3" t="s">
        <v>527</v>
      </c>
      <c r="I19" s="3">
        <v>1</v>
      </c>
    </row>
    <row r="20" spans="2:9">
      <c r="B20" s="3" t="str">
        <f t="shared" si="5"/>
        <v>0xF088</v>
      </c>
      <c r="C20" s="3" t="str">
        <f t="shared" si="4"/>
        <v>0xF088</v>
      </c>
      <c r="D20" s="3">
        <f t="shared" si="6"/>
        <v>61576</v>
      </c>
      <c r="E20" s="3">
        <f t="shared" si="7"/>
        <v>61576</v>
      </c>
      <c r="F20" s="3" t="s">
        <v>1726</v>
      </c>
      <c r="G20" s="3"/>
      <c r="H20" s="3" t="s">
        <v>527</v>
      </c>
      <c r="I20" s="3">
        <v>1</v>
      </c>
    </row>
    <row r="21" spans="2:9">
      <c r="B21" s="3" t="str">
        <f t="shared" si="5"/>
        <v>0xF089</v>
      </c>
      <c r="C21" s="3" t="str">
        <f t="shared" si="4"/>
        <v>0xF089</v>
      </c>
      <c r="D21" s="3">
        <f t="shared" si="6"/>
        <v>61577</v>
      </c>
      <c r="E21" s="3">
        <f t="shared" si="7"/>
        <v>61577</v>
      </c>
      <c r="F21" s="3" t="s">
        <v>1727</v>
      </c>
      <c r="G21" s="3"/>
      <c r="H21" s="3" t="s">
        <v>527</v>
      </c>
      <c r="I21" s="3">
        <v>1</v>
      </c>
    </row>
    <row r="22" spans="2:9">
      <c r="B22" s="3" t="str">
        <f t="shared" si="5"/>
        <v>0xF08A</v>
      </c>
      <c r="C22" s="3" t="str">
        <f t="shared" si="4"/>
        <v>0xF08A</v>
      </c>
      <c r="D22" s="3">
        <f t="shared" si="6"/>
        <v>61578</v>
      </c>
      <c r="E22" s="3">
        <f t="shared" si="7"/>
        <v>61578</v>
      </c>
      <c r="F22" s="3" t="s">
        <v>1728</v>
      </c>
      <c r="G22" s="3"/>
      <c r="H22" s="3" t="s">
        <v>527</v>
      </c>
      <c r="I22" s="3">
        <v>1</v>
      </c>
    </row>
  </sheetData>
  <phoneticPr fontId="4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113"/>
  <sheetViews>
    <sheetView workbookViewId="0">
      <pane ySplit="1" topLeftCell="A71" activePane="bottomLeft" state="frozen"/>
      <selection pane="bottomLeft" activeCell="F113" sqref="F113"/>
    </sheetView>
  </sheetViews>
  <sheetFormatPr defaultColWidth="9" defaultRowHeight="12.75"/>
  <cols>
    <col min="1" max="1" width="31.42578125" style="16" customWidth="1"/>
    <col min="2" max="2" width="11" style="16" customWidth="1"/>
    <col min="3" max="5" width="9" style="16"/>
    <col min="6" max="6" width="37.5703125" style="16" customWidth="1"/>
    <col min="7" max="9" width="9" style="16"/>
    <col min="10" max="10" width="27.140625" style="16" customWidth="1"/>
    <col min="11" max="16384" width="9" style="16"/>
  </cols>
  <sheetData>
    <row r="1" spans="1:12" s="39" customFormat="1">
      <c r="A1" s="39" t="s">
        <v>27</v>
      </c>
      <c r="B1" s="39" t="s">
        <v>414</v>
      </c>
      <c r="C1" s="39" t="s">
        <v>415</v>
      </c>
      <c r="D1" s="39" t="s">
        <v>416</v>
      </c>
      <c r="E1" s="39" t="s">
        <v>417</v>
      </c>
      <c r="F1" s="39" t="s">
        <v>418</v>
      </c>
      <c r="G1" s="39" t="s">
        <v>419</v>
      </c>
      <c r="H1" s="39" t="s">
        <v>421</v>
      </c>
      <c r="I1" s="39" t="s">
        <v>420</v>
      </c>
      <c r="J1" s="39" t="s">
        <v>422</v>
      </c>
      <c r="K1" s="39" t="s">
        <v>480</v>
      </c>
      <c r="L1" s="39" t="s">
        <v>481</v>
      </c>
    </row>
    <row r="2" spans="1:12" s="26" customFormat="1">
      <c r="A2" s="26" t="s">
        <v>1731</v>
      </c>
    </row>
    <row r="3" spans="1:12" ht="63.75">
      <c r="B3" s="16" t="str">
        <f t="shared" ref="B3:B27" si="0">"0x"&amp;DEC2HEX(D3,4)</f>
        <v>0x42A9</v>
      </c>
      <c r="D3" s="16">
        <v>17065</v>
      </c>
      <c r="F3" s="1" t="s">
        <v>1732</v>
      </c>
      <c r="G3" s="16" t="s">
        <v>802</v>
      </c>
      <c r="H3" s="16" t="s">
        <v>427</v>
      </c>
      <c r="I3" s="16">
        <v>1</v>
      </c>
      <c r="J3" s="1" t="s">
        <v>1733</v>
      </c>
    </row>
    <row r="4" spans="1:12">
      <c r="B4" s="16" t="str">
        <f t="shared" si="0"/>
        <v>0x42AA</v>
      </c>
      <c r="D4" s="16">
        <f t="shared" ref="D4:D27" si="1">D3+I3</f>
        <v>17066</v>
      </c>
      <c r="F4" s="1" t="s">
        <v>1734</v>
      </c>
      <c r="G4" s="16" t="s">
        <v>802</v>
      </c>
      <c r="H4" s="16" t="s">
        <v>427</v>
      </c>
      <c r="I4" s="16">
        <v>1</v>
      </c>
      <c r="J4" s="1" t="s">
        <v>1735</v>
      </c>
    </row>
    <row r="5" spans="1:12">
      <c r="B5" s="16" t="str">
        <f t="shared" si="0"/>
        <v>0x42AB</v>
      </c>
      <c r="D5" s="16">
        <f t="shared" si="1"/>
        <v>17067</v>
      </c>
      <c r="F5" s="1" t="s">
        <v>1736</v>
      </c>
      <c r="G5" s="16" t="s">
        <v>802</v>
      </c>
      <c r="H5" s="16" t="s">
        <v>427</v>
      </c>
      <c r="I5" s="16">
        <v>1</v>
      </c>
      <c r="J5" s="1" t="s">
        <v>1737</v>
      </c>
    </row>
    <row r="6" spans="1:12">
      <c r="B6" s="16" t="str">
        <f t="shared" si="0"/>
        <v>0x42AC</v>
      </c>
      <c r="D6" s="16">
        <f t="shared" si="1"/>
        <v>17068</v>
      </c>
      <c r="F6" s="16" t="s">
        <v>1738</v>
      </c>
      <c r="G6" s="16" t="s">
        <v>802</v>
      </c>
      <c r="H6" s="16" t="s">
        <v>427</v>
      </c>
      <c r="I6" s="16">
        <v>1</v>
      </c>
    </row>
    <row r="7" spans="1:12">
      <c r="B7" s="16" t="str">
        <f t="shared" si="0"/>
        <v>0x42AD</v>
      </c>
      <c r="D7" s="16">
        <f t="shared" si="1"/>
        <v>17069</v>
      </c>
      <c r="F7" s="16" t="s">
        <v>1739</v>
      </c>
      <c r="G7" s="16" t="s">
        <v>802</v>
      </c>
      <c r="H7" s="16" t="s">
        <v>427</v>
      </c>
      <c r="I7" s="16">
        <v>1</v>
      </c>
    </row>
    <row r="8" spans="1:12">
      <c r="B8" s="16" t="str">
        <f t="shared" si="0"/>
        <v>0x42AE</v>
      </c>
      <c r="D8" s="16">
        <f t="shared" si="1"/>
        <v>17070</v>
      </c>
      <c r="F8" s="16" t="s">
        <v>1740</v>
      </c>
      <c r="G8" s="16" t="s">
        <v>802</v>
      </c>
      <c r="H8" s="16" t="s">
        <v>427</v>
      </c>
      <c r="I8" s="16">
        <v>1</v>
      </c>
    </row>
    <row r="9" spans="1:12">
      <c r="B9" s="16" t="str">
        <f t="shared" si="0"/>
        <v>0x42AF</v>
      </c>
      <c r="D9" s="16">
        <f t="shared" si="1"/>
        <v>17071</v>
      </c>
      <c r="F9" s="16" t="s">
        <v>1741</v>
      </c>
      <c r="G9" s="16" t="s">
        <v>802</v>
      </c>
      <c r="H9" s="16" t="s">
        <v>427</v>
      </c>
      <c r="I9" s="16">
        <v>1</v>
      </c>
    </row>
    <row r="10" spans="1:12">
      <c r="B10" s="16" t="str">
        <f t="shared" si="0"/>
        <v>0x42B0</v>
      </c>
      <c r="D10" s="16">
        <f t="shared" si="1"/>
        <v>17072</v>
      </c>
      <c r="F10" s="16" t="s">
        <v>1742</v>
      </c>
      <c r="G10" s="16" t="s">
        <v>802</v>
      </c>
      <c r="H10" s="16" t="s">
        <v>427</v>
      </c>
      <c r="I10" s="16">
        <v>1</v>
      </c>
    </row>
    <row r="11" spans="1:12">
      <c r="B11" s="16" t="str">
        <f t="shared" si="0"/>
        <v>0x42B1</v>
      </c>
      <c r="D11" s="16">
        <f t="shared" si="1"/>
        <v>17073</v>
      </c>
      <c r="F11" s="16" t="s">
        <v>1743</v>
      </c>
      <c r="G11" s="16" t="s">
        <v>802</v>
      </c>
      <c r="H11" s="16" t="s">
        <v>427</v>
      </c>
      <c r="I11" s="16">
        <v>1</v>
      </c>
    </row>
    <row r="12" spans="1:12">
      <c r="B12" s="16" t="str">
        <f t="shared" si="0"/>
        <v>0x42B2</v>
      </c>
      <c r="D12" s="16">
        <f t="shared" si="1"/>
        <v>17074</v>
      </c>
      <c r="F12" s="16" t="s">
        <v>1744</v>
      </c>
      <c r="G12" s="16" t="s">
        <v>802</v>
      </c>
      <c r="H12" s="16" t="s">
        <v>427</v>
      </c>
      <c r="I12" s="16">
        <v>1</v>
      </c>
    </row>
    <row r="13" spans="1:12">
      <c r="B13" s="16" t="str">
        <f t="shared" si="0"/>
        <v>0x42B3</v>
      </c>
      <c r="C13" s="16" t="str">
        <f t="shared" ref="C13:C27" si="2">"0x"&amp;DEC2HEX(E13,4)</f>
        <v>0x42BC</v>
      </c>
      <c r="D13" s="16">
        <f t="shared" si="1"/>
        <v>17075</v>
      </c>
      <c r="E13" s="16">
        <f t="shared" ref="E13:E27" si="3">D13+I13-1</f>
        <v>17084</v>
      </c>
      <c r="F13" s="16" t="s">
        <v>1745</v>
      </c>
      <c r="G13" s="16" t="s">
        <v>802</v>
      </c>
      <c r="H13" s="16" t="s">
        <v>427</v>
      </c>
      <c r="I13" s="16">
        <v>10</v>
      </c>
    </row>
    <row r="14" spans="1:12">
      <c r="B14" s="16" t="str">
        <f t="shared" si="0"/>
        <v>0x42BD</v>
      </c>
      <c r="C14" s="16" t="str">
        <f t="shared" si="2"/>
        <v>0x42C6</v>
      </c>
      <c r="D14" s="16">
        <f t="shared" si="1"/>
        <v>17085</v>
      </c>
      <c r="E14" s="16">
        <f t="shared" si="3"/>
        <v>17094</v>
      </c>
      <c r="F14" s="16" t="s">
        <v>1746</v>
      </c>
      <c r="G14" s="16" t="s">
        <v>802</v>
      </c>
      <c r="H14" s="16" t="s">
        <v>427</v>
      </c>
      <c r="I14" s="16">
        <v>10</v>
      </c>
    </row>
    <row r="15" spans="1:12">
      <c r="B15" s="16" t="str">
        <f t="shared" si="0"/>
        <v>0x42C7</v>
      </c>
      <c r="C15" s="16" t="str">
        <f t="shared" si="2"/>
        <v>0x42D0</v>
      </c>
      <c r="D15" s="16">
        <f t="shared" si="1"/>
        <v>17095</v>
      </c>
      <c r="E15" s="16">
        <f t="shared" si="3"/>
        <v>17104</v>
      </c>
      <c r="F15" s="16" t="s">
        <v>1747</v>
      </c>
      <c r="G15" s="16" t="s">
        <v>802</v>
      </c>
      <c r="H15" s="16" t="s">
        <v>427</v>
      </c>
      <c r="I15" s="16">
        <v>10</v>
      </c>
    </row>
    <row r="16" spans="1:12">
      <c r="B16" s="16" t="str">
        <f t="shared" si="0"/>
        <v>0x42D1</v>
      </c>
      <c r="C16" s="16" t="str">
        <f t="shared" si="2"/>
        <v>0x42DA</v>
      </c>
      <c r="D16" s="16">
        <f t="shared" si="1"/>
        <v>17105</v>
      </c>
      <c r="E16" s="16">
        <f t="shared" si="3"/>
        <v>17114</v>
      </c>
      <c r="F16" s="16" t="s">
        <v>1748</v>
      </c>
      <c r="G16" s="16" t="s">
        <v>802</v>
      </c>
      <c r="H16" s="16" t="s">
        <v>427</v>
      </c>
      <c r="I16" s="16">
        <v>10</v>
      </c>
    </row>
    <row r="17" spans="1:9">
      <c r="B17" s="16" t="str">
        <f t="shared" si="0"/>
        <v>0x42DB</v>
      </c>
      <c r="C17" s="16" t="str">
        <f t="shared" si="2"/>
        <v>0x42E4</v>
      </c>
      <c r="D17" s="16">
        <f t="shared" si="1"/>
        <v>17115</v>
      </c>
      <c r="E17" s="16">
        <f t="shared" si="3"/>
        <v>17124</v>
      </c>
      <c r="F17" s="16" t="s">
        <v>1749</v>
      </c>
      <c r="G17" s="16" t="s">
        <v>802</v>
      </c>
      <c r="H17" s="16" t="s">
        <v>427</v>
      </c>
      <c r="I17" s="16">
        <v>10</v>
      </c>
    </row>
    <row r="18" spans="1:9">
      <c r="B18" s="16" t="str">
        <f t="shared" si="0"/>
        <v>0x42E5</v>
      </c>
      <c r="C18" s="16" t="str">
        <f t="shared" si="2"/>
        <v>0x42EE</v>
      </c>
      <c r="D18" s="16">
        <f t="shared" si="1"/>
        <v>17125</v>
      </c>
      <c r="E18" s="16">
        <f t="shared" si="3"/>
        <v>17134</v>
      </c>
      <c r="F18" s="16" t="s">
        <v>1750</v>
      </c>
      <c r="G18" s="16" t="s">
        <v>802</v>
      </c>
      <c r="H18" s="16" t="s">
        <v>427</v>
      </c>
      <c r="I18" s="16">
        <v>10</v>
      </c>
    </row>
    <row r="19" spans="1:9">
      <c r="B19" s="16" t="str">
        <f t="shared" si="0"/>
        <v>0x42EF</v>
      </c>
      <c r="C19" s="16" t="str">
        <f t="shared" si="2"/>
        <v>0x42F8</v>
      </c>
      <c r="D19" s="16">
        <f t="shared" si="1"/>
        <v>17135</v>
      </c>
      <c r="E19" s="16">
        <f t="shared" si="3"/>
        <v>17144</v>
      </c>
      <c r="F19" s="16" t="s">
        <v>1751</v>
      </c>
      <c r="G19" s="16" t="s">
        <v>802</v>
      </c>
      <c r="H19" s="16" t="s">
        <v>427</v>
      </c>
      <c r="I19" s="16">
        <v>10</v>
      </c>
    </row>
    <row r="20" spans="1:9">
      <c r="B20" s="16" t="str">
        <f t="shared" si="0"/>
        <v>0x42F9</v>
      </c>
      <c r="C20" s="16" t="str">
        <f t="shared" si="2"/>
        <v>0x4302</v>
      </c>
      <c r="D20" s="16">
        <f t="shared" si="1"/>
        <v>17145</v>
      </c>
      <c r="E20" s="16">
        <f t="shared" si="3"/>
        <v>17154</v>
      </c>
      <c r="F20" s="16" t="s">
        <v>1752</v>
      </c>
      <c r="G20" s="16" t="s">
        <v>802</v>
      </c>
      <c r="H20" s="16" t="s">
        <v>427</v>
      </c>
      <c r="I20" s="16">
        <v>10</v>
      </c>
    </row>
    <row r="21" spans="1:9">
      <c r="B21" s="16" t="str">
        <f t="shared" si="0"/>
        <v>0x4303</v>
      </c>
      <c r="C21" s="16" t="str">
        <f t="shared" si="2"/>
        <v>0x430C</v>
      </c>
      <c r="D21" s="16">
        <f t="shared" si="1"/>
        <v>17155</v>
      </c>
      <c r="E21" s="16">
        <f t="shared" si="3"/>
        <v>17164</v>
      </c>
      <c r="F21" s="16" t="s">
        <v>1753</v>
      </c>
      <c r="G21" s="16" t="s">
        <v>802</v>
      </c>
      <c r="H21" s="16" t="s">
        <v>427</v>
      </c>
      <c r="I21" s="16">
        <v>10</v>
      </c>
    </row>
    <row r="22" spans="1:9">
      <c r="B22" s="16" t="str">
        <f t="shared" si="0"/>
        <v>0x430D</v>
      </c>
      <c r="C22" s="16" t="str">
        <f t="shared" si="2"/>
        <v>0x4316</v>
      </c>
      <c r="D22" s="16">
        <f t="shared" si="1"/>
        <v>17165</v>
      </c>
      <c r="E22" s="16">
        <f t="shared" si="3"/>
        <v>17174</v>
      </c>
      <c r="F22" s="16" t="s">
        <v>1754</v>
      </c>
      <c r="G22" s="16" t="s">
        <v>802</v>
      </c>
      <c r="H22" s="16" t="s">
        <v>427</v>
      </c>
      <c r="I22" s="16">
        <v>10</v>
      </c>
    </row>
    <row r="23" spans="1:9">
      <c r="B23" s="16" t="str">
        <f t="shared" si="0"/>
        <v>0x4317</v>
      </c>
      <c r="C23" s="16" t="str">
        <f t="shared" si="2"/>
        <v>0x4320</v>
      </c>
      <c r="D23" s="16">
        <f t="shared" si="1"/>
        <v>17175</v>
      </c>
      <c r="E23" s="16">
        <f t="shared" si="3"/>
        <v>17184</v>
      </c>
      <c r="F23" s="16" t="s">
        <v>1755</v>
      </c>
      <c r="G23" s="16" t="s">
        <v>802</v>
      </c>
      <c r="H23" s="16" t="s">
        <v>427</v>
      </c>
      <c r="I23" s="16">
        <v>10</v>
      </c>
    </row>
    <row r="24" spans="1:9">
      <c r="B24" s="16" t="str">
        <f t="shared" si="0"/>
        <v>0x4321</v>
      </c>
      <c r="C24" s="16" t="str">
        <f t="shared" si="2"/>
        <v>0x432A</v>
      </c>
      <c r="D24" s="16">
        <f t="shared" si="1"/>
        <v>17185</v>
      </c>
      <c r="E24" s="16">
        <f t="shared" si="3"/>
        <v>17194</v>
      </c>
      <c r="F24" s="16" t="s">
        <v>1756</v>
      </c>
      <c r="G24" s="16" t="s">
        <v>802</v>
      </c>
      <c r="H24" s="16" t="s">
        <v>427</v>
      </c>
      <c r="I24" s="16">
        <v>10</v>
      </c>
    </row>
    <row r="25" spans="1:9">
      <c r="B25" s="16" t="str">
        <f t="shared" si="0"/>
        <v>0x432B</v>
      </c>
      <c r="C25" s="16" t="str">
        <f t="shared" si="2"/>
        <v>0x4334</v>
      </c>
      <c r="D25" s="16">
        <f t="shared" si="1"/>
        <v>17195</v>
      </c>
      <c r="E25" s="16">
        <f t="shared" si="3"/>
        <v>17204</v>
      </c>
      <c r="F25" s="16" t="s">
        <v>1757</v>
      </c>
      <c r="G25" s="16" t="s">
        <v>802</v>
      </c>
      <c r="H25" s="16" t="s">
        <v>427</v>
      </c>
      <c r="I25" s="16">
        <v>10</v>
      </c>
    </row>
    <row r="26" spans="1:9">
      <c r="B26" s="16" t="str">
        <f t="shared" si="0"/>
        <v>0x4335</v>
      </c>
      <c r="C26" s="16" t="str">
        <f t="shared" si="2"/>
        <v>0x433E</v>
      </c>
      <c r="D26" s="16">
        <f t="shared" si="1"/>
        <v>17205</v>
      </c>
      <c r="E26" s="16">
        <f t="shared" si="3"/>
        <v>17214</v>
      </c>
      <c r="F26" s="16" t="s">
        <v>1758</v>
      </c>
      <c r="G26" s="16" t="s">
        <v>802</v>
      </c>
      <c r="H26" s="16" t="s">
        <v>427</v>
      </c>
      <c r="I26" s="16">
        <v>10</v>
      </c>
    </row>
    <row r="27" spans="1:9">
      <c r="B27" s="16" t="str">
        <f t="shared" si="0"/>
        <v>0x433F</v>
      </c>
      <c r="C27" s="16" t="str">
        <f t="shared" si="2"/>
        <v>0x4348</v>
      </c>
      <c r="D27" s="16">
        <f t="shared" si="1"/>
        <v>17215</v>
      </c>
      <c r="E27" s="16">
        <f t="shared" si="3"/>
        <v>17224</v>
      </c>
      <c r="F27" s="16" t="s">
        <v>1759</v>
      </c>
      <c r="G27" s="16" t="s">
        <v>802</v>
      </c>
      <c r="H27" s="16" t="s">
        <v>427</v>
      </c>
      <c r="I27" s="16">
        <v>10</v>
      </c>
    </row>
    <row r="29" spans="1:9" s="26" customFormat="1">
      <c r="A29" s="26" t="s">
        <v>176</v>
      </c>
    </row>
    <row r="30" spans="1:9">
      <c r="B30" s="16" t="str">
        <f t="shared" ref="B30:B57" si="4">"0x"&amp;DEC2HEX(D30,4)</f>
        <v>0x4349</v>
      </c>
      <c r="C30" s="16" t="str">
        <f t="shared" ref="C30:C57" si="5">"0x"&amp;DEC2HEX(E30,4)</f>
        <v>0x434A</v>
      </c>
      <c r="D30" s="16">
        <v>17225</v>
      </c>
      <c r="E30" s="16">
        <f t="shared" ref="E30:E57" si="6">D30+I30-1</f>
        <v>17226</v>
      </c>
      <c r="F30" s="16" t="s">
        <v>1760</v>
      </c>
      <c r="G30" s="16" t="s">
        <v>1151</v>
      </c>
      <c r="H30" s="16" t="s">
        <v>427</v>
      </c>
      <c r="I30" s="16">
        <v>2</v>
      </c>
    </row>
    <row r="31" spans="1:9">
      <c r="B31" s="16" t="str">
        <f t="shared" si="4"/>
        <v>0x434B</v>
      </c>
      <c r="C31" s="16" t="str">
        <f t="shared" si="5"/>
        <v>0x434C</v>
      </c>
      <c r="D31" s="16">
        <f t="shared" ref="D31:D57" si="7">D30+I30</f>
        <v>17227</v>
      </c>
      <c r="E31" s="16">
        <f t="shared" si="6"/>
        <v>17228</v>
      </c>
      <c r="F31" s="16" t="s">
        <v>1761</v>
      </c>
      <c r="G31" s="16" t="s">
        <v>1151</v>
      </c>
      <c r="H31" s="16" t="s">
        <v>427</v>
      </c>
      <c r="I31" s="16">
        <v>2</v>
      </c>
    </row>
    <row r="32" spans="1:9">
      <c r="B32" s="16" t="str">
        <f t="shared" si="4"/>
        <v>0x434D</v>
      </c>
      <c r="C32" s="16" t="str">
        <f t="shared" si="5"/>
        <v>0x434E</v>
      </c>
      <c r="D32" s="16">
        <f t="shared" si="7"/>
        <v>17229</v>
      </c>
      <c r="E32" s="16">
        <f t="shared" si="6"/>
        <v>17230</v>
      </c>
      <c r="F32" s="16" t="s">
        <v>1762</v>
      </c>
      <c r="G32" s="16" t="s">
        <v>1151</v>
      </c>
      <c r="H32" s="16" t="s">
        <v>427</v>
      </c>
      <c r="I32" s="16">
        <v>2</v>
      </c>
    </row>
    <row r="33" spans="2:9">
      <c r="B33" s="16" t="str">
        <f t="shared" si="4"/>
        <v>0x434F</v>
      </c>
      <c r="C33" s="16" t="str">
        <f t="shared" si="5"/>
        <v>0x4350</v>
      </c>
      <c r="D33" s="16">
        <f t="shared" si="7"/>
        <v>17231</v>
      </c>
      <c r="E33" s="16">
        <f t="shared" si="6"/>
        <v>17232</v>
      </c>
      <c r="F33" s="16" t="s">
        <v>1763</v>
      </c>
      <c r="G33" s="16" t="s">
        <v>1151</v>
      </c>
      <c r="H33" s="16" t="s">
        <v>427</v>
      </c>
      <c r="I33" s="16">
        <v>2</v>
      </c>
    </row>
    <row r="34" spans="2:9">
      <c r="B34" s="16" t="str">
        <f t="shared" si="4"/>
        <v>0x4351</v>
      </c>
      <c r="C34" s="16" t="str">
        <f t="shared" si="5"/>
        <v>0x4352</v>
      </c>
      <c r="D34" s="16">
        <f t="shared" si="7"/>
        <v>17233</v>
      </c>
      <c r="E34" s="16">
        <f t="shared" si="6"/>
        <v>17234</v>
      </c>
      <c r="F34" s="16" t="s">
        <v>1764</v>
      </c>
      <c r="G34" s="16" t="s">
        <v>1151</v>
      </c>
      <c r="H34" s="16" t="s">
        <v>427</v>
      </c>
      <c r="I34" s="16">
        <v>2</v>
      </c>
    </row>
    <row r="35" spans="2:9">
      <c r="B35" s="16" t="str">
        <f t="shared" si="4"/>
        <v>0x4353</v>
      </c>
      <c r="C35" s="16" t="str">
        <f t="shared" si="5"/>
        <v>0x4354</v>
      </c>
      <c r="D35" s="16">
        <f t="shared" si="7"/>
        <v>17235</v>
      </c>
      <c r="E35" s="16">
        <f t="shared" si="6"/>
        <v>17236</v>
      </c>
      <c r="F35" s="16" t="s">
        <v>1765</v>
      </c>
      <c r="G35" s="16" t="s">
        <v>1151</v>
      </c>
      <c r="H35" s="16" t="s">
        <v>427</v>
      </c>
      <c r="I35" s="16">
        <v>2</v>
      </c>
    </row>
    <row r="36" spans="2:9">
      <c r="B36" s="16" t="str">
        <f t="shared" si="4"/>
        <v>0x4355</v>
      </c>
      <c r="C36" s="16" t="str">
        <f t="shared" si="5"/>
        <v>0x4356</v>
      </c>
      <c r="D36" s="16">
        <f t="shared" si="7"/>
        <v>17237</v>
      </c>
      <c r="E36" s="16">
        <f t="shared" si="6"/>
        <v>17238</v>
      </c>
      <c r="F36" s="16" t="s">
        <v>1766</v>
      </c>
      <c r="G36" s="16" t="s">
        <v>1151</v>
      </c>
      <c r="H36" s="16" t="s">
        <v>427</v>
      </c>
      <c r="I36" s="16">
        <v>2</v>
      </c>
    </row>
    <row r="37" spans="2:9">
      <c r="B37" s="16" t="str">
        <f t="shared" si="4"/>
        <v>0x4357</v>
      </c>
      <c r="C37" s="16" t="str">
        <f t="shared" si="5"/>
        <v>0x4358</v>
      </c>
      <c r="D37" s="16">
        <f t="shared" si="7"/>
        <v>17239</v>
      </c>
      <c r="E37" s="16">
        <f t="shared" si="6"/>
        <v>17240</v>
      </c>
      <c r="F37" s="16" t="s">
        <v>1767</v>
      </c>
      <c r="G37" s="16" t="s">
        <v>1151</v>
      </c>
      <c r="H37" s="16" t="s">
        <v>427</v>
      </c>
      <c r="I37" s="16">
        <v>2</v>
      </c>
    </row>
    <row r="38" spans="2:9">
      <c r="B38" s="16" t="str">
        <f t="shared" si="4"/>
        <v>0x4359</v>
      </c>
      <c r="C38" s="16" t="str">
        <f t="shared" si="5"/>
        <v>0x435A</v>
      </c>
      <c r="D38" s="16">
        <f t="shared" si="7"/>
        <v>17241</v>
      </c>
      <c r="E38" s="16">
        <f t="shared" si="6"/>
        <v>17242</v>
      </c>
      <c r="F38" s="16" t="s">
        <v>1768</v>
      </c>
      <c r="G38" s="16" t="s">
        <v>1151</v>
      </c>
      <c r="H38" s="16" t="s">
        <v>427</v>
      </c>
      <c r="I38" s="16">
        <v>2</v>
      </c>
    </row>
    <row r="39" spans="2:9">
      <c r="B39" s="16" t="str">
        <f t="shared" si="4"/>
        <v>0x435B</v>
      </c>
      <c r="C39" s="16" t="str">
        <f t="shared" si="5"/>
        <v>0x435C</v>
      </c>
      <c r="D39" s="16">
        <f t="shared" si="7"/>
        <v>17243</v>
      </c>
      <c r="E39" s="16">
        <f t="shared" si="6"/>
        <v>17244</v>
      </c>
      <c r="F39" s="16" t="s">
        <v>1769</v>
      </c>
      <c r="G39" s="16" t="s">
        <v>1151</v>
      </c>
      <c r="H39" s="16" t="s">
        <v>427</v>
      </c>
      <c r="I39" s="16">
        <v>2</v>
      </c>
    </row>
    <row r="40" spans="2:9">
      <c r="B40" s="16" t="str">
        <f t="shared" si="4"/>
        <v>0x435D</v>
      </c>
      <c r="C40" s="16" t="str">
        <f t="shared" si="5"/>
        <v>0x435E</v>
      </c>
      <c r="D40" s="16">
        <f t="shared" si="7"/>
        <v>17245</v>
      </c>
      <c r="E40" s="16">
        <f t="shared" si="6"/>
        <v>17246</v>
      </c>
      <c r="F40" s="16" t="s">
        <v>1770</v>
      </c>
      <c r="G40" s="16" t="s">
        <v>1151</v>
      </c>
      <c r="H40" s="16" t="s">
        <v>427</v>
      </c>
      <c r="I40" s="16">
        <v>2</v>
      </c>
    </row>
    <row r="41" spans="2:9">
      <c r="B41" s="16" t="str">
        <f t="shared" si="4"/>
        <v>0x435F</v>
      </c>
      <c r="C41" s="16" t="str">
        <f t="shared" si="5"/>
        <v>0x4360</v>
      </c>
      <c r="D41" s="16">
        <f t="shared" si="7"/>
        <v>17247</v>
      </c>
      <c r="E41" s="16">
        <f t="shared" si="6"/>
        <v>17248</v>
      </c>
      <c r="F41" s="16" t="s">
        <v>1771</v>
      </c>
      <c r="G41" s="16" t="s">
        <v>1151</v>
      </c>
      <c r="H41" s="16" t="s">
        <v>427</v>
      </c>
      <c r="I41" s="16">
        <v>2</v>
      </c>
    </row>
    <row r="42" spans="2:9">
      <c r="B42" s="16" t="str">
        <f t="shared" si="4"/>
        <v>0x4361</v>
      </c>
      <c r="C42" s="16" t="str">
        <f t="shared" si="5"/>
        <v>0x4362</v>
      </c>
      <c r="D42" s="16">
        <f t="shared" si="7"/>
        <v>17249</v>
      </c>
      <c r="E42" s="16">
        <f t="shared" si="6"/>
        <v>17250</v>
      </c>
      <c r="F42" s="16" t="s">
        <v>1772</v>
      </c>
      <c r="G42" s="16" t="s">
        <v>1151</v>
      </c>
      <c r="H42" s="16" t="s">
        <v>427</v>
      </c>
      <c r="I42" s="16">
        <v>2</v>
      </c>
    </row>
    <row r="43" spans="2:9">
      <c r="B43" s="16" t="str">
        <f t="shared" si="4"/>
        <v>0x4363</v>
      </c>
      <c r="C43" s="16" t="str">
        <f t="shared" si="5"/>
        <v>0x4364</v>
      </c>
      <c r="D43" s="16">
        <f t="shared" si="7"/>
        <v>17251</v>
      </c>
      <c r="E43" s="16">
        <f t="shared" si="6"/>
        <v>17252</v>
      </c>
      <c r="F43" s="16" t="s">
        <v>1773</v>
      </c>
      <c r="G43" s="16" t="s">
        <v>1151</v>
      </c>
      <c r="H43" s="16" t="s">
        <v>427</v>
      </c>
      <c r="I43" s="16">
        <v>2</v>
      </c>
    </row>
    <row r="44" spans="2:9">
      <c r="B44" s="16" t="str">
        <f t="shared" si="4"/>
        <v>0x4365</v>
      </c>
      <c r="C44" s="16" t="str">
        <f t="shared" si="5"/>
        <v>0x4366</v>
      </c>
      <c r="D44" s="16">
        <f t="shared" si="7"/>
        <v>17253</v>
      </c>
      <c r="E44" s="16">
        <f t="shared" si="6"/>
        <v>17254</v>
      </c>
      <c r="F44" s="16" t="s">
        <v>1774</v>
      </c>
      <c r="G44" s="16" t="s">
        <v>1151</v>
      </c>
      <c r="H44" s="16" t="s">
        <v>427</v>
      </c>
      <c r="I44" s="16">
        <v>2</v>
      </c>
    </row>
    <row r="45" spans="2:9">
      <c r="B45" s="16" t="str">
        <f t="shared" si="4"/>
        <v>0x4367</v>
      </c>
      <c r="C45" s="16" t="str">
        <f t="shared" si="5"/>
        <v>0x4368</v>
      </c>
      <c r="D45" s="16">
        <f t="shared" si="7"/>
        <v>17255</v>
      </c>
      <c r="E45" s="16">
        <f t="shared" si="6"/>
        <v>17256</v>
      </c>
      <c r="F45" s="16" t="s">
        <v>1775</v>
      </c>
      <c r="G45" s="16" t="s">
        <v>1151</v>
      </c>
      <c r="H45" s="16" t="s">
        <v>427</v>
      </c>
      <c r="I45" s="16">
        <v>2</v>
      </c>
    </row>
    <row r="46" spans="2:9">
      <c r="B46" s="16" t="str">
        <f t="shared" si="4"/>
        <v>0x4369</v>
      </c>
      <c r="C46" s="16" t="str">
        <f t="shared" si="5"/>
        <v>0x436A</v>
      </c>
      <c r="D46" s="16">
        <f t="shared" si="7"/>
        <v>17257</v>
      </c>
      <c r="E46" s="16">
        <f t="shared" si="6"/>
        <v>17258</v>
      </c>
      <c r="F46" s="16" t="s">
        <v>1776</v>
      </c>
      <c r="G46" s="16" t="s">
        <v>1151</v>
      </c>
      <c r="H46" s="16" t="s">
        <v>427</v>
      </c>
      <c r="I46" s="16">
        <v>2</v>
      </c>
    </row>
    <row r="47" spans="2:9">
      <c r="B47" s="16" t="str">
        <f t="shared" si="4"/>
        <v>0x436B</v>
      </c>
      <c r="C47" s="16" t="str">
        <f t="shared" si="5"/>
        <v>0x436C</v>
      </c>
      <c r="D47" s="16">
        <f t="shared" si="7"/>
        <v>17259</v>
      </c>
      <c r="E47" s="16">
        <f t="shared" si="6"/>
        <v>17260</v>
      </c>
      <c r="F47" s="16" t="s">
        <v>1777</v>
      </c>
      <c r="G47" s="16" t="s">
        <v>1151</v>
      </c>
      <c r="H47" s="16" t="s">
        <v>427</v>
      </c>
      <c r="I47" s="16">
        <v>2</v>
      </c>
    </row>
    <row r="48" spans="2:9">
      <c r="B48" s="16" t="str">
        <f t="shared" si="4"/>
        <v>0x436D</v>
      </c>
      <c r="C48" s="16" t="str">
        <f t="shared" si="5"/>
        <v>0x436E</v>
      </c>
      <c r="D48" s="16">
        <f t="shared" si="7"/>
        <v>17261</v>
      </c>
      <c r="E48" s="16">
        <f t="shared" si="6"/>
        <v>17262</v>
      </c>
      <c r="F48" s="16" t="s">
        <v>1778</v>
      </c>
      <c r="G48" s="16" t="s">
        <v>1151</v>
      </c>
      <c r="H48" s="16" t="s">
        <v>427</v>
      </c>
      <c r="I48" s="16">
        <v>2</v>
      </c>
    </row>
    <row r="49" spans="1:9">
      <c r="B49" s="16" t="str">
        <f t="shared" si="4"/>
        <v>0x436F</v>
      </c>
      <c r="C49" s="16" t="str">
        <f t="shared" si="5"/>
        <v>0x4370</v>
      </c>
      <c r="D49" s="16">
        <f t="shared" si="7"/>
        <v>17263</v>
      </c>
      <c r="E49" s="16">
        <f t="shared" si="6"/>
        <v>17264</v>
      </c>
      <c r="F49" s="16" t="s">
        <v>1779</v>
      </c>
      <c r="G49" s="16" t="s">
        <v>1151</v>
      </c>
      <c r="H49" s="16" t="s">
        <v>427</v>
      </c>
      <c r="I49" s="16">
        <v>2</v>
      </c>
    </row>
    <row r="50" spans="1:9">
      <c r="B50" s="16" t="str">
        <f t="shared" si="4"/>
        <v>0x4371</v>
      </c>
      <c r="C50" s="16" t="str">
        <f t="shared" si="5"/>
        <v>0x4372</v>
      </c>
      <c r="D50" s="16">
        <f t="shared" si="7"/>
        <v>17265</v>
      </c>
      <c r="E50" s="16">
        <f t="shared" si="6"/>
        <v>17266</v>
      </c>
      <c r="F50" s="16" t="s">
        <v>1780</v>
      </c>
      <c r="G50" s="16" t="s">
        <v>1151</v>
      </c>
      <c r="H50" s="16" t="s">
        <v>427</v>
      </c>
      <c r="I50" s="16">
        <v>2</v>
      </c>
    </row>
    <row r="51" spans="1:9">
      <c r="B51" s="16" t="str">
        <f t="shared" si="4"/>
        <v>0x4373</v>
      </c>
      <c r="C51" s="16" t="str">
        <f t="shared" si="5"/>
        <v>0x4374</v>
      </c>
      <c r="D51" s="16">
        <f t="shared" si="7"/>
        <v>17267</v>
      </c>
      <c r="E51" s="16">
        <f t="shared" si="6"/>
        <v>17268</v>
      </c>
      <c r="F51" s="16" t="s">
        <v>1781</v>
      </c>
      <c r="G51" s="16" t="s">
        <v>1151</v>
      </c>
      <c r="H51" s="16" t="s">
        <v>427</v>
      </c>
      <c r="I51" s="16">
        <v>2</v>
      </c>
    </row>
    <row r="52" spans="1:9">
      <c r="B52" s="16" t="str">
        <f t="shared" si="4"/>
        <v>0x4375</v>
      </c>
      <c r="C52" s="16" t="str">
        <f t="shared" si="5"/>
        <v>0x4376</v>
      </c>
      <c r="D52" s="16">
        <f t="shared" si="7"/>
        <v>17269</v>
      </c>
      <c r="E52" s="16">
        <f t="shared" si="6"/>
        <v>17270</v>
      </c>
      <c r="F52" s="16" t="s">
        <v>1782</v>
      </c>
      <c r="G52" s="16" t="s">
        <v>1151</v>
      </c>
      <c r="H52" s="16" t="s">
        <v>427</v>
      </c>
      <c r="I52" s="16">
        <v>2</v>
      </c>
    </row>
    <row r="53" spans="1:9">
      <c r="B53" s="16" t="str">
        <f t="shared" si="4"/>
        <v>0x4377</v>
      </c>
      <c r="C53" s="16" t="str">
        <f t="shared" si="5"/>
        <v>0x4378</v>
      </c>
      <c r="D53" s="16">
        <f t="shared" si="7"/>
        <v>17271</v>
      </c>
      <c r="E53" s="16">
        <f t="shared" si="6"/>
        <v>17272</v>
      </c>
      <c r="F53" s="16" t="s">
        <v>1783</v>
      </c>
      <c r="G53" s="16" t="s">
        <v>1151</v>
      </c>
      <c r="H53" s="16" t="s">
        <v>427</v>
      </c>
      <c r="I53" s="16">
        <v>2</v>
      </c>
    </row>
    <row r="54" spans="1:9">
      <c r="B54" s="16" t="str">
        <f t="shared" si="4"/>
        <v>0x4379</v>
      </c>
      <c r="C54" s="16" t="str">
        <f t="shared" si="5"/>
        <v>0x437A</v>
      </c>
      <c r="D54" s="16">
        <f t="shared" si="7"/>
        <v>17273</v>
      </c>
      <c r="E54" s="16">
        <f t="shared" si="6"/>
        <v>17274</v>
      </c>
      <c r="F54" s="16" t="s">
        <v>1784</v>
      </c>
      <c r="G54" s="16" t="s">
        <v>1151</v>
      </c>
      <c r="H54" s="16" t="s">
        <v>427</v>
      </c>
      <c r="I54" s="16">
        <v>2</v>
      </c>
    </row>
    <row r="55" spans="1:9">
      <c r="B55" s="16" t="str">
        <f t="shared" si="4"/>
        <v>0x437B</v>
      </c>
      <c r="C55" s="16" t="str">
        <f t="shared" si="5"/>
        <v>0x437C</v>
      </c>
      <c r="D55" s="16">
        <f t="shared" si="7"/>
        <v>17275</v>
      </c>
      <c r="E55" s="16">
        <f t="shared" si="6"/>
        <v>17276</v>
      </c>
      <c r="F55" s="16" t="s">
        <v>1785</v>
      </c>
      <c r="G55" s="16" t="s">
        <v>1151</v>
      </c>
      <c r="H55" s="16" t="s">
        <v>427</v>
      </c>
      <c r="I55" s="16">
        <v>2</v>
      </c>
    </row>
    <row r="56" spans="1:9">
      <c r="B56" s="16" t="str">
        <f t="shared" si="4"/>
        <v>0x437D</v>
      </c>
      <c r="C56" s="16" t="str">
        <f t="shared" si="5"/>
        <v>0x437E</v>
      </c>
      <c r="D56" s="16">
        <f t="shared" si="7"/>
        <v>17277</v>
      </c>
      <c r="E56" s="16">
        <f t="shared" si="6"/>
        <v>17278</v>
      </c>
      <c r="F56" s="16" t="s">
        <v>1786</v>
      </c>
      <c r="G56" s="16" t="s">
        <v>1151</v>
      </c>
      <c r="H56" s="16" t="s">
        <v>427</v>
      </c>
      <c r="I56" s="16">
        <v>2</v>
      </c>
    </row>
    <row r="57" spans="1:9">
      <c r="B57" s="16" t="str">
        <f t="shared" si="4"/>
        <v>0x437F</v>
      </c>
      <c r="C57" s="16" t="str">
        <f t="shared" si="5"/>
        <v>0x4380</v>
      </c>
      <c r="D57" s="16">
        <f t="shared" si="7"/>
        <v>17279</v>
      </c>
      <c r="E57" s="16">
        <f t="shared" si="6"/>
        <v>17280</v>
      </c>
      <c r="F57" s="16" t="s">
        <v>1787</v>
      </c>
      <c r="G57" s="16" t="s">
        <v>1151</v>
      </c>
      <c r="H57" s="16" t="s">
        <v>427</v>
      </c>
      <c r="I57" s="16">
        <v>2</v>
      </c>
    </row>
    <row r="59" spans="1:9" s="26" customFormat="1">
      <c r="A59" s="26" t="s">
        <v>1788</v>
      </c>
    </row>
    <row r="60" spans="1:9">
      <c r="B60" s="16" t="str">
        <f t="shared" ref="B60:B67" si="8">"0x"&amp;DEC2HEX(D60,4)</f>
        <v>0x4381</v>
      </c>
      <c r="D60" s="16">
        <v>17281</v>
      </c>
      <c r="F60" s="16" t="s">
        <v>1789</v>
      </c>
      <c r="G60" s="16" t="s">
        <v>474</v>
      </c>
      <c r="H60" s="16" t="s">
        <v>427</v>
      </c>
      <c r="I60" s="16">
        <v>1</v>
      </c>
    </row>
    <row r="61" spans="1:9">
      <c r="B61" s="16" t="str">
        <f t="shared" si="8"/>
        <v>0x4382</v>
      </c>
      <c r="D61" s="16">
        <v>17282</v>
      </c>
      <c r="F61" s="16" t="s">
        <v>1790</v>
      </c>
      <c r="G61" s="16" t="s">
        <v>474</v>
      </c>
      <c r="H61" s="16" t="s">
        <v>427</v>
      </c>
      <c r="I61" s="16">
        <v>1</v>
      </c>
    </row>
    <row r="62" spans="1:9">
      <c r="B62" s="16" t="str">
        <f t="shared" si="8"/>
        <v>0x4383</v>
      </c>
      <c r="D62" s="16">
        <v>17283</v>
      </c>
      <c r="F62" s="16" t="s">
        <v>1791</v>
      </c>
      <c r="G62" s="16" t="s">
        <v>474</v>
      </c>
      <c r="H62" s="16" t="s">
        <v>427</v>
      </c>
      <c r="I62" s="16">
        <v>1</v>
      </c>
    </row>
    <row r="63" spans="1:9">
      <c r="B63" s="16" t="str">
        <f t="shared" si="8"/>
        <v>0x4384</v>
      </c>
      <c r="D63" s="16">
        <v>17284</v>
      </c>
      <c r="F63" s="16" t="s">
        <v>1792</v>
      </c>
      <c r="G63" s="16" t="s">
        <v>474</v>
      </c>
      <c r="H63" s="16" t="s">
        <v>427</v>
      </c>
      <c r="I63" s="16">
        <v>1</v>
      </c>
    </row>
    <row r="64" spans="1:9">
      <c r="B64" s="16" t="str">
        <f t="shared" si="8"/>
        <v>0x4385</v>
      </c>
      <c r="D64" s="16">
        <v>17285</v>
      </c>
      <c r="F64" s="16" t="s">
        <v>1793</v>
      </c>
      <c r="G64" s="16" t="s">
        <v>474</v>
      </c>
      <c r="H64" s="16" t="s">
        <v>427</v>
      </c>
      <c r="I64" s="16">
        <v>1</v>
      </c>
    </row>
    <row r="65" spans="1:9">
      <c r="B65" s="16" t="str">
        <f t="shared" si="8"/>
        <v>0x4386</v>
      </c>
      <c r="D65" s="16">
        <v>17286</v>
      </c>
      <c r="F65" s="16" t="s">
        <v>1794</v>
      </c>
      <c r="G65" s="16" t="s">
        <v>474</v>
      </c>
      <c r="H65" s="16" t="s">
        <v>427</v>
      </c>
      <c r="I65" s="16">
        <v>1</v>
      </c>
    </row>
    <row r="66" spans="1:9">
      <c r="B66" s="16" t="str">
        <f t="shared" si="8"/>
        <v>0x4387</v>
      </c>
      <c r="D66" s="16">
        <v>17287</v>
      </c>
      <c r="F66" s="16" t="s">
        <v>1795</v>
      </c>
      <c r="G66" s="16" t="s">
        <v>474</v>
      </c>
      <c r="H66" s="16" t="s">
        <v>427</v>
      </c>
      <c r="I66" s="16">
        <v>1</v>
      </c>
    </row>
    <row r="67" spans="1:9">
      <c r="B67" s="16" t="str">
        <f t="shared" si="8"/>
        <v>0x4388</v>
      </c>
      <c r="D67" s="16">
        <v>17288</v>
      </c>
      <c r="F67" s="16" t="s">
        <v>1796</v>
      </c>
      <c r="G67" s="16" t="s">
        <v>474</v>
      </c>
      <c r="H67" s="16" t="s">
        <v>427</v>
      </c>
      <c r="I67" s="16">
        <v>1</v>
      </c>
    </row>
    <row r="69" spans="1:9" s="26" customFormat="1">
      <c r="A69" s="26" t="s">
        <v>1797</v>
      </c>
    </row>
    <row r="70" spans="1:9">
      <c r="B70" s="16" t="str">
        <f t="shared" ref="B70:B77" si="9">"0x"&amp;DEC2HEX(D70,4)</f>
        <v>0x4389</v>
      </c>
      <c r="C70" s="16" t="str">
        <f t="shared" ref="C70:C77" si="10">"0x"&amp;DEC2HEX(E70,4)</f>
        <v>0x438A</v>
      </c>
      <c r="D70" s="16">
        <v>17289</v>
      </c>
      <c r="E70" s="16">
        <f t="shared" ref="E70:E77" si="11">D70+I70-1</f>
        <v>17290</v>
      </c>
      <c r="F70" s="16" t="s">
        <v>1798</v>
      </c>
      <c r="G70" s="16" t="s">
        <v>541</v>
      </c>
      <c r="H70" s="16" t="s">
        <v>427</v>
      </c>
      <c r="I70" s="16">
        <v>2</v>
      </c>
    </row>
    <row r="71" spans="1:9">
      <c r="B71" s="16" t="str">
        <f t="shared" si="9"/>
        <v>0x438B</v>
      </c>
      <c r="C71" s="16" t="str">
        <f t="shared" si="10"/>
        <v>0x438C</v>
      </c>
      <c r="D71" s="16">
        <f t="shared" ref="D71:D77" si="12">D70+I70</f>
        <v>17291</v>
      </c>
      <c r="E71" s="16">
        <f t="shared" si="11"/>
        <v>17292</v>
      </c>
      <c r="F71" s="16" t="s">
        <v>1799</v>
      </c>
      <c r="G71" s="16" t="s">
        <v>541</v>
      </c>
      <c r="H71" s="16" t="s">
        <v>427</v>
      </c>
      <c r="I71" s="16">
        <v>2</v>
      </c>
    </row>
    <row r="72" spans="1:9">
      <c r="B72" s="16" t="str">
        <f t="shared" si="9"/>
        <v>0x438D</v>
      </c>
      <c r="C72" s="16" t="str">
        <f t="shared" si="10"/>
        <v>0x438E</v>
      </c>
      <c r="D72" s="16">
        <f t="shared" si="12"/>
        <v>17293</v>
      </c>
      <c r="E72" s="16">
        <f t="shared" si="11"/>
        <v>17294</v>
      </c>
      <c r="F72" s="16" t="s">
        <v>1800</v>
      </c>
      <c r="G72" s="16" t="s">
        <v>541</v>
      </c>
      <c r="H72" s="16" t="s">
        <v>427</v>
      </c>
      <c r="I72" s="16">
        <v>2</v>
      </c>
    </row>
    <row r="73" spans="1:9">
      <c r="B73" s="16" t="str">
        <f t="shared" si="9"/>
        <v>0x438F</v>
      </c>
      <c r="C73" s="16" t="str">
        <f t="shared" si="10"/>
        <v>0x4390</v>
      </c>
      <c r="D73" s="16">
        <f t="shared" si="12"/>
        <v>17295</v>
      </c>
      <c r="E73" s="16">
        <f t="shared" si="11"/>
        <v>17296</v>
      </c>
      <c r="F73" s="16" t="s">
        <v>1801</v>
      </c>
      <c r="G73" s="16" t="s">
        <v>541</v>
      </c>
      <c r="H73" s="16" t="s">
        <v>427</v>
      </c>
      <c r="I73" s="16">
        <v>2</v>
      </c>
    </row>
    <row r="74" spans="1:9">
      <c r="B74" s="16" t="str">
        <f t="shared" si="9"/>
        <v>0x4391</v>
      </c>
      <c r="C74" s="16" t="str">
        <f t="shared" si="10"/>
        <v>0x4392</v>
      </c>
      <c r="D74" s="16">
        <f t="shared" si="12"/>
        <v>17297</v>
      </c>
      <c r="E74" s="16">
        <f t="shared" si="11"/>
        <v>17298</v>
      </c>
      <c r="F74" s="16" t="s">
        <v>1802</v>
      </c>
      <c r="G74" s="16" t="s">
        <v>541</v>
      </c>
      <c r="H74" s="16" t="s">
        <v>427</v>
      </c>
      <c r="I74" s="16">
        <v>2</v>
      </c>
    </row>
    <row r="75" spans="1:9">
      <c r="B75" s="16" t="str">
        <f t="shared" si="9"/>
        <v>0x4393</v>
      </c>
      <c r="C75" s="16" t="str">
        <f t="shared" si="10"/>
        <v>0x4394</v>
      </c>
      <c r="D75" s="16">
        <f t="shared" si="12"/>
        <v>17299</v>
      </c>
      <c r="E75" s="16">
        <f t="shared" si="11"/>
        <v>17300</v>
      </c>
      <c r="F75" s="16" t="s">
        <v>1803</v>
      </c>
      <c r="G75" s="16" t="s">
        <v>541</v>
      </c>
      <c r="H75" s="16" t="s">
        <v>427</v>
      </c>
      <c r="I75" s="16">
        <v>2</v>
      </c>
    </row>
    <row r="76" spans="1:9">
      <c r="B76" s="16" t="str">
        <f t="shared" si="9"/>
        <v>0x4395</v>
      </c>
      <c r="C76" s="16" t="str">
        <f t="shared" si="10"/>
        <v>0x4396</v>
      </c>
      <c r="D76" s="16">
        <f t="shared" si="12"/>
        <v>17301</v>
      </c>
      <c r="E76" s="16">
        <f t="shared" si="11"/>
        <v>17302</v>
      </c>
      <c r="F76" s="16" t="s">
        <v>1804</v>
      </c>
      <c r="G76" s="16" t="s">
        <v>541</v>
      </c>
      <c r="H76" s="16" t="s">
        <v>427</v>
      </c>
      <c r="I76" s="16">
        <v>2</v>
      </c>
    </row>
    <row r="77" spans="1:9">
      <c r="B77" s="16" t="str">
        <f t="shared" si="9"/>
        <v>0x4397</v>
      </c>
      <c r="C77" s="16" t="str">
        <f t="shared" si="10"/>
        <v>0x4398</v>
      </c>
      <c r="D77" s="16">
        <f t="shared" si="12"/>
        <v>17303</v>
      </c>
      <c r="E77" s="16">
        <f t="shared" si="11"/>
        <v>17304</v>
      </c>
      <c r="F77" s="16" t="s">
        <v>1805</v>
      </c>
      <c r="G77" s="16" t="s">
        <v>541</v>
      </c>
      <c r="H77" s="16" t="s">
        <v>427</v>
      </c>
      <c r="I77" s="16">
        <v>2</v>
      </c>
    </row>
    <row r="79" spans="1:9" s="26" customFormat="1">
      <c r="A79" s="26" t="s">
        <v>1806</v>
      </c>
    </row>
    <row r="80" spans="1:9">
      <c r="B80" s="16" t="str">
        <f t="shared" ref="B80:B108" si="13">"0x"&amp;DEC2HEX(D80,4)</f>
        <v>0x4399</v>
      </c>
      <c r="D80" s="16">
        <v>17305</v>
      </c>
      <c r="F80" s="16" t="s">
        <v>1807</v>
      </c>
      <c r="G80" s="16" t="s">
        <v>474</v>
      </c>
      <c r="H80" s="16" t="s">
        <v>427</v>
      </c>
      <c r="I80" s="16">
        <v>1</v>
      </c>
    </row>
    <row r="81" spans="2:9">
      <c r="B81" s="16" t="str">
        <f t="shared" si="13"/>
        <v>0x439A</v>
      </c>
      <c r="D81" s="16">
        <f t="shared" ref="D81:D107" si="14">D80+I80</f>
        <v>17306</v>
      </c>
      <c r="F81" s="16" t="s">
        <v>1808</v>
      </c>
      <c r="G81" s="16" t="s">
        <v>474</v>
      </c>
      <c r="H81" s="16" t="s">
        <v>427</v>
      </c>
      <c r="I81" s="16">
        <v>1</v>
      </c>
    </row>
    <row r="82" spans="2:9">
      <c r="B82" s="16" t="str">
        <f t="shared" si="13"/>
        <v>0x439B</v>
      </c>
      <c r="D82" s="16">
        <f t="shared" si="14"/>
        <v>17307</v>
      </c>
      <c r="F82" s="16" t="s">
        <v>1809</v>
      </c>
      <c r="G82" s="16" t="s">
        <v>474</v>
      </c>
      <c r="H82" s="16" t="s">
        <v>427</v>
      </c>
      <c r="I82" s="16">
        <v>1</v>
      </c>
    </row>
    <row r="83" spans="2:9">
      <c r="B83" s="16" t="str">
        <f t="shared" si="13"/>
        <v>0x439C</v>
      </c>
      <c r="D83" s="16">
        <f t="shared" si="14"/>
        <v>17308</v>
      </c>
      <c r="F83" s="16" t="s">
        <v>1810</v>
      </c>
      <c r="G83" s="16" t="s">
        <v>474</v>
      </c>
      <c r="H83" s="16" t="s">
        <v>427</v>
      </c>
      <c r="I83" s="16">
        <v>1</v>
      </c>
    </row>
    <row r="84" spans="2:9">
      <c r="B84" s="16" t="str">
        <f t="shared" si="13"/>
        <v>0x439D</v>
      </c>
      <c r="D84" s="16">
        <f t="shared" si="14"/>
        <v>17309</v>
      </c>
      <c r="F84" s="16" t="s">
        <v>1811</v>
      </c>
      <c r="G84" s="16" t="s">
        <v>474</v>
      </c>
      <c r="H84" s="16" t="s">
        <v>427</v>
      </c>
      <c r="I84" s="16">
        <v>1</v>
      </c>
    </row>
    <row r="85" spans="2:9">
      <c r="B85" s="16" t="str">
        <f t="shared" si="13"/>
        <v>0x439E</v>
      </c>
      <c r="D85" s="16">
        <f t="shared" si="14"/>
        <v>17310</v>
      </c>
      <c r="F85" s="16" t="s">
        <v>1812</v>
      </c>
      <c r="G85" s="16" t="s">
        <v>474</v>
      </c>
      <c r="H85" s="16" t="s">
        <v>427</v>
      </c>
      <c r="I85" s="16">
        <v>1</v>
      </c>
    </row>
    <row r="86" spans="2:9">
      <c r="B86" s="16" t="str">
        <f t="shared" si="13"/>
        <v>0x439F</v>
      </c>
      <c r="D86" s="16">
        <f t="shared" si="14"/>
        <v>17311</v>
      </c>
      <c r="F86" s="16" t="s">
        <v>1813</v>
      </c>
      <c r="G86" s="16" t="s">
        <v>474</v>
      </c>
      <c r="H86" s="16" t="s">
        <v>427</v>
      </c>
      <c r="I86" s="16">
        <v>1</v>
      </c>
    </row>
    <row r="87" spans="2:9">
      <c r="B87" s="16" t="str">
        <f t="shared" si="13"/>
        <v>0x43A0</v>
      </c>
      <c r="D87" s="16">
        <f t="shared" si="14"/>
        <v>17312</v>
      </c>
      <c r="F87" s="16" t="s">
        <v>1814</v>
      </c>
      <c r="G87" s="16" t="s">
        <v>474</v>
      </c>
      <c r="H87" s="16" t="s">
        <v>427</v>
      </c>
      <c r="I87" s="16">
        <v>1</v>
      </c>
    </row>
    <row r="88" spans="2:9">
      <c r="B88" s="16" t="str">
        <f t="shared" si="13"/>
        <v>0x43A1</v>
      </c>
      <c r="C88" s="16" t="str">
        <f t="shared" ref="C88:C106" si="15">"0x"&amp;DEC2HEX(E88,4)</f>
        <v>0x43A8</v>
      </c>
      <c r="D88" s="16">
        <f t="shared" si="14"/>
        <v>17313</v>
      </c>
      <c r="E88" s="16">
        <f t="shared" ref="E88:E107" si="16">D88+I88-1</f>
        <v>17320</v>
      </c>
      <c r="F88" s="16" t="s">
        <v>1815</v>
      </c>
      <c r="G88" s="16" t="s">
        <v>474</v>
      </c>
      <c r="H88" s="16" t="s">
        <v>427</v>
      </c>
      <c r="I88" s="16">
        <v>8</v>
      </c>
    </row>
    <row r="89" spans="2:9">
      <c r="B89" s="16" t="str">
        <f t="shared" si="13"/>
        <v>0x43A9</v>
      </c>
      <c r="C89" s="16" t="str">
        <f t="shared" si="15"/>
        <v>0x43B0</v>
      </c>
      <c r="D89" s="16">
        <f t="shared" si="14"/>
        <v>17321</v>
      </c>
      <c r="E89" s="16">
        <f t="shared" si="16"/>
        <v>17328</v>
      </c>
      <c r="F89" s="16" t="s">
        <v>1816</v>
      </c>
      <c r="G89" s="16" t="s">
        <v>474</v>
      </c>
      <c r="H89" s="16" t="s">
        <v>427</v>
      </c>
      <c r="I89" s="16">
        <v>8</v>
      </c>
    </row>
    <row r="90" spans="2:9">
      <c r="B90" s="16" t="str">
        <f t="shared" si="13"/>
        <v>0x43B1</v>
      </c>
      <c r="C90" s="16" t="str">
        <f t="shared" si="15"/>
        <v>0x43B8</v>
      </c>
      <c r="D90" s="16">
        <f t="shared" si="14"/>
        <v>17329</v>
      </c>
      <c r="E90" s="16">
        <f t="shared" si="16"/>
        <v>17336</v>
      </c>
      <c r="F90" s="16" t="s">
        <v>1817</v>
      </c>
      <c r="G90" s="16" t="s">
        <v>474</v>
      </c>
      <c r="H90" s="16" t="s">
        <v>427</v>
      </c>
      <c r="I90" s="16">
        <v>8</v>
      </c>
    </row>
    <row r="91" spans="2:9">
      <c r="B91" s="16" t="str">
        <f t="shared" si="13"/>
        <v>0x43B9</v>
      </c>
      <c r="C91" s="16" t="str">
        <f t="shared" si="15"/>
        <v>0x43C0</v>
      </c>
      <c r="D91" s="16">
        <f t="shared" si="14"/>
        <v>17337</v>
      </c>
      <c r="E91" s="16">
        <f t="shared" si="16"/>
        <v>17344</v>
      </c>
      <c r="F91" s="16" t="s">
        <v>1818</v>
      </c>
      <c r="G91" s="16" t="s">
        <v>474</v>
      </c>
      <c r="H91" s="16" t="s">
        <v>427</v>
      </c>
      <c r="I91" s="16">
        <v>8</v>
      </c>
    </row>
    <row r="92" spans="2:9">
      <c r="B92" s="16" t="str">
        <f t="shared" si="13"/>
        <v>0x43C1</v>
      </c>
      <c r="C92" s="16" t="str">
        <f t="shared" si="15"/>
        <v>0x43C8</v>
      </c>
      <c r="D92" s="16">
        <f t="shared" si="14"/>
        <v>17345</v>
      </c>
      <c r="E92" s="16">
        <f t="shared" si="16"/>
        <v>17352</v>
      </c>
      <c r="F92" s="16" t="s">
        <v>1819</v>
      </c>
      <c r="G92" s="16" t="s">
        <v>474</v>
      </c>
      <c r="H92" s="16" t="s">
        <v>427</v>
      </c>
      <c r="I92" s="16">
        <v>8</v>
      </c>
    </row>
    <row r="93" spans="2:9">
      <c r="B93" s="16" t="str">
        <f t="shared" si="13"/>
        <v>0x43C9</v>
      </c>
      <c r="C93" s="16" t="str">
        <f t="shared" si="15"/>
        <v>0x43D0</v>
      </c>
      <c r="D93" s="16">
        <f t="shared" si="14"/>
        <v>17353</v>
      </c>
      <c r="E93" s="16">
        <f t="shared" si="16"/>
        <v>17360</v>
      </c>
      <c r="F93" s="16" t="s">
        <v>1820</v>
      </c>
      <c r="G93" s="16" t="s">
        <v>474</v>
      </c>
      <c r="H93" s="16" t="s">
        <v>427</v>
      </c>
      <c r="I93" s="16">
        <v>8</v>
      </c>
    </row>
    <row r="94" spans="2:9">
      <c r="B94" s="16" t="str">
        <f t="shared" si="13"/>
        <v>0x43D1</v>
      </c>
      <c r="C94" s="16" t="str">
        <f t="shared" si="15"/>
        <v>0x43D8</v>
      </c>
      <c r="D94" s="16">
        <f t="shared" si="14"/>
        <v>17361</v>
      </c>
      <c r="E94" s="16">
        <f t="shared" si="16"/>
        <v>17368</v>
      </c>
      <c r="F94" s="16" t="s">
        <v>1821</v>
      </c>
      <c r="G94" s="16" t="s">
        <v>474</v>
      </c>
      <c r="H94" s="16" t="s">
        <v>427</v>
      </c>
      <c r="I94" s="16">
        <v>8</v>
      </c>
    </row>
    <row r="95" spans="2:9">
      <c r="B95" s="16" t="str">
        <f t="shared" si="13"/>
        <v>0x43D9</v>
      </c>
      <c r="C95" s="16" t="str">
        <f t="shared" si="15"/>
        <v>0x43E0</v>
      </c>
      <c r="D95" s="16">
        <f t="shared" si="14"/>
        <v>17369</v>
      </c>
      <c r="E95" s="16">
        <f t="shared" si="16"/>
        <v>17376</v>
      </c>
      <c r="F95" s="16" t="s">
        <v>1822</v>
      </c>
      <c r="G95" s="16" t="s">
        <v>474</v>
      </c>
      <c r="H95" s="16" t="s">
        <v>427</v>
      </c>
      <c r="I95" s="16">
        <v>8</v>
      </c>
    </row>
    <row r="96" spans="2:9">
      <c r="B96" s="16" t="str">
        <f t="shared" si="13"/>
        <v>0x43E1</v>
      </c>
      <c r="C96" s="16" t="str">
        <f t="shared" si="15"/>
        <v>0x43E8</v>
      </c>
      <c r="D96" s="16">
        <f t="shared" si="14"/>
        <v>17377</v>
      </c>
      <c r="E96" s="16">
        <f t="shared" si="16"/>
        <v>17384</v>
      </c>
      <c r="F96" s="16" t="s">
        <v>1823</v>
      </c>
      <c r="G96" s="16" t="s">
        <v>474</v>
      </c>
      <c r="H96" s="16" t="s">
        <v>427</v>
      </c>
      <c r="I96" s="16">
        <v>8</v>
      </c>
    </row>
    <row r="97" spans="1:9">
      <c r="B97" s="16" t="str">
        <f t="shared" si="13"/>
        <v>0x43E9</v>
      </c>
      <c r="C97" s="16" t="str">
        <f t="shared" si="15"/>
        <v>0x43F0</v>
      </c>
      <c r="D97" s="16">
        <f t="shared" si="14"/>
        <v>17385</v>
      </c>
      <c r="E97" s="16">
        <f t="shared" si="16"/>
        <v>17392</v>
      </c>
      <c r="F97" s="16" t="s">
        <v>1824</v>
      </c>
      <c r="G97" s="16" t="s">
        <v>474</v>
      </c>
      <c r="H97" s="16" t="s">
        <v>427</v>
      </c>
      <c r="I97" s="16">
        <v>8</v>
      </c>
    </row>
    <row r="98" spans="1:9">
      <c r="B98" s="16" t="str">
        <f t="shared" si="13"/>
        <v>0x43F1</v>
      </c>
      <c r="C98" s="16" t="str">
        <f t="shared" si="15"/>
        <v>0x43F8</v>
      </c>
      <c r="D98" s="16">
        <f t="shared" si="14"/>
        <v>17393</v>
      </c>
      <c r="E98" s="16">
        <f t="shared" si="16"/>
        <v>17400</v>
      </c>
      <c r="F98" s="16" t="s">
        <v>1825</v>
      </c>
      <c r="G98" s="16" t="s">
        <v>474</v>
      </c>
      <c r="H98" s="16" t="s">
        <v>427</v>
      </c>
      <c r="I98" s="16">
        <v>8</v>
      </c>
    </row>
    <row r="99" spans="1:9">
      <c r="B99" s="16" t="str">
        <f t="shared" si="13"/>
        <v>0x43F9</v>
      </c>
      <c r="C99" s="16" t="str">
        <f t="shared" si="15"/>
        <v>0x4400</v>
      </c>
      <c r="D99" s="16">
        <f t="shared" si="14"/>
        <v>17401</v>
      </c>
      <c r="E99" s="16">
        <f t="shared" si="16"/>
        <v>17408</v>
      </c>
      <c r="F99" s="16" t="s">
        <v>1826</v>
      </c>
      <c r="G99" s="16" t="s">
        <v>474</v>
      </c>
      <c r="H99" s="16" t="s">
        <v>427</v>
      </c>
      <c r="I99" s="16">
        <v>8</v>
      </c>
    </row>
    <row r="100" spans="1:9">
      <c r="B100" s="16" t="str">
        <f t="shared" si="13"/>
        <v>0x4401</v>
      </c>
      <c r="C100" s="16" t="str">
        <f t="shared" si="15"/>
        <v>0x4408</v>
      </c>
      <c r="D100" s="16">
        <f t="shared" si="14"/>
        <v>17409</v>
      </c>
      <c r="E100" s="16">
        <f t="shared" si="16"/>
        <v>17416</v>
      </c>
      <c r="F100" s="16" t="s">
        <v>1827</v>
      </c>
      <c r="G100" s="16" t="s">
        <v>474</v>
      </c>
      <c r="H100" s="16" t="s">
        <v>427</v>
      </c>
      <c r="I100" s="16">
        <v>8</v>
      </c>
    </row>
    <row r="101" spans="1:9">
      <c r="B101" s="16" t="str">
        <f t="shared" si="13"/>
        <v>0x4409</v>
      </c>
      <c r="C101" s="16" t="str">
        <f t="shared" si="15"/>
        <v>0x4410</v>
      </c>
      <c r="D101" s="16">
        <f t="shared" si="14"/>
        <v>17417</v>
      </c>
      <c r="E101" s="16">
        <f t="shared" si="16"/>
        <v>17424</v>
      </c>
      <c r="F101" s="16" t="s">
        <v>1828</v>
      </c>
      <c r="G101" s="16" t="s">
        <v>474</v>
      </c>
      <c r="H101" s="16" t="s">
        <v>427</v>
      </c>
      <c r="I101" s="16">
        <v>8</v>
      </c>
    </row>
    <row r="102" spans="1:9">
      <c r="B102" s="16" t="str">
        <f t="shared" si="13"/>
        <v>0x4411</v>
      </c>
      <c r="C102" s="16" t="str">
        <f t="shared" si="15"/>
        <v>0x4418</v>
      </c>
      <c r="D102" s="16">
        <f t="shared" si="14"/>
        <v>17425</v>
      </c>
      <c r="E102" s="16">
        <f t="shared" si="16"/>
        <v>17432</v>
      </c>
      <c r="F102" s="16" t="s">
        <v>1829</v>
      </c>
      <c r="G102" s="16" t="s">
        <v>474</v>
      </c>
      <c r="H102" s="16" t="s">
        <v>427</v>
      </c>
      <c r="I102" s="16">
        <v>8</v>
      </c>
    </row>
    <row r="103" spans="1:9">
      <c r="B103" s="16" t="str">
        <f t="shared" si="13"/>
        <v>0x4419</v>
      </c>
      <c r="C103" s="16" t="str">
        <f t="shared" si="15"/>
        <v>0x4420</v>
      </c>
      <c r="D103" s="16">
        <f t="shared" si="14"/>
        <v>17433</v>
      </c>
      <c r="E103" s="16">
        <f t="shared" si="16"/>
        <v>17440</v>
      </c>
      <c r="F103" s="16" t="s">
        <v>1830</v>
      </c>
      <c r="G103" s="16" t="s">
        <v>474</v>
      </c>
      <c r="H103" s="16" t="s">
        <v>427</v>
      </c>
      <c r="I103" s="16">
        <v>8</v>
      </c>
    </row>
    <row r="104" spans="1:9">
      <c r="B104" s="16" t="str">
        <f t="shared" si="13"/>
        <v>0x4421</v>
      </c>
      <c r="C104" s="16" t="str">
        <f t="shared" si="15"/>
        <v>0x4428</v>
      </c>
      <c r="D104" s="16">
        <f t="shared" si="14"/>
        <v>17441</v>
      </c>
      <c r="E104" s="16">
        <f t="shared" si="16"/>
        <v>17448</v>
      </c>
      <c r="F104" s="16" t="s">
        <v>1831</v>
      </c>
      <c r="G104" s="16" t="s">
        <v>474</v>
      </c>
      <c r="H104" s="16" t="s">
        <v>427</v>
      </c>
      <c r="I104" s="16">
        <v>8</v>
      </c>
    </row>
    <row r="105" spans="1:9">
      <c r="B105" s="16" t="str">
        <f t="shared" si="13"/>
        <v>0x4429</v>
      </c>
      <c r="C105" s="16" t="str">
        <f t="shared" si="15"/>
        <v>0x4430</v>
      </c>
      <c r="D105" s="16">
        <f t="shared" si="14"/>
        <v>17449</v>
      </c>
      <c r="E105" s="16">
        <f t="shared" si="16"/>
        <v>17456</v>
      </c>
      <c r="F105" s="16" t="s">
        <v>1832</v>
      </c>
      <c r="G105" s="16" t="s">
        <v>474</v>
      </c>
      <c r="H105" s="16" t="s">
        <v>427</v>
      </c>
      <c r="I105" s="16">
        <v>8</v>
      </c>
    </row>
    <row r="106" spans="1:9">
      <c r="B106" s="16" t="str">
        <f t="shared" si="13"/>
        <v>0x4431</v>
      </c>
      <c r="C106" s="16" t="str">
        <f t="shared" si="15"/>
        <v>0x4438</v>
      </c>
      <c r="D106" s="16">
        <f t="shared" si="14"/>
        <v>17457</v>
      </c>
      <c r="E106" s="16">
        <f t="shared" si="16"/>
        <v>17464</v>
      </c>
      <c r="F106" s="16" t="s">
        <v>1833</v>
      </c>
      <c r="G106" s="16" t="s">
        <v>474</v>
      </c>
      <c r="H106" s="16" t="s">
        <v>427</v>
      </c>
      <c r="I106" s="16">
        <v>8</v>
      </c>
    </row>
    <row r="107" spans="1:9">
      <c r="B107" s="16" t="str">
        <f t="shared" si="13"/>
        <v>0x4439</v>
      </c>
      <c r="D107" s="16">
        <f t="shared" si="14"/>
        <v>17465</v>
      </c>
      <c r="E107" s="16">
        <f t="shared" si="16"/>
        <v>17465</v>
      </c>
      <c r="F107" s="16" t="s">
        <v>1834</v>
      </c>
      <c r="G107" s="16" t="s">
        <v>474</v>
      </c>
      <c r="H107" s="16" t="s">
        <v>427</v>
      </c>
      <c r="I107" s="16">
        <v>1</v>
      </c>
    </row>
    <row r="108" spans="1:9" s="3" customFormat="1" ht="15">
      <c r="A108" s="85" t="s">
        <v>2905</v>
      </c>
      <c r="B108" s="3" t="str">
        <f t="shared" si="13"/>
        <v>0x443A</v>
      </c>
      <c r="D108" s="3">
        <f t="shared" ref="D108" si="17">D107+I107</f>
        <v>17466</v>
      </c>
      <c r="E108" s="3">
        <f t="shared" ref="E108" si="18">D108+I108-1</f>
        <v>17466</v>
      </c>
      <c r="F108" s="3" t="s">
        <v>2911</v>
      </c>
      <c r="G108" s="3" t="s">
        <v>474</v>
      </c>
      <c r="H108" s="3" t="s">
        <v>427</v>
      </c>
      <c r="I108" s="3">
        <v>1</v>
      </c>
    </row>
    <row r="109" spans="1:9" s="3" customFormat="1" ht="15">
      <c r="A109" s="85" t="s">
        <v>2906</v>
      </c>
      <c r="B109" s="3" t="str">
        <f t="shared" ref="B109:B113" si="19">"0x"&amp;DEC2HEX(D109,4)</f>
        <v>0x443B</v>
      </c>
      <c r="D109" s="3">
        <f t="shared" ref="D109:D113" si="20">D108+I108</f>
        <v>17467</v>
      </c>
      <c r="E109" s="3">
        <f t="shared" ref="E109:E113" si="21">D109+I109-1</f>
        <v>17467</v>
      </c>
      <c r="F109" s="3" t="s">
        <v>2912</v>
      </c>
      <c r="G109" s="3" t="s">
        <v>474</v>
      </c>
      <c r="H109" s="3" t="s">
        <v>427</v>
      </c>
      <c r="I109" s="3">
        <v>1</v>
      </c>
    </row>
    <row r="110" spans="1:9" s="3" customFormat="1" ht="15">
      <c r="A110" s="85" t="s">
        <v>2907</v>
      </c>
      <c r="B110" s="3" t="str">
        <f t="shared" si="19"/>
        <v>0x443C</v>
      </c>
      <c r="D110" s="3">
        <f t="shared" si="20"/>
        <v>17468</v>
      </c>
      <c r="E110" s="3">
        <f t="shared" si="21"/>
        <v>17468</v>
      </c>
      <c r="F110" s="3" t="s">
        <v>2912</v>
      </c>
      <c r="G110" s="3" t="s">
        <v>474</v>
      </c>
      <c r="H110" s="3" t="s">
        <v>427</v>
      </c>
      <c r="I110" s="3">
        <v>1</v>
      </c>
    </row>
    <row r="111" spans="1:9" s="3" customFormat="1" ht="15">
      <c r="A111" s="85" t="s">
        <v>2908</v>
      </c>
      <c r="B111" s="3" t="str">
        <f t="shared" si="19"/>
        <v>0x443D</v>
      </c>
      <c r="D111" s="3">
        <f t="shared" si="20"/>
        <v>17469</v>
      </c>
      <c r="E111" s="3">
        <f t="shared" si="21"/>
        <v>17469</v>
      </c>
      <c r="F111" s="3" t="s">
        <v>2911</v>
      </c>
      <c r="G111" s="3" t="s">
        <v>474</v>
      </c>
      <c r="H111" s="3" t="s">
        <v>427</v>
      </c>
      <c r="I111" s="3">
        <v>1</v>
      </c>
    </row>
    <row r="112" spans="1:9" s="3" customFormat="1" ht="15">
      <c r="A112" s="85" t="s">
        <v>2909</v>
      </c>
      <c r="B112" s="3" t="str">
        <f t="shared" si="19"/>
        <v>0x443E</v>
      </c>
      <c r="D112" s="3">
        <f t="shared" si="20"/>
        <v>17470</v>
      </c>
      <c r="E112" s="3">
        <f t="shared" si="21"/>
        <v>17470</v>
      </c>
      <c r="F112" s="3" t="s">
        <v>2912</v>
      </c>
      <c r="G112" s="3" t="s">
        <v>474</v>
      </c>
      <c r="H112" s="3" t="s">
        <v>427</v>
      </c>
      <c r="I112" s="3">
        <v>1</v>
      </c>
    </row>
    <row r="113" spans="1:9" s="3" customFormat="1" ht="15">
      <c r="A113" s="85" t="s">
        <v>2910</v>
      </c>
      <c r="B113" s="3" t="str">
        <f t="shared" si="19"/>
        <v>0x443F</v>
      </c>
      <c r="D113" s="3">
        <f t="shared" si="20"/>
        <v>17471</v>
      </c>
      <c r="E113" s="3">
        <f t="shared" si="21"/>
        <v>17471</v>
      </c>
      <c r="F113" s="3" t="s">
        <v>2912</v>
      </c>
      <c r="G113" s="3" t="s">
        <v>474</v>
      </c>
      <c r="H113" s="3" t="s">
        <v>427</v>
      </c>
      <c r="I113" s="3">
        <v>1</v>
      </c>
    </row>
  </sheetData>
  <phoneticPr fontId="4" type="noConversion"/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0DF64-D934-4D56-BF50-232644D14BA4}">
  <dimension ref="A1:M78"/>
  <sheetViews>
    <sheetView workbookViewId="0">
      <pane ySplit="1" topLeftCell="A54" activePane="bottomLeft" state="frozen"/>
      <selection pane="bottomLeft" activeCell="F4" sqref="F4"/>
    </sheetView>
  </sheetViews>
  <sheetFormatPr defaultRowHeight="15"/>
  <cols>
    <col min="1" max="1" width="25.42578125" style="8" customWidth="1"/>
    <col min="6" max="6" width="43.42578125" customWidth="1"/>
    <col min="10" max="10" width="26.42578125" customWidth="1"/>
    <col min="11" max="11" width="18.42578125" customWidth="1"/>
  </cols>
  <sheetData>
    <row r="1" spans="1:12" s="52" customFormat="1">
      <c r="A1" s="14" t="s">
        <v>27</v>
      </c>
      <c r="B1" s="39" t="s">
        <v>414</v>
      </c>
      <c r="C1" s="39" t="s">
        <v>415</v>
      </c>
      <c r="D1" s="39" t="s">
        <v>416</v>
      </c>
      <c r="E1" s="39" t="s">
        <v>417</v>
      </c>
      <c r="F1" s="39" t="s">
        <v>418</v>
      </c>
      <c r="G1" s="39" t="s">
        <v>419</v>
      </c>
      <c r="H1" s="39" t="s">
        <v>421</v>
      </c>
      <c r="I1" s="39" t="s">
        <v>420</v>
      </c>
      <c r="J1" s="39" t="s">
        <v>422</v>
      </c>
      <c r="K1" s="39" t="s">
        <v>480</v>
      </c>
      <c r="L1" s="39" t="s">
        <v>481</v>
      </c>
    </row>
    <row r="2" spans="1:12">
      <c r="A2" s="26" t="s">
        <v>1835</v>
      </c>
      <c r="C2" s="26"/>
      <c r="D2" s="26"/>
      <c r="E2" s="26"/>
      <c r="F2" s="26"/>
      <c r="G2" s="26"/>
      <c r="H2" s="26"/>
      <c r="I2" s="26"/>
      <c r="J2" s="26"/>
      <c r="K2" s="26"/>
      <c r="L2" s="26"/>
    </row>
    <row r="3" spans="1:12">
      <c r="B3" s="16" t="str">
        <f t="shared" ref="B3:B27" si="0">"0x"&amp;DEC2HEX(D3,4)</f>
        <v>0x8000</v>
      </c>
      <c r="C3" s="16"/>
      <c r="D3" s="16">
        <v>32768</v>
      </c>
      <c r="E3" s="16"/>
      <c r="F3" s="1" t="s">
        <v>1836</v>
      </c>
      <c r="G3" s="16" t="s">
        <v>474</v>
      </c>
      <c r="H3" s="16" t="s">
        <v>471</v>
      </c>
      <c r="I3" s="16">
        <v>1</v>
      </c>
      <c r="J3" s="16" t="s">
        <v>1837</v>
      </c>
      <c r="K3" s="26"/>
      <c r="L3" s="16"/>
    </row>
    <row r="4" spans="1:12">
      <c r="B4" s="16" t="str">
        <f t="shared" si="0"/>
        <v>0x8001</v>
      </c>
      <c r="C4" s="16"/>
      <c r="D4" s="16">
        <f t="shared" ref="D4:D27" si="1">D3+I3</f>
        <v>32769</v>
      </c>
      <c r="E4" s="16"/>
      <c r="F4" s="1" t="s">
        <v>1838</v>
      </c>
      <c r="G4" s="16" t="s">
        <v>474</v>
      </c>
      <c r="H4" s="16" t="s">
        <v>471</v>
      </c>
      <c r="I4" s="16">
        <v>1</v>
      </c>
      <c r="J4" s="16"/>
      <c r="K4" s="16"/>
      <c r="L4" s="16"/>
    </row>
    <row r="5" spans="1:12">
      <c r="B5" s="16" t="str">
        <f t="shared" si="0"/>
        <v>0x8002</v>
      </c>
      <c r="C5" s="16"/>
      <c r="D5" s="16">
        <f t="shared" si="1"/>
        <v>32770</v>
      </c>
      <c r="E5" s="16"/>
      <c r="F5" s="1" t="s">
        <v>1839</v>
      </c>
      <c r="G5" s="16" t="s">
        <v>474</v>
      </c>
      <c r="H5" s="16" t="s">
        <v>471</v>
      </c>
      <c r="I5" s="16">
        <v>1</v>
      </c>
      <c r="J5" s="16"/>
      <c r="K5" s="16"/>
      <c r="L5" s="16"/>
    </row>
    <row r="6" spans="1:12">
      <c r="B6" s="16" t="str">
        <f t="shared" si="0"/>
        <v>0x8003</v>
      </c>
      <c r="C6" s="16"/>
      <c r="D6" s="16">
        <f t="shared" si="1"/>
        <v>32771</v>
      </c>
      <c r="E6" s="16"/>
      <c r="F6" s="1" t="s">
        <v>1840</v>
      </c>
      <c r="G6" s="16" t="s">
        <v>474</v>
      </c>
      <c r="H6" s="16" t="s">
        <v>471</v>
      </c>
      <c r="I6" s="16">
        <v>1</v>
      </c>
      <c r="J6" s="16"/>
      <c r="K6" s="16"/>
      <c r="L6" s="16"/>
    </row>
    <row r="7" spans="1:12">
      <c r="B7" s="16" t="str">
        <f t="shared" si="0"/>
        <v>0x8004</v>
      </c>
      <c r="C7" s="16"/>
      <c r="D7" s="16">
        <f t="shared" si="1"/>
        <v>32772</v>
      </c>
      <c r="E7" s="16"/>
      <c r="F7" s="1" t="s">
        <v>1841</v>
      </c>
      <c r="G7" s="16" t="s">
        <v>1842</v>
      </c>
      <c r="H7" s="16" t="s">
        <v>527</v>
      </c>
      <c r="I7" s="16">
        <v>1</v>
      </c>
      <c r="J7" s="16"/>
      <c r="K7" s="16"/>
      <c r="L7" s="16"/>
    </row>
    <row r="8" spans="1:12">
      <c r="B8" s="16" t="str">
        <f t="shared" si="0"/>
        <v>0x8005</v>
      </c>
      <c r="C8" s="16"/>
      <c r="D8" s="16">
        <f t="shared" si="1"/>
        <v>32773</v>
      </c>
      <c r="E8" s="16"/>
      <c r="F8" s="1" t="s">
        <v>1843</v>
      </c>
      <c r="G8" s="16" t="s">
        <v>474</v>
      </c>
      <c r="H8" s="16" t="s">
        <v>471</v>
      </c>
      <c r="I8" s="16">
        <v>1</v>
      </c>
      <c r="J8" s="16"/>
      <c r="K8" s="16"/>
      <c r="L8" s="16"/>
    </row>
    <row r="9" spans="1:12">
      <c r="B9" s="16" t="str">
        <f t="shared" si="0"/>
        <v>0x8006</v>
      </c>
      <c r="C9" s="16"/>
      <c r="D9" s="16">
        <f t="shared" si="1"/>
        <v>32774</v>
      </c>
      <c r="E9" s="16"/>
      <c r="F9" s="1" t="s">
        <v>1844</v>
      </c>
      <c r="G9" s="16" t="s">
        <v>474</v>
      </c>
      <c r="H9" s="16" t="s">
        <v>471</v>
      </c>
      <c r="I9" s="16">
        <v>1</v>
      </c>
      <c r="J9" s="16"/>
      <c r="K9" s="16"/>
      <c r="L9" s="16"/>
    </row>
    <row r="10" spans="1:12" s="107" customFormat="1">
      <c r="A10" s="104"/>
      <c r="B10" s="105" t="str">
        <f t="shared" si="0"/>
        <v>0x8007</v>
      </c>
      <c r="C10" s="105"/>
      <c r="D10" s="105">
        <f t="shared" si="1"/>
        <v>32775</v>
      </c>
      <c r="E10" s="105"/>
      <c r="F10" s="106" t="s">
        <v>1845</v>
      </c>
      <c r="G10" s="105" t="s">
        <v>474</v>
      </c>
      <c r="H10" s="105" t="s">
        <v>471</v>
      </c>
      <c r="I10" s="105">
        <v>1</v>
      </c>
      <c r="J10" s="105"/>
      <c r="K10" s="105"/>
      <c r="L10" s="105"/>
    </row>
    <row r="11" spans="1:12">
      <c r="B11" s="16" t="str">
        <f t="shared" si="0"/>
        <v>0x8008</v>
      </c>
      <c r="C11" s="16"/>
      <c r="D11" s="16">
        <f t="shared" si="1"/>
        <v>32776</v>
      </c>
      <c r="E11" s="16"/>
      <c r="F11" s="1" t="s">
        <v>1846</v>
      </c>
      <c r="G11" s="16" t="s">
        <v>474</v>
      </c>
      <c r="H11" s="16" t="s">
        <v>471</v>
      </c>
      <c r="I11" s="16">
        <v>1</v>
      </c>
      <c r="J11" s="16"/>
      <c r="K11" s="16"/>
      <c r="L11" s="16"/>
    </row>
    <row r="12" spans="1:12">
      <c r="B12" s="16" t="str">
        <f t="shared" si="0"/>
        <v>0x8009</v>
      </c>
      <c r="C12" s="16"/>
      <c r="D12" s="16">
        <f t="shared" si="1"/>
        <v>32777</v>
      </c>
      <c r="E12" s="16"/>
      <c r="F12" s="1" t="s">
        <v>1847</v>
      </c>
      <c r="G12" s="16" t="s">
        <v>474</v>
      </c>
      <c r="H12" s="16" t="s">
        <v>471</v>
      </c>
      <c r="I12" s="16">
        <v>1</v>
      </c>
      <c r="J12" s="16"/>
      <c r="K12" s="16"/>
      <c r="L12" s="16"/>
    </row>
    <row r="13" spans="1:12" ht="38.25">
      <c r="B13" s="16" t="str">
        <f t="shared" si="0"/>
        <v>0x800A</v>
      </c>
      <c r="C13" s="16"/>
      <c r="D13" s="16">
        <f t="shared" si="1"/>
        <v>32778</v>
      </c>
      <c r="E13" s="16"/>
      <c r="F13" s="1" t="s">
        <v>2876</v>
      </c>
      <c r="G13" s="16" t="s">
        <v>474</v>
      </c>
      <c r="H13" s="16" t="s">
        <v>471</v>
      </c>
      <c r="I13" s="26">
        <v>1</v>
      </c>
      <c r="J13" s="1" t="s">
        <v>3233</v>
      </c>
      <c r="K13" s="16"/>
      <c r="L13" s="16"/>
    </row>
    <row r="14" spans="1:12">
      <c r="B14" s="16" t="str">
        <f t="shared" si="0"/>
        <v>0x800B</v>
      </c>
      <c r="C14" s="16"/>
      <c r="D14" s="16">
        <f t="shared" si="1"/>
        <v>32779</v>
      </c>
      <c r="E14" s="16"/>
      <c r="F14" s="1" t="s">
        <v>1848</v>
      </c>
      <c r="G14" s="16" t="s">
        <v>474</v>
      </c>
      <c r="H14" s="16" t="s">
        <v>471</v>
      </c>
      <c r="I14" s="16">
        <v>1</v>
      </c>
      <c r="J14" s="16"/>
      <c r="K14" s="16"/>
      <c r="L14" s="16"/>
    </row>
    <row r="15" spans="1:12">
      <c r="B15" s="16" t="str">
        <f t="shared" si="0"/>
        <v>0x800C</v>
      </c>
      <c r="C15" s="16"/>
      <c r="D15" s="16">
        <f t="shared" si="1"/>
        <v>32780</v>
      </c>
      <c r="E15" s="16"/>
      <c r="F15" s="1" t="s">
        <v>1849</v>
      </c>
      <c r="G15" s="16" t="s">
        <v>474</v>
      </c>
      <c r="H15" s="16" t="s">
        <v>471</v>
      </c>
      <c r="I15" s="16">
        <v>1</v>
      </c>
      <c r="J15" s="16"/>
      <c r="K15" s="16"/>
      <c r="L15" s="16"/>
    </row>
    <row r="16" spans="1:12">
      <c r="B16" s="16" t="str">
        <f t="shared" si="0"/>
        <v>0x800D</v>
      </c>
      <c r="C16" s="16"/>
      <c r="D16" s="16">
        <f t="shared" si="1"/>
        <v>32781</v>
      </c>
      <c r="E16" s="16"/>
      <c r="F16" s="1" t="s">
        <v>1850</v>
      </c>
      <c r="G16" s="16" t="s">
        <v>474</v>
      </c>
      <c r="H16" s="16" t="s">
        <v>471</v>
      </c>
      <c r="I16" s="16">
        <v>1</v>
      </c>
      <c r="J16" s="16"/>
      <c r="K16" s="16"/>
      <c r="L16" s="16"/>
    </row>
    <row r="17" spans="1:12">
      <c r="B17" s="16" t="str">
        <f t="shared" si="0"/>
        <v>0x800E</v>
      </c>
      <c r="C17" s="16"/>
      <c r="D17" s="16">
        <f t="shared" si="1"/>
        <v>32782</v>
      </c>
      <c r="E17" s="16"/>
      <c r="F17" s="1" t="s">
        <v>1851</v>
      </c>
      <c r="G17" s="16" t="s">
        <v>474</v>
      </c>
      <c r="H17" s="16" t="s">
        <v>471</v>
      </c>
      <c r="I17" s="16">
        <v>1</v>
      </c>
      <c r="J17" s="16"/>
      <c r="K17" s="16"/>
      <c r="L17" s="16"/>
    </row>
    <row r="18" spans="1:12">
      <c r="B18" s="16" t="str">
        <f t="shared" si="0"/>
        <v>0x800F</v>
      </c>
      <c r="C18" s="16"/>
      <c r="D18" s="16">
        <f t="shared" si="1"/>
        <v>32783</v>
      </c>
      <c r="E18" s="16"/>
      <c r="F18" s="1" t="s">
        <v>1852</v>
      </c>
      <c r="G18" s="16" t="s">
        <v>474</v>
      </c>
      <c r="H18" s="16" t="s">
        <v>471</v>
      </c>
      <c r="I18" s="16">
        <v>1</v>
      </c>
      <c r="J18" s="16"/>
      <c r="K18" s="16"/>
      <c r="L18" s="16"/>
    </row>
    <row r="19" spans="1:12" s="101" customFormat="1" ht="25.5">
      <c r="A19" s="98"/>
      <c r="B19" s="99" t="str">
        <f t="shared" si="0"/>
        <v>0x8010</v>
      </c>
      <c r="C19" s="99"/>
      <c r="D19" s="99">
        <f t="shared" si="1"/>
        <v>32784</v>
      </c>
      <c r="E19" s="99"/>
      <c r="F19" s="100" t="s">
        <v>1853</v>
      </c>
      <c r="G19" s="99" t="s">
        <v>474</v>
      </c>
      <c r="H19" s="99" t="s">
        <v>471</v>
      </c>
      <c r="I19" s="99">
        <v>1</v>
      </c>
      <c r="J19" s="127" t="s">
        <v>1854</v>
      </c>
      <c r="K19" s="99"/>
      <c r="L19" s="99"/>
    </row>
    <row r="20" spans="1:12" s="101" customFormat="1" ht="25.5">
      <c r="A20" s="98"/>
      <c r="B20" s="99" t="str">
        <f t="shared" si="0"/>
        <v>0x8011</v>
      </c>
      <c r="C20" s="99"/>
      <c r="D20" s="99">
        <f t="shared" si="1"/>
        <v>32785</v>
      </c>
      <c r="E20" s="99"/>
      <c r="F20" s="100" t="s">
        <v>1855</v>
      </c>
      <c r="G20" s="99" t="s">
        <v>474</v>
      </c>
      <c r="H20" s="99" t="s">
        <v>471</v>
      </c>
      <c r="I20" s="99">
        <v>1</v>
      </c>
      <c r="J20" s="127"/>
      <c r="K20" s="99"/>
      <c r="L20" s="99"/>
    </row>
    <row r="21" spans="1:12" s="101" customFormat="1" ht="25.5">
      <c r="A21" s="98"/>
      <c r="B21" s="99" t="str">
        <f t="shared" si="0"/>
        <v>0x8012</v>
      </c>
      <c r="C21" s="99"/>
      <c r="D21" s="99">
        <f t="shared" si="1"/>
        <v>32786</v>
      </c>
      <c r="E21" s="99"/>
      <c r="F21" s="100" t="s">
        <v>1856</v>
      </c>
      <c r="G21" s="99" t="s">
        <v>474</v>
      </c>
      <c r="H21" s="99" t="s">
        <v>471</v>
      </c>
      <c r="I21" s="99">
        <v>1</v>
      </c>
      <c r="J21" s="127"/>
      <c r="K21" s="99"/>
      <c r="L21" s="99"/>
    </row>
    <row r="22" spans="1:12" s="101" customFormat="1" ht="25.5">
      <c r="A22" s="98"/>
      <c r="B22" s="99" t="str">
        <f t="shared" si="0"/>
        <v>0x8013</v>
      </c>
      <c r="C22" s="99"/>
      <c r="D22" s="99">
        <f t="shared" si="1"/>
        <v>32787</v>
      </c>
      <c r="E22" s="99"/>
      <c r="F22" s="100" t="s">
        <v>1857</v>
      </c>
      <c r="G22" s="99" t="s">
        <v>474</v>
      </c>
      <c r="H22" s="99" t="s">
        <v>471</v>
      </c>
      <c r="I22" s="99">
        <v>1</v>
      </c>
      <c r="J22" s="127"/>
      <c r="K22" s="99"/>
      <c r="L22" s="99"/>
    </row>
    <row r="23" spans="1:12" s="101" customFormat="1" ht="25.5">
      <c r="A23" s="98"/>
      <c r="B23" s="99" t="str">
        <f t="shared" si="0"/>
        <v>0x8014</v>
      </c>
      <c r="C23" s="99"/>
      <c r="D23" s="99">
        <f t="shared" si="1"/>
        <v>32788</v>
      </c>
      <c r="E23" s="99"/>
      <c r="F23" s="100" t="s">
        <v>1858</v>
      </c>
      <c r="G23" s="99" t="s">
        <v>474</v>
      </c>
      <c r="H23" s="99" t="s">
        <v>471</v>
      </c>
      <c r="I23" s="99">
        <v>1</v>
      </c>
      <c r="J23" s="127" t="s">
        <v>1859</v>
      </c>
      <c r="K23" s="99"/>
      <c r="L23" s="99"/>
    </row>
    <row r="24" spans="1:12" s="101" customFormat="1" ht="25.5">
      <c r="A24" s="98"/>
      <c r="B24" s="99" t="str">
        <f t="shared" si="0"/>
        <v>0x8015</v>
      </c>
      <c r="C24" s="99"/>
      <c r="D24" s="99">
        <f t="shared" si="1"/>
        <v>32789</v>
      </c>
      <c r="E24" s="99"/>
      <c r="F24" s="100" t="s">
        <v>1860</v>
      </c>
      <c r="G24" s="99" t="s">
        <v>474</v>
      </c>
      <c r="H24" s="99" t="s">
        <v>471</v>
      </c>
      <c r="I24" s="99">
        <v>1</v>
      </c>
      <c r="J24" s="127"/>
      <c r="K24" s="99"/>
      <c r="L24" s="99"/>
    </row>
    <row r="25" spans="1:12" s="101" customFormat="1" ht="25.5">
      <c r="A25" s="98"/>
      <c r="B25" s="99" t="str">
        <f t="shared" si="0"/>
        <v>0x8016</v>
      </c>
      <c r="C25" s="99"/>
      <c r="D25" s="99">
        <f t="shared" si="1"/>
        <v>32790</v>
      </c>
      <c r="E25" s="99"/>
      <c r="F25" s="100" t="s">
        <v>1861</v>
      </c>
      <c r="G25" s="99" t="s">
        <v>474</v>
      </c>
      <c r="H25" s="99" t="s">
        <v>471</v>
      </c>
      <c r="I25" s="99">
        <v>1</v>
      </c>
      <c r="J25" s="127"/>
      <c r="K25" s="99"/>
      <c r="L25" s="99"/>
    </row>
    <row r="26" spans="1:12" s="101" customFormat="1" ht="25.5">
      <c r="A26" s="98"/>
      <c r="B26" s="99" t="str">
        <f t="shared" si="0"/>
        <v>0x8017</v>
      </c>
      <c r="C26" s="99"/>
      <c r="D26" s="99">
        <f t="shared" si="1"/>
        <v>32791</v>
      </c>
      <c r="E26" s="99"/>
      <c r="F26" s="100" t="s">
        <v>1862</v>
      </c>
      <c r="G26" s="99" t="s">
        <v>474</v>
      </c>
      <c r="H26" s="99" t="s">
        <v>471</v>
      </c>
      <c r="I26" s="99">
        <v>1</v>
      </c>
      <c r="J26" s="127"/>
      <c r="K26" s="99"/>
      <c r="L26" s="99"/>
    </row>
    <row r="27" spans="1:12" s="101" customFormat="1" ht="25.5">
      <c r="A27" s="98"/>
      <c r="B27" s="99" t="str">
        <f t="shared" si="0"/>
        <v>0x8018</v>
      </c>
      <c r="C27" s="99"/>
      <c r="D27" s="99">
        <f t="shared" si="1"/>
        <v>32792</v>
      </c>
      <c r="E27" s="99"/>
      <c r="F27" s="100" t="s">
        <v>1863</v>
      </c>
      <c r="G27" s="99" t="s">
        <v>474</v>
      </c>
      <c r="H27" s="99" t="s">
        <v>471</v>
      </c>
      <c r="I27" s="99">
        <v>1</v>
      </c>
      <c r="J27" s="127"/>
      <c r="K27" s="99"/>
      <c r="L27" s="99"/>
    </row>
    <row r="28" spans="1:12"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</row>
    <row r="29" spans="1:12">
      <c r="A29" s="8" t="s">
        <v>1864</v>
      </c>
      <c r="B29" s="125"/>
      <c r="C29" s="125"/>
      <c r="D29" s="16"/>
      <c r="E29" s="16"/>
      <c r="F29" s="16"/>
      <c r="G29" s="16"/>
      <c r="H29" s="16"/>
      <c r="I29" s="16"/>
      <c r="J29" s="16"/>
      <c r="K29" s="16"/>
      <c r="L29" s="16"/>
    </row>
    <row r="30" spans="1:12">
      <c r="B30" s="16" t="str">
        <f t="shared" ref="B30:B49" si="2">"0x"&amp;DEC2HEX(D30,4)</f>
        <v>0x8CFD</v>
      </c>
      <c r="C30" s="16"/>
      <c r="D30" s="16">
        <v>36093</v>
      </c>
      <c r="E30" s="16"/>
      <c r="F30" s="16" t="s">
        <v>1865</v>
      </c>
      <c r="G30" s="16" t="s">
        <v>474</v>
      </c>
      <c r="H30" s="16" t="s">
        <v>1163</v>
      </c>
      <c r="I30" s="16">
        <v>1</v>
      </c>
      <c r="J30" s="16"/>
      <c r="K30" s="16"/>
      <c r="L30" s="16"/>
    </row>
    <row r="31" spans="1:12">
      <c r="B31" s="16" t="str">
        <f t="shared" si="2"/>
        <v>0x8CFE</v>
      </c>
      <c r="C31" s="16"/>
      <c r="D31" s="16">
        <f t="shared" ref="D31:D49" si="3">D30+I30</f>
        <v>36094</v>
      </c>
      <c r="E31" s="16"/>
      <c r="F31" s="16" t="s">
        <v>1866</v>
      </c>
      <c r="G31" s="16" t="s">
        <v>474</v>
      </c>
      <c r="H31" s="16" t="s">
        <v>471</v>
      </c>
      <c r="I31" s="16">
        <v>1</v>
      </c>
      <c r="J31" s="16"/>
      <c r="K31" s="16"/>
      <c r="L31" s="16"/>
    </row>
    <row r="32" spans="1:12">
      <c r="B32" s="16" t="str">
        <f t="shared" si="2"/>
        <v>0x8CFF</v>
      </c>
      <c r="C32" s="16"/>
      <c r="D32" s="16">
        <f t="shared" si="3"/>
        <v>36095</v>
      </c>
      <c r="E32" s="16"/>
      <c r="F32" s="16" t="s">
        <v>1867</v>
      </c>
      <c r="G32" s="16" t="s">
        <v>474</v>
      </c>
      <c r="H32" s="16" t="s">
        <v>471</v>
      </c>
      <c r="I32" s="16">
        <v>1</v>
      </c>
      <c r="J32" s="16"/>
      <c r="K32" s="16"/>
      <c r="L32" s="16"/>
    </row>
    <row r="33" spans="2:12">
      <c r="B33" s="16" t="str">
        <f t="shared" si="2"/>
        <v>0x8D00</v>
      </c>
      <c r="C33" s="16"/>
      <c r="D33" s="16">
        <f t="shared" si="3"/>
        <v>36096</v>
      </c>
      <c r="E33" s="16"/>
      <c r="F33" s="16" t="s">
        <v>1868</v>
      </c>
      <c r="G33" s="16" t="s">
        <v>474</v>
      </c>
      <c r="H33" s="16" t="s">
        <v>427</v>
      </c>
      <c r="I33" s="16">
        <v>1</v>
      </c>
      <c r="J33" s="16"/>
      <c r="K33" s="16"/>
      <c r="L33" s="16"/>
    </row>
    <row r="34" spans="2:12">
      <c r="B34" s="16" t="str">
        <f t="shared" si="2"/>
        <v>0x8D01</v>
      </c>
      <c r="C34" s="16"/>
      <c r="D34" s="16">
        <f t="shared" si="3"/>
        <v>36097</v>
      </c>
      <c r="E34" s="16"/>
      <c r="F34" s="16" t="s">
        <v>1869</v>
      </c>
      <c r="G34" s="16" t="s">
        <v>474</v>
      </c>
      <c r="H34" s="16" t="s">
        <v>427</v>
      </c>
      <c r="I34" s="16">
        <v>1</v>
      </c>
      <c r="J34" s="16"/>
      <c r="K34" s="16"/>
      <c r="L34" s="16"/>
    </row>
    <row r="35" spans="2:12">
      <c r="B35" s="16" t="str">
        <f t="shared" si="2"/>
        <v>0x8D02</v>
      </c>
      <c r="C35" s="16"/>
      <c r="D35" s="16">
        <f t="shared" si="3"/>
        <v>36098</v>
      </c>
      <c r="E35" s="16"/>
      <c r="F35" s="16" t="s">
        <v>1870</v>
      </c>
      <c r="G35" s="16" t="s">
        <v>474</v>
      </c>
      <c r="H35" s="16" t="s">
        <v>427</v>
      </c>
      <c r="I35" s="16">
        <v>1</v>
      </c>
      <c r="J35" s="16"/>
      <c r="K35" s="16"/>
      <c r="L35" s="16"/>
    </row>
    <row r="36" spans="2:12">
      <c r="B36" s="16" t="str">
        <f t="shared" si="2"/>
        <v>0x8D03</v>
      </c>
      <c r="C36" s="16"/>
      <c r="D36" s="16">
        <f t="shared" si="3"/>
        <v>36099</v>
      </c>
      <c r="E36" s="16"/>
      <c r="F36" s="16" t="s">
        <v>1871</v>
      </c>
      <c r="G36" s="16" t="s">
        <v>474</v>
      </c>
      <c r="H36" s="16" t="s">
        <v>427</v>
      </c>
      <c r="I36" s="16">
        <v>1</v>
      </c>
      <c r="J36" s="16"/>
      <c r="K36" s="16"/>
      <c r="L36" s="16"/>
    </row>
    <row r="37" spans="2:12">
      <c r="B37" s="16" t="str">
        <f t="shared" si="2"/>
        <v>0x8D04</v>
      </c>
      <c r="C37" s="16"/>
      <c r="D37" s="16">
        <f t="shared" si="3"/>
        <v>36100</v>
      </c>
      <c r="E37" s="16"/>
      <c r="F37" s="16" t="s">
        <v>1872</v>
      </c>
      <c r="G37" s="16" t="s">
        <v>474</v>
      </c>
      <c r="H37" s="16" t="s">
        <v>427</v>
      </c>
      <c r="I37" s="16">
        <v>1</v>
      </c>
      <c r="J37" s="16"/>
      <c r="K37" s="16"/>
      <c r="L37" s="16"/>
    </row>
    <row r="38" spans="2:12">
      <c r="B38" s="16" t="str">
        <f t="shared" si="2"/>
        <v>0x8D05</v>
      </c>
      <c r="C38" s="16"/>
      <c r="D38" s="16">
        <f t="shared" si="3"/>
        <v>36101</v>
      </c>
      <c r="E38" s="16"/>
      <c r="F38" s="16" t="s">
        <v>1873</v>
      </c>
      <c r="G38" s="16" t="s">
        <v>474</v>
      </c>
      <c r="H38" s="16" t="s">
        <v>427</v>
      </c>
      <c r="I38" s="16">
        <v>1</v>
      </c>
      <c r="J38" s="16"/>
      <c r="K38" s="16"/>
      <c r="L38" s="16"/>
    </row>
    <row r="39" spans="2:12">
      <c r="B39" s="16" t="str">
        <f t="shared" si="2"/>
        <v>0x8D06</v>
      </c>
      <c r="C39" s="16"/>
      <c r="D39" s="16">
        <f t="shared" si="3"/>
        <v>36102</v>
      </c>
      <c r="E39" s="16"/>
      <c r="F39" s="16" t="s">
        <v>1874</v>
      </c>
      <c r="G39" s="16" t="s">
        <v>474</v>
      </c>
      <c r="H39" s="16" t="s">
        <v>427</v>
      </c>
      <c r="I39" s="16">
        <v>1</v>
      </c>
      <c r="J39" s="16"/>
      <c r="K39" s="16"/>
      <c r="L39" s="16"/>
    </row>
    <row r="40" spans="2:12">
      <c r="B40" s="16" t="str">
        <f t="shared" si="2"/>
        <v>0x8D07</v>
      </c>
      <c r="C40" s="16"/>
      <c r="D40" s="16">
        <f t="shared" si="3"/>
        <v>36103</v>
      </c>
      <c r="E40" s="16"/>
      <c r="F40" s="16" t="s">
        <v>1875</v>
      </c>
      <c r="G40" s="16" t="s">
        <v>474</v>
      </c>
      <c r="H40" s="16" t="s">
        <v>427</v>
      </c>
      <c r="I40" s="16">
        <v>1</v>
      </c>
      <c r="J40" s="16"/>
      <c r="K40" s="16"/>
      <c r="L40" s="16"/>
    </row>
    <row r="41" spans="2:12">
      <c r="B41" s="16" t="str">
        <f t="shared" si="2"/>
        <v>0x8D08</v>
      </c>
      <c r="C41" s="16" t="str">
        <f t="shared" ref="C41:C49" si="4">"0x"&amp;DEC2HEX(E41,4)</f>
        <v>0x8D0F</v>
      </c>
      <c r="D41" s="16">
        <f t="shared" si="3"/>
        <v>36104</v>
      </c>
      <c r="E41" s="16">
        <f t="shared" ref="E41:E49" si="5">D41+I41-1</f>
        <v>36111</v>
      </c>
      <c r="F41" s="16" t="s">
        <v>1876</v>
      </c>
      <c r="G41" s="16" t="s">
        <v>474</v>
      </c>
      <c r="H41" s="16" t="s">
        <v>427</v>
      </c>
      <c r="I41" s="16">
        <v>8</v>
      </c>
      <c r="J41" s="16"/>
      <c r="K41" s="16"/>
      <c r="L41" s="16"/>
    </row>
    <row r="42" spans="2:12">
      <c r="B42" s="16" t="str">
        <f t="shared" si="2"/>
        <v>0x8D10</v>
      </c>
      <c r="C42" s="16" t="str">
        <f t="shared" si="4"/>
        <v>0x8D17</v>
      </c>
      <c r="D42" s="16">
        <f t="shared" si="3"/>
        <v>36112</v>
      </c>
      <c r="E42" s="16">
        <f t="shared" si="5"/>
        <v>36119</v>
      </c>
      <c r="F42" s="16" t="s">
        <v>1877</v>
      </c>
      <c r="G42" s="16" t="s">
        <v>474</v>
      </c>
      <c r="H42" s="16" t="s">
        <v>427</v>
      </c>
      <c r="I42" s="16">
        <v>8</v>
      </c>
      <c r="J42" s="16"/>
      <c r="K42" s="16"/>
      <c r="L42" s="16"/>
    </row>
    <row r="43" spans="2:12">
      <c r="B43" s="16" t="str">
        <f t="shared" si="2"/>
        <v>0x8D18</v>
      </c>
      <c r="C43" s="16" t="str">
        <f t="shared" si="4"/>
        <v>0x8D1F</v>
      </c>
      <c r="D43" s="16">
        <f t="shared" si="3"/>
        <v>36120</v>
      </c>
      <c r="E43" s="16">
        <f t="shared" si="5"/>
        <v>36127</v>
      </c>
      <c r="F43" s="16" t="s">
        <v>1878</v>
      </c>
      <c r="G43" s="16" t="s">
        <v>474</v>
      </c>
      <c r="H43" s="16" t="s">
        <v>427</v>
      </c>
      <c r="I43" s="16">
        <v>8</v>
      </c>
      <c r="J43" s="16"/>
      <c r="K43" s="16"/>
      <c r="L43" s="16"/>
    </row>
    <row r="44" spans="2:12">
      <c r="B44" s="16" t="str">
        <f t="shared" si="2"/>
        <v>0x8D20</v>
      </c>
      <c r="C44" s="16" t="str">
        <f t="shared" si="4"/>
        <v>0x8D27</v>
      </c>
      <c r="D44" s="16">
        <f t="shared" si="3"/>
        <v>36128</v>
      </c>
      <c r="E44" s="16">
        <f t="shared" si="5"/>
        <v>36135</v>
      </c>
      <c r="F44" s="16" t="s">
        <v>1879</v>
      </c>
      <c r="G44" s="16" t="s">
        <v>474</v>
      </c>
      <c r="H44" s="16" t="s">
        <v>427</v>
      </c>
      <c r="I44" s="16">
        <v>8</v>
      </c>
      <c r="J44" s="16"/>
      <c r="K44" s="16"/>
      <c r="L44" s="16"/>
    </row>
    <row r="45" spans="2:12">
      <c r="B45" s="16" t="str">
        <f t="shared" si="2"/>
        <v>0x8D28</v>
      </c>
      <c r="C45" s="16" t="str">
        <f t="shared" si="4"/>
        <v>0x8D2F</v>
      </c>
      <c r="D45" s="16">
        <f t="shared" si="3"/>
        <v>36136</v>
      </c>
      <c r="E45" s="16">
        <f t="shared" si="5"/>
        <v>36143</v>
      </c>
      <c r="F45" s="16" t="s">
        <v>1880</v>
      </c>
      <c r="G45" s="16" t="s">
        <v>474</v>
      </c>
      <c r="H45" s="16" t="s">
        <v>427</v>
      </c>
      <c r="I45" s="16">
        <v>8</v>
      </c>
      <c r="J45" s="16"/>
      <c r="K45" s="16"/>
      <c r="L45" s="16"/>
    </row>
    <row r="46" spans="2:12">
      <c r="B46" s="16" t="str">
        <f t="shared" si="2"/>
        <v>0x8D30</v>
      </c>
      <c r="C46" s="16" t="str">
        <f t="shared" si="4"/>
        <v>0x8D37</v>
      </c>
      <c r="D46" s="16">
        <f t="shared" si="3"/>
        <v>36144</v>
      </c>
      <c r="E46" s="16">
        <f t="shared" si="5"/>
        <v>36151</v>
      </c>
      <c r="F46" s="16" t="s">
        <v>1881</v>
      </c>
      <c r="G46" s="16" t="s">
        <v>474</v>
      </c>
      <c r="H46" s="16" t="s">
        <v>427</v>
      </c>
      <c r="I46" s="16">
        <v>8</v>
      </c>
      <c r="J46" s="16"/>
      <c r="K46" s="16"/>
      <c r="L46" s="16"/>
    </row>
    <row r="47" spans="2:12">
      <c r="B47" s="16" t="str">
        <f t="shared" si="2"/>
        <v>0x8D38</v>
      </c>
      <c r="C47" s="16" t="str">
        <f t="shared" si="4"/>
        <v>0x8D3F</v>
      </c>
      <c r="D47" s="16">
        <f t="shared" si="3"/>
        <v>36152</v>
      </c>
      <c r="E47" s="16">
        <f t="shared" si="5"/>
        <v>36159</v>
      </c>
      <c r="F47" s="16" t="s">
        <v>1882</v>
      </c>
      <c r="G47" s="16" t="s">
        <v>474</v>
      </c>
      <c r="H47" s="16" t="s">
        <v>427</v>
      </c>
      <c r="I47" s="16">
        <v>8</v>
      </c>
      <c r="J47" s="16"/>
      <c r="K47" s="16"/>
      <c r="L47" s="16"/>
    </row>
    <row r="48" spans="2:12">
      <c r="B48" s="16" t="str">
        <f t="shared" si="2"/>
        <v>0x8D40</v>
      </c>
      <c r="C48" s="16" t="str">
        <f t="shared" si="4"/>
        <v>0x8D47</v>
      </c>
      <c r="D48" s="16">
        <f t="shared" si="3"/>
        <v>36160</v>
      </c>
      <c r="E48" s="16">
        <f t="shared" si="5"/>
        <v>36167</v>
      </c>
      <c r="F48" s="16" t="s">
        <v>1883</v>
      </c>
      <c r="G48" s="16" t="s">
        <v>474</v>
      </c>
      <c r="H48" s="16" t="s">
        <v>427</v>
      </c>
      <c r="I48" s="16">
        <v>8</v>
      </c>
      <c r="J48" s="16"/>
      <c r="K48" s="16"/>
      <c r="L48" s="16"/>
    </row>
    <row r="49" spans="1:12">
      <c r="B49" s="16" t="str">
        <f t="shared" si="2"/>
        <v>0x8D48</v>
      </c>
      <c r="C49" s="16" t="str">
        <f t="shared" si="4"/>
        <v>0x8D4F</v>
      </c>
      <c r="D49" s="16">
        <f t="shared" si="3"/>
        <v>36168</v>
      </c>
      <c r="E49" s="16">
        <f t="shared" si="5"/>
        <v>36175</v>
      </c>
      <c r="F49" s="16" t="s">
        <v>1884</v>
      </c>
      <c r="G49" s="16" t="s">
        <v>474</v>
      </c>
      <c r="H49" s="16" t="s">
        <v>427</v>
      </c>
      <c r="I49" s="16">
        <v>8</v>
      </c>
      <c r="J49" s="16"/>
      <c r="K49" s="16"/>
      <c r="L49" s="16"/>
    </row>
    <row r="50" spans="1:12"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</row>
    <row r="51" spans="1:12"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</row>
    <row r="52" spans="1:12">
      <c r="A52" s="26" t="s">
        <v>1885</v>
      </c>
      <c r="C52" s="26"/>
      <c r="D52" s="16"/>
      <c r="E52" s="16"/>
      <c r="F52" s="16"/>
      <c r="G52" s="16"/>
      <c r="H52" s="16"/>
      <c r="I52" s="16"/>
      <c r="J52" s="16"/>
      <c r="K52" s="16"/>
      <c r="L52" s="16"/>
    </row>
    <row r="53" spans="1:12">
      <c r="B53" s="16" t="str">
        <f>"0x"&amp;DEC2HEX(D53,4)</f>
        <v>0x8E00</v>
      </c>
      <c r="C53" s="16"/>
      <c r="D53" s="16">
        <v>36352</v>
      </c>
      <c r="E53" s="16"/>
      <c r="F53" s="16" t="s">
        <v>1886</v>
      </c>
      <c r="G53" s="16" t="s">
        <v>474</v>
      </c>
      <c r="H53" s="16" t="s">
        <v>471</v>
      </c>
      <c r="I53" s="16">
        <v>1</v>
      </c>
      <c r="J53" s="16"/>
      <c r="K53" s="16"/>
      <c r="L53" s="16"/>
    </row>
    <row r="54" spans="1:12">
      <c r="B54" s="16" t="str">
        <f>"0x"&amp;DEC2HEX(D54,4)</f>
        <v>0x8E01</v>
      </c>
      <c r="C54" s="16"/>
      <c r="D54" s="16">
        <f>D53+I53</f>
        <v>36353</v>
      </c>
      <c r="E54" s="16"/>
      <c r="F54" s="16" t="s">
        <v>1887</v>
      </c>
      <c r="G54" s="16" t="s">
        <v>474</v>
      </c>
      <c r="H54" s="16" t="s">
        <v>471</v>
      </c>
      <c r="I54" s="16">
        <v>1</v>
      </c>
      <c r="J54" s="16"/>
      <c r="K54" s="16"/>
      <c r="L54" s="16"/>
    </row>
    <row r="55" spans="1:12">
      <c r="B55" s="16" t="str">
        <f>"0x"&amp;DEC2HEX(D55,4)</f>
        <v>0x8E02</v>
      </c>
      <c r="C55" s="16"/>
      <c r="D55" s="16">
        <f>D54+I54</f>
        <v>36354</v>
      </c>
      <c r="E55" s="16"/>
      <c r="F55" s="16" t="s">
        <v>1888</v>
      </c>
      <c r="G55" s="16" t="s">
        <v>474</v>
      </c>
      <c r="H55" s="16" t="s">
        <v>427</v>
      </c>
      <c r="I55" s="16">
        <v>1</v>
      </c>
      <c r="J55" s="16"/>
      <c r="K55" s="16"/>
      <c r="L55" s="16"/>
    </row>
    <row r="56" spans="1:12">
      <c r="B56" s="16" t="str">
        <f>"0x"&amp;DEC2HEX(D56,4)</f>
        <v>0x8E03</v>
      </c>
      <c r="C56" s="16"/>
      <c r="D56" s="16">
        <f>D55+I55</f>
        <v>36355</v>
      </c>
      <c r="E56" s="16"/>
      <c r="F56" s="16" t="s">
        <v>1889</v>
      </c>
      <c r="G56" s="16" t="s">
        <v>474</v>
      </c>
      <c r="H56" s="16" t="s">
        <v>427</v>
      </c>
      <c r="I56" s="16">
        <v>1</v>
      </c>
      <c r="J56" s="16"/>
      <c r="K56" s="16"/>
      <c r="L56" s="16"/>
    </row>
    <row r="57" spans="1:12">
      <c r="B57" s="16" t="str">
        <f>"0x"&amp;DEC2HEX(D57,4)</f>
        <v>0x8E04</v>
      </c>
      <c r="C57" s="16" t="str">
        <f>"0x"&amp;DEC2HEX(E57,4)</f>
        <v>0x8E43</v>
      </c>
      <c r="D57" s="16">
        <f>D56+I56</f>
        <v>36356</v>
      </c>
      <c r="E57" s="16">
        <f>D57+I57-1</f>
        <v>36419</v>
      </c>
      <c r="F57" s="16" t="s">
        <v>1890</v>
      </c>
      <c r="G57" s="16" t="s">
        <v>802</v>
      </c>
      <c r="H57" s="16" t="s">
        <v>427</v>
      </c>
      <c r="I57" s="16">
        <v>64</v>
      </c>
      <c r="J57" s="16"/>
      <c r="K57" s="16"/>
      <c r="L57" s="16"/>
    </row>
    <row r="58" spans="1:12"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</row>
    <row r="59" spans="1:12"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</row>
    <row r="60" spans="1:12">
      <c r="A60" s="8" t="s">
        <v>1891</v>
      </c>
      <c r="B60" s="26"/>
      <c r="C60" s="26"/>
      <c r="D60" s="16"/>
      <c r="E60" s="16"/>
      <c r="F60" s="16"/>
      <c r="G60" s="16"/>
      <c r="H60" s="16"/>
      <c r="I60" s="16"/>
      <c r="J60" s="16"/>
      <c r="K60" s="16"/>
      <c r="L60" s="16"/>
    </row>
    <row r="61" spans="1:12">
      <c r="A61" s="8" t="s">
        <v>1892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</row>
    <row r="62" spans="1:12">
      <c r="B62" s="16" t="str">
        <f t="shared" ref="B62:C66" si="6">"0x"&amp;DEC2HEX(D62,4)</f>
        <v>0x8F00</v>
      </c>
      <c r="C62" s="16" t="str">
        <f t="shared" si="6"/>
        <v>0x8F00</v>
      </c>
      <c r="D62" s="16">
        <v>36608</v>
      </c>
      <c r="E62" s="16">
        <f>D62+I62-1</f>
        <v>36608</v>
      </c>
      <c r="F62" s="16" t="s">
        <v>1886</v>
      </c>
      <c r="G62" s="16" t="s">
        <v>517</v>
      </c>
      <c r="H62" s="16" t="s">
        <v>527</v>
      </c>
      <c r="I62" s="16">
        <v>1</v>
      </c>
      <c r="J62" s="16" t="s">
        <v>1893</v>
      </c>
      <c r="K62" s="16"/>
      <c r="L62" s="16"/>
    </row>
    <row r="63" spans="1:12" ht="25.5">
      <c r="B63" s="16" t="str">
        <f t="shared" si="6"/>
        <v>0x8F01</v>
      </c>
      <c r="C63" s="16" t="str">
        <f t="shared" si="6"/>
        <v>0x8F01</v>
      </c>
      <c r="D63" s="16">
        <f>D62+I62</f>
        <v>36609</v>
      </c>
      <c r="E63" s="16">
        <f>D63+I63-1</f>
        <v>36609</v>
      </c>
      <c r="F63" s="16" t="s">
        <v>1887</v>
      </c>
      <c r="G63" s="16" t="s">
        <v>517</v>
      </c>
      <c r="H63" s="16" t="s">
        <v>527</v>
      </c>
      <c r="I63" s="16">
        <v>1</v>
      </c>
      <c r="J63" s="1" t="s">
        <v>1894</v>
      </c>
      <c r="K63" s="16"/>
      <c r="L63" s="16"/>
    </row>
    <row r="64" spans="1:12" ht="63.75">
      <c r="B64" s="16" t="str">
        <f t="shared" si="6"/>
        <v>0x8F02</v>
      </c>
      <c r="C64" s="16" t="str">
        <f t="shared" si="6"/>
        <v>0x8F02</v>
      </c>
      <c r="D64" s="16">
        <f>D63+I63</f>
        <v>36610</v>
      </c>
      <c r="E64" s="16">
        <f>D64+I64-1</f>
        <v>36610</v>
      </c>
      <c r="F64" s="16" t="s">
        <v>1888</v>
      </c>
      <c r="G64" s="16" t="s">
        <v>517</v>
      </c>
      <c r="H64" s="16" t="s">
        <v>427</v>
      </c>
      <c r="I64" s="16">
        <v>1</v>
      </c>
      <c r="J64" s="1" t="s">
        <v>1895</v>
      </c>
      <c r="K64" s="16"/>
      <c r="L64" s="16"/>
    </row>
    <row r="65" spans="1:13">
      <c r="B65" s="16" t="str">
        <f t="shared" si="6"/>
        <v>0x8F03</v>
      </c>
      <c r="C65" s="16" t="str">
        <f t="shared" si="6"/>
        <v>0x8F03</v>
      </c>
      <c r="D65" s="16">
        <f>D64+I64</f>
        <v>36611</v>
      </c>
      <c r="E65" s="16">
        <f>D65+I65-1</f>
        <v>36611</v>
      </c>
      <c r="F65" s="16" t="s">
        <v>1889</v>
      </c>
      <c r="G65" s="16" t="s">
        <v>517</v>
      </c>
      <c r="H65" s="16" t="s">
        <v>427</v>
      </c>
      <c r="I65" s="16">
        <v>1</v>
      </c>
      <c r="J65" s="16" t="s">
        <v>1896</v>
      </c>
      <c r="K65" s="16"/>
      <c r="L65" s="16"/>
    </row>
    <row r="66" spans="1:13">
      <c r="B66" s="16" t="str">
        <f t="shared" si="6"/>
        <v>0x8F04</v>
      </c>
      <c r="C66" s="16" t="str">
        <f t="shared" si="6"/>
        <v>0x8F43</v>
      </c>
      <c r="D66" s="16">
        <f>D65+I65</f>
        <v>36612</v>
      </c>
      <c r="E66" s="16">
        <f>D66+I66-1</f>
        <v>36675</v>
      </c>
      <c r="F66" s="16" t="s">
        <v>1890</v>
      </c>
      <c r="G66" s="16" t="s">
        <v>474</v>
      </c>
      <c r="H66" s="16" t="s">
        <v>427</v>
      </c>
      <c r="I66" s="16">
        <v>64</v>
      </c>
      <c r="J66" s="32" t="s">
        <v>1897</v>
      </c>
      <c r="K66" s="16"/>
      <c r="L66" s="16"/>
    </row>
    <row r="67" spans="1:13"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</row>
    <row r="68" spans="1:13" hidden="1">
      <c r="B68" s="26"/>
      <c r="C68" s="16"/>
      <c r="D68" s="16"/>
      <c r="E68" s="16"/>
      <c r="F68" s="16"/>
      <c r="G68" s="16"/>
      <c r="H68" s="16"/>
      <c r="I68" s="16"/>
      <c r="J68" s="16"/>
      <c r="K68" s="16"/>
      <c r="L68" s="16"/>
    </row>
    <row r="69" spans="1:13" ht="266.25" customHeight="1">
      <c r="B69" s="116" t="s">
        <v>1898</v>
      </c>
      <c r="C69" s="126"/>
      <c r="D69" s="126"/>
      <c r="E69" s="126"/>
      <c r="F69" s="116" t="s">
        <v>1899</v>
      </c>
      <c r="G69" s="126"/>
      <c r="H69" s="126"/>
      <c r="I69" s="126"/>
      <c r="J69" s="48"/>
      <c r="K69" s="48"/>
      <c r="L69" s="48"/>
      <c r="M69" s="48"/>
    </row>
    <row r="70" spans="1:13"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</row>
    <row r="71" spans="1:13">
      <c r="A71" s="8" t="s">
        <v>1900</v>
      </c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</row>
    <row r="72" spans="1:13">
      <c r="B72" s="16" t="str">
        <f t="shared" ref="B72:B77" si="7">"0x"&amp;DEC2HEX(D72,4)</f>
        <v>0x8F04</v>
      </c>
      <c r="C72" s="16" t="str">
        <f t="shared" ref="C72:C77" si="8">"0x"&amp;DEC2HEX(E72,4)</f>
        <v>0x8F05</v>
      </c>
      <c r="D72" s="16">
        <v>36612</v>
      </c>
      <c r="E72" s="16">
        <f t="shared" ref="E72:E77" si="9">D72+I72-1</f>
        <v>36613</v>
      </c>
      <c r="F72" s="16" t="s">
        <v>1901</v>
      </c>
      <c r="G72" s="16" t="s">
        <v>541</v>
      </c>
      <c r="H72" s="16" t="s">
        <v>430</v>
      </c>
      <c r="I72" s="16">
        <v>2</v>
      </c>
      <c r="J72" s="16"/>
      <c r="K72" s="16"/>
      <c r="L72" s="16"/>
    </row>
    <row r="73" spans="1:13">
      <c r="B73" s="16" t="str">
        <f t="shared" si="7"/>
        <v>0x8F06</v>
      </c>
      <c r="C73" s="16" t="str">
        <f t="shared" si="8"/>
        <v>0x8F07</v>
      </c>
      <c r="D73" s="16">
        <f>D72+I72</f>
        <v>36614</v>
      </c>
      <c r="E73" s="16">
        <f t="shared" si="9"/>
        <v>36615</v>
      </c>
      <c r="F73" s="16" t="s">
        <v>1902</v>
      </c>
      <c r="G73" s="16" t="s">
        <v>541</v>
      </c>
      <c r="H73" s="16" t="s">
        <v>427</v>
      </c>
      <c r="I73" s="16">
        <v>2</v>
      </c>
      <c r="J73" s="16"/>
      <c r="K73" s="16"/>
      <c r="L73" s="16"/>
    </row>
    <row r="74" spans="1:13">
      <c r="B74" s="16" t="str">
        <f t="shared" si="7"/>
        <v>0x8F08</v>
      </c>
      <c r="C74" s="16" t="str">
        <f t="shared" si="8"/>
        <v>0x8F09</v>
      </c>
      <c r="D74" s="16">
        <f>D73+I73</f>
        <v>36616</v>
      </c>
      <c r="E74" s="16">
        <f t="shared" si="9"/>
        <v>36617</v>
      </c>
      <c r="F74" s="16" t="s">
        <v>1903</v>
      </c>
      <c r="G74" s="16" t="s">
        <v>541</v>
      </c>
      <c r="H74" s="16" t="s">
        <v>427</v>
      </c>
      <c r="I74" s="16">
        <v>2</v>
      </c>
      <c r="J74" s="16"/>
      <c r="K74" s="16"/>
      <c r="L74" s="16"/>
    </row>
    <row r="75" spans="1:13">
      <c r="B75" s="16" t="str">
        <f t="shared" si="7"/>
        <v>0x8F0A</v>
      </c>
      <c r="C75" s="16" t="str">
        <f t="shared" si="8"/>
        <v>0x8F10</v>
      </c>
      <c r="D75" s="16">
        <f>D74+I74</f>
        <v>36618</v>
      </c>
      <c r="E75" s="16">
        <f t="shared" si="9"/>
        <v>36624</v>
      </c>
      <c r="F75" s="16" t="s">
        <v>1904</v>
      </c>
      <c r="G75" s="16" t="s">
        <v>517</v>
      </c>
      <c r="H75" s="16" t="s">
        <v>427</v>
      </c>
      <c r="I75" s="16">
        <v>7</v>
      </c>
      <c r="J75" s="16" t="s">
        <v>1905</v>
      </c>
      <c r="K75" s="16"/>
      <c r="L75" s="16"/>
    </row>
    <row r="76" spans="1:13">
      <c r="B76" s="16" t="str">
        <f t="shared" si="7"/>
        <v>0x8F11</v>
      </c>
      <c r="C76" s="16" t="str">
        <f t="shared" si="8"/>
        <v>0x8F19</v>
      </c>
      <c r="D76" s="16">
        <f>D75+I75</f>
        <v>36625</v>
      </c>
      <c r="E76" s="16">
        <f t="shared" si="9"/>
        <v>36633</v>
      </c>
      <c r="F76" s="16" t="s">
        <v>1906</v>
      </c>
      <c r="G76" s="16" t="s">
        <v>474</v>
      </c>
      <c r="H76" s="16" t="s">
        <v>427</v>
      </c>
      <c r="I76" s="16">
        <v>9</v>
      </c>
      <c r="J76" s="16"/>
      <c r="K76" s="16"/>
      <c r="L76" s="16"/>
    </row>
    <row r="77" spans="1:13">
      <c r="B77" s="16" t="str">
        <f t="shared" si="7"/>
        <v>0x8F1A</v>
      </c>
      <c r="C77" s="16" t="str">
        <f t="shared" si="8"/>
        <v>0x8F43</v>
      </c>
      <c r="D77" s="16">
        <f>D76+I76</f>
        <v>36634</v>
      </c>
      <c r="E77" s="16">
        <f t="shared" si="9"/>
        <v>36675</v>
      </c>
      <c r="F77" s="16" t="s">
        <v>1907</v>
      </c>
      <c r="G77" s="16" t="s">
        <v>474</v>
      </c>
      <c r="H77" s="16" t="s">
        <v>427</v>
      </c>
      <c r="I77" s="16">
        <v>42</v>
      </c>
      <c r="J77" s="16"/>
      <c r="K77" s="16"/>
      <c r="L77" s="16"/>
    </row>
    <row r="78" spans="1:13">
      <c r="I78">
        <f>SUM(I72:I77)</f>
        <v>64</v>
      </c>
    </row>
  </sheetData>
  <mergeCells count="7">
    <mergeCell ref="B71:L71"/>
    <mergeCell ref="B69:E69"/>
    <mergeCell ref="F69:I69"/>
    <mergeCell ref="J19:J22"/>
    <mergeCell ref="J23:J27"/>
    <mergeCell ref="B29:C29"/>
    <mergeCell ref="B61:L61"/>
  </mergeCells>
  <phoneticPr fontId="4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6C737-CDCE-4833-A117-36C92C39C9F6}">
  <dimension ref="A1:L315"/>
  <sheetViews>
    <sheetView topLeftCell="A226" workbookViewId="0">
      <selection activeCell="F248" sqref="F248"/>
    </sheetView>
  </sheetViews>
  <sheetFormatPr defaultRowHeight="15"/>
  <cols>
    <col min="1" max="1" width="36.5703125" customWidth="1"/>
    <col min="6" max="6" width="52" customWidth="1"/>
    <col min="10" max="10" width="29.7109375" customWidth="1"/>
  </cols>
  <sheetData>
    <row r="1" spans="1:12" s="14" customFormat="1" ht="12.75">
      <c r="A1" s="14" t="s">
        <v>27</v>
      </c>
      <c r="B1" s="14" t="s">
        <v>414</v>
      </c>
      <c r="C1" s="14" t="s">
        <v>415</v>
      </c>
      <c r="D1" s="14" t="s">
        <v>416</v>
      </c>
      <c r="E1" s="14" t="s">
        <v>417</v>
      </c>
      <c r="F1" s="14" t="s">
        <v>418</v>
      </c>
      <c r="G1" s="14" t="s">
        <v>419</v>
      </c>
      <c r="H1" s="14" t="s">
        <v>421</v>
      </c>
      <c r="I1" s="14" t="s">
        <v>420</v>
      </c>
      <c r="J1" s="14" t="s">
        <v>422</v>
      </c>
      <c r="K1" s="14" t="s">
        <v>480</v>
      </c>
      <c r="L1" s="14" t="s">
        <v>481</v>
      </c>
    </row>
    <row r="2" spans="1:12" s="72" customFormat="1" ht="12.75">
      <c r="A2" s="72" t="s">
        <v>3092</v>
      </c>
    </row>
    <row r="3" spans="1:12" s="3" customFormat="1" ht="12.75">
      <c r="B3" s="3" t="str">
        <f t="shared" ref="B3:C20" si="0">"0x"&amp;DEC2HEX(D3,4)</f>
        <v>0x95B0</v>
      </c>
      <c r="C3" s="3" t="str">
        <f>"0x"&amp;DEC2HEX(E3,4)</f>
        <v>0x95B3</v>
      </c>
      <c r="D3" s="3">
        <v>38320</v>
      </c>
      <c r="E3" s="3">
        <f>D3+I3-1</f>
        <v>38323</v>
      </c>
      <c r="F3" s="4" t="s">
        <v>3093</v>
      </c>
      <c r="G3" s="3" t="s">
        <v>3094</v>
      </c>
      <c r="H3" s="3" t="s">
        <v>427</v>
      </c>
      <c r="I3" s="3">
        <v>4</v>
      </c>
    </row>
    <row r="4" spans="1:12" s="3" customFormat="1" ht="12.75">
      <c r="B4" s="3" t="str">
        <f t="shared" si="0"/>
        <v>0x95B4</v>
      </c>
      <c r="C4" s="3" t="str">
        <f>"0x"&amp;DEC2HEX(E4,4)</f>
        <v>0x95B7</v>
      </c>
      <c r="D4" s="3">
        <f t="shared" ref="D4:D5" si="1">D3+I3</f>
        <v>38324</v>
      </c>
      <c r="E4" s="3">
        <f>D4+I4-1</f>
        <v>38327</v>
      </c>
      <c r="F4" s="4" t="s">
        <v>3095</v>
      </c>
      <c r="G4" s="3" t="s">
        <v>3094</v>
      </c>
      <c r="H4" s="3" t="s">
        <v>427</v>
      </c>
      <c r="I4" s="3">
        <v>4</v>
      </c>
    </row>
    <row r="5" spans="1:12" s="3" customFormat="1" ht="12.75">
      <c r="B5" s="3" t="str">
        <f t="shared" si="0"/>
        <v>0x95B8</v>
      </c>
      <c r="D5" s="3">
        <f t="shared" si="1"/>
        <v>38328</v>
      </c>
      <c r="F5" s="4" t="s">
        <v>3096</v>
      </c>
      <c r="G5" s="3" t="s">
        <v>802</v>
      </c>
      <c r="H5" s="3" t="s">
        <v>427</v>
      </c>
      <c r="I5" s="3">
        <v>1</v>
      </c>
    </row>
    <row r="6" spans="1:12" s="3" customFormat="1" ht="12.75">
      <c r="B6" s="3" t="str">
        <f t="shared" si="0"/>
        <v>0x95B9</v>
      </c>
      <c r="D6" s="3">
        <f>D5+I5</f>
        <v>38329</v>
      </c>
      <c r="F6" s="4" t="s">
        <v>3097</v>
      </c>
      <c r="G6" s="3" t="s">
        <v>802</v>
      </c>
      <c r="H6" s="3" t="s">
        <v>427</v>
      </c>
      <c r="I6" s="3">
        <v>1</v>
      </c>
    </row>
    <row r="7" spans="1:12" s="3" customFormat="1" ht="12.75">
      <c r="B7" s="3" t="str">
        <f t="shared" si="0"/>
        <v>0x95BA</v>
      </c>
      <c r="D7" s="3">
        <f>D6+I6</f>
        <v>38330</v>
      </c>
      <c r="F7" s="4" t="s">
        <v>3098</v>
      </c>
      <c r="G7" s="3" t="s">
        <v>802</v>
      </c>
      <c r="H7" s="3" t="s">
        <v>427</v>
      </c>
      <c r="I7" s="3">
        <v>1</v>
      </c>
    </row>
    <row r="8" spans="1:12" s="3" customFormat="1" ht="12.75">
      <c r="B8" s="3" t="str">
        <f t="shared" si="0"/>
        <v>0x95BB</v>
      </c>
      <c r="C8" s="3" t="str">
        <f>"0x"&amp;DEC2HEX(E8,4)</f>
        <v>0x95BC</v>
      </c>
      <c r="D8" s="3">
        <f t="shared" ref="D8:D21" si="2">D7+I7</f>
        <v>38331</v>
      </c>
      <c r="E8" s="3">
        <f t="shared" ref="E8:E21" si="3">D8+I8-1</f>
        <v>38332</v>
      </c>
      <c r="F8" s="4" t="s">
        <v>2680</v>
      </c>
      <c r="G8" s="3" t="s">
        <v>1157</v>
      </c>
      <c r="H8" s="3" t="s">
        <v>427</v>
      </c>
      <c r="I8" s="3">
        <v>2</v>
      </c>
    </row>
    <row r="9" spans="1:12" s="3" customFormat="1" ht="12.75">
      <c r="B9" s="3" t="str">
        <f t="shared" si="0"/>
        <v>0x95BD</v>
      </c>
      <c r="C9" s="3" t="str">
        <f>"0x"&amp;DEC2HEX(E9,4)</f>
        <v>0x95BE</v>
      </c>
      <c r="D9" s="3">
        <f t="shared" si="2"/>
        <v>38333</v>
      </c>
      <c r="E9" s="3">
        <f t="shared" si="3"/>
        <v>38334</v>
      </c>
      <c r="F9" s="4" t="s">
        <v>3099</v>
      </c>
      <c r="G9" s="3" t="s">
        <v>541</v>
      </c>
      <c r="H9" s="3" t="s">
        <v>427</v>
      </c>
      <c r="I9" s="3">
        <v>2</v>
      </c>
    </row>
    <row r="10" spans="1:12" s="3" customFormat="1" ht="12.75">
      <c r="B10" s="3" t="str">
        <f t="shared" si="0"/>
        <v>0x95BF</v>
      </c>
      <c r="C10" s="3" t="str">
        <f>"0x"&amp;DEC2HEX(E10,4)</f>
        <v>0x95C0</v>
      </c>
      <c r="D10" s="3">
        <f t="shared" si="2"/>
        <v>38335</v>
      </c>
      <c r="E10" s="3">
        <f t="shared" si="3"/>
        <v>38336</v>
      </c>
      <c r="F10" s="4" t="s">
        <v>3100</v>
      </c>
      <c r="G10" s="3" t="s">
        <v>541</v>
      </c>
      <c r="H10" s="3" t="s">
        <v>427</v>
      </c>
      <c r="I10" s="3">
        <v>2</v>
      </c>
    </row>
    <row r="11" spans="1:12" s="3" customFormat="1" ht="12.75">
      <c r="B11" s="3" t="str">
        <f t="shared" si="0"/>
        <v>0x95C1</v>
      </c>
      <c r="C11" s="3" t="str">
        <f>"0x"&amp;DEC2HEX(E11,4)</f>
        <v>0x95C2</v>
      </c>
      <c r="D11" s="3">
        <f t="shared" si="2"/>
        <v>38337</v>
      </c>
      <c r="E11" s="3">
        <f t="shared" si="3"/>
        <v>38338</v>
      </c>
      <c r="F11" s="4" t="s">
        <v>3101</v>
      </c>
      <c r="G11" s="3" t="s">
        <v>541</v>
      </c>
      <c r="H11" s="3" t="s">
        <v>427</v>
      </c>
      <c r="I11" s="3">
        <v>2</v>
      </c>
    </row>
    <row r="12" spans="1:12" s="3" customFormat="1" ht="12.75">
      <c r="B12" s="3" t="str">
        <f t="shared" si="0"/>
        <v>0x95C3</v>
      </c>
      <c r="C12" s="3" t="str">
        <f t="shared" si="0"/>
        <v>0x95C4</v>
      </c>
      <c r="D12" s="3">
        <f t="shared" si="2"/>
        <v>38339</v>
      </c>
      <c r="E12" s="3">
        <f t="shared" si="3"/>
        <v>38340</v>
      </c>
      <c r="F12" s="4" t="s">
        <v>3102</v>
      </c>
      <c r="G12" s="3" t="s">
        <v>541</v>
      </c>
      <c r="H12" s="3" t="s">
        <v>427</v>
      </c>
      <c r="I12" s="3">
        <v>2</v>
      </c>
    </row>
    <row r="13" spans="1:12" s="3" customFormat="1" ht="12.75">
      <c r="B13" s="3" t="str">
        <f t="shared" si="0"/>
        <v>0x95C5</v>
      </c>
      <c r="C13" s="3" t="str">
        <f t="shared" si="0"/>
        <v>0x95C6</v>
      </c>
      <c r="D13" s="3">
        <f t="shared" si="2"/>
        <v>38341</v>
      </c>
      <c r="E13" s="3">
        <f t="shared" si="3"/>
        <v>38342</v>
      </c>
      <c r="F13" s="4" t="s">
        <v>3103</v>
      </c>
      <c r="G13" s="3" t="s">
        <v>541</v>
      </c>
      <c r="H13" s="3" t="s">
        <v>427</v>
      </c>
      <c r="I13" s="3">
        <v>2</v>
      </c>
    </row>
    <row r="14" spans="1:12" s="3" customFormat="1" ht="12.75">
      <c r="B14" s="3" t="str">
        <f t="shared" si="0"/>
        <v>0x95C7</v>
      </c>
      <c r="C14" s="3" t="str">
        <f t="shared" si="0"/>
        <v>0x95C8</v>
      </c>
      <c r="D14" s="3">
        <f t="shared" si="2"/>
        <v>38343</v>
      </c>
      <c r="E14" s="3">
        <f t="shared" si="3"/>
        <v>38344</v>
      </c>
      <c r="F14" s="4" t="s">
        <v>3104</v>
      </c>
      <c r="G14" s="3" t="s">
        <v>541</v>
      </c>
      <c r="H14" s="3" t="s">
        <v>427</v>
      </c>
      <c r="I14" s="3">
        <v>2</v>
      </c>
    </row>
    <row r="15" spans="1:12" s="3" customFormat="1" ht="12.75">
      <c r="B15" s="3" t="str">
        <f t="shared" si="0"/>
        <v>0x95C9</v>
      </c>
      <c r="C15" s="3" t="str">
        <f t="shared" si="0"/>
        <v>0x95CA</v>
      </c>
      <c r="D15" s="3">
        <f t="shared" si="2"/>
        <v>38345</v>
      </c>
      <c r="E15" s="3">
        <f t="shared" si="3"/>
        <v>38346</v>
      </c>
      <c r="F15" s="4" t="s">
        <v>3105</v>
      </c>
      <c r="G15" s="3" t="s">
        <v>541</v>
      </c>
      <c r="H15" s="3" t="s">
        <v>427</v>
      </c>
      <c r="I15" s="3">
        <v>2</v>
      </c>
    </row>
    <row r="16" spans="1:12" s="3" customFormat="1" ht="12.75">
      <c r="B16" s="3" t="str">
        <f t="shared" si="0"/>
        <v>0x95CB</v>
      </c>
      <c r="C16" s="3" t="str">
        <f t="shared" si="0"/>
        <v>0x95CC</v>
      </c>
      <c r="D16" s="3">
        <f t="shared" si="2"/>
        <v>38347</v>
      </c>
      <c r="E16" s="3">
        <f t="shared" si="3"/>
        <v>38348</v>
      </c>
      <c r="F16" s="4" t="s">
        <v>3106</v>
      </c>
      <c r="G16" s="3" t="s">
        <v>541</v>
      </c>
      <c r="H16" s="3" t="s">
        <v>427</v>
      </c>
      <c r="I16" s="3">
        <v>2</v>
      </c>
    </row>
    <row r="17" spans="2:9" s="3" customFormat="1" ht="12.75">
      <c r="B17" s="3" t="str">
        <f t="shared" si="0"/>
        <v>0x95CD</v>
      </c>
      <c r="C17" s="3" t="str">
        <f t="shared" si="0"/>
        <v>0x95CE</v>
      </c>
      <c r="D17" s="3">
        <f t="shared" si="2"/>
        <v>38349</v>
      </c>
      <c r="E17" s="3">
        <f t="shared" si="3"/>
        <v>38350</v>
      </c>
      <c r="F17" s="4" t="s">
        <v>3107</v>
      </c>
      <c r="G17" s="3" t="s">
        <v>541</v>
      </c>
      <c r="H17" s="3" t="s">
        <v>427</v>
      </c>
      <c r="I17" s="3">
        <v>2</v>
      </c>
    </row>
    <row r="18" spans="2:9" s="3" customFormat="1" ht="12.75">
      <c r="B18" s="3" t="str">
        <f t="shared" si="0"/>
        <v>0x95CF</v>
      </c>
      <c r="C18" s="3" t="str">
        <f t="shared" si="0"/>
        <v>0x95D0</v>
      </c>
      <c r="D18" s="3">
        <f t="shared" si="2"/>
        <v>38351</v>
      </c>
      <c r="E18" s="3">
        <f t="shared" si="3"/>
        <v>38352</v>
      </c>
      <c r="F18" s="4" t="s">
        <v>3108</v>
      </c>
      <c r="G18" s="3" t="s">
        <v>541</v>
      </c>
      <c r="H18" s="3" t="s">
        <v>427</v>
      </c>
      <c r="I18" s="3">
        <v>2</v>
      </c>
    </row>
    <row r="19" spans="2:9" s="3" customFormat="1" ht="12.75">
      <c r="B19" s="3" t="str">
        <f t="shared" si="0"/>
        <v>0x95D1</v>
      </c>
      <c r="C19" s="3" t="str">
        <f t="shared" si="0"/>
        <v>0x95D2</v>
      </c>
      <c r="D19" s="3">
        <f t="shared" si="2"/>
        <v>38353</v>
      </c>
      <c r="E19" s="3">
        <f t="shared" si="3"/>
        <v>38354</v>
      </c>
      <c r="F19" s="4" t="s">
        <v>3109</v>
      </c>
      <c r="G19" s="3" t="s">
        <v>541</v>
      </c>
      <c r="H19" s="3" t="s">
        <v>427</v>
      </c>
      <c r="I19" s="3">
        <v>2</v>
      </c>
    </row>
    <row r="20" spans="2:9" s="3" customFormat="1" ht="12.75">
      <c r="B20" s="3" t="str">
        <f t="shared" si="0"/>
        <v>0x95D3</v>
      </c>
      <c r="C20" s="3" t="str">
        <f t="shared" si="0"/>
        <v>0x95D4</v>
      </c>
      <c r="D20" s="3">
        <f t="shared" si="2"/>
        <v>38355</v>
      </c>
      <c r="E20" s="3">
        <f t="shared" si="3"/>
        <v>38356</v>
      </c>
      <c r="F20" s="4" t="s">
        <v>3110</v>
      </c>
      <c r="G20" s="3" t="s">
        <v>541</v>
      </c>
      <c r="H20" s="3" t="s">
        <v>427</v>
      </c>
      <c r="I20" s="3">
        <v>2</v>
      </c>
    </row>
    <row r="21" spans="2:9" s="3" customFormat="1" ht="12.75">
      <c r="B21" s="3" t="str">
        <f t="shared" ref="B21:C21" si="4">"0x"&amp;DEC2HEX(D21,4)</f>
        <v>0x95D5</v>
      </c>
      <c r="C21" s="3" t="str">
        <f t="shared" si="4"/>
        <v>0x95D6</v>
      </c>
      <c r="D21" s="3">
        <f t="shared" si="2"/>
        <v>38357</v>
      </c>
      <c r="E21" s="3">
        <f t="shared" si="3"/>
        <v>38358</v>
      </c>
      <c r="F21" s="4" t="s">
        <v>3111</v>
      </c>
      <c r="G21" s="3" t="s">
        <v>541</v>
      </c>
      <c r="H21" s="3" t="s">
        <v>427</v>
      </c>
      <c r="I21" s="3">
        <v>2</v>
      </c>
    </row>
    <row r="22" spans="2:9" s="3" customFormat="1" ht="12.75">
      <c r="B22" s="3" t="str">
        <f t="shared" ref="B22:B36" si="5">"0x"&amp;DEC2HEX(D22,4)</f>
        <v>0x95D7</v>
      </c>
      <c r="C22" s="3" t="str">
        <f t="shared" ref="C22:C61" si="6">"0x"&amp;DEC2HEX(E22,4)</f>
        <v>0x95D8</v>
      </c>
      <c r="D22" s="3">
        <f t="shared" ref="D22:D61" si="7">D21+I21</f>
        <v>38359</v>
      </c>
      <c r="E22" s="3">
        <f t="shared" ref="E22:E61" si="8">D22+I22-1</f>
        <v>38360</v>
      </c>
      <c r="F22" s="4" t="s">
        <v>1162</v>
      </c>
      <c r="G22" s="3" t="s">
        <v>541</v>
      </c>
      <c r="H22" s="3" t="s">
        <v>427</v>
      </c>
      <c r="I22" s="3">
        <v>2</v>
      </c>
    </row>
    <row r="23" spans="2:9" s="3" customFormat="1" ht="12.75">
      <c r="B23" s="3" t="str">
        <f t="shared" si="5"/>
        <v>0x95D9</v>
      </c>
      <c r="C23" s="3" t="str">
        <f t="shared" si="6"/>
        <v>0x95DA</v>
      </c>
      <c r="D23" s="3">
        <f t="shared" si="7"/>
        <v>38361</v>
      </c>
      <c r="E23" s="3">
        <f t="shared" si="8"/>
        <v>38362</v>
      </c>
      <c r="F23" s="4" t="s">
        <v>3119</v>
      </c>
      <c r="G23" s="3" t="s">
        <v>541</v>
      </c>
      <c r="H23" s="3" t="s">
        <v>427</v>
      </c>
      <c r="I23" s="3">
        <v>2</v>
      </c>
    </row>
    <row r="24" spans="2:9" s="3" customFormat="1" ht="12.75">
      <c r="B24" s="3" t="str">
        <f t="shared" si="5"/>
        <v>0x95DB</v>
      </c>
      <c r="C24" s="3" t="str">
        <f t="shared" si="6"/>
        <v>0x95DC</v>
      </c>
      <c r="D24" s="3">
        <f t="shared" si="7"/>
        <v>38363</v>
      </c>
      <c r="E24" s="3">
        <f t="shared" si="8"/>
        <v>38364</v>
      </c>
      <c r="F24" s="4" t="s">
        <v>3120</v>
      </c>
      <c r="G24" s="3" t="s">
        <v>541</v>
      </c>
      <c r="H24" s="3" t="s">
        <v>427</v>
      </c>
      <c r="I24" s="3">
        <v>2</v>
      </c>
    </row>
    <row r="25" spans="2:9" s="3" customFormat="1" ht="12.75">
      <c r="B25" s="3" t="str">
        <f t="shared" si="5"/>
        <v>0x95DD</v>
      </c>
      <c r="C25" s="3" t="str">
        <f t="shared" si="6"/>
        <v>0x95DE</v>
      </c>
      <c r="D25" s="3">
        <f t="shared" si="7"/>
        <v>38365</v>
      </c>
      <c r="E25" s="3">
        <f t="shared" si="8"/>
        <v>38366</v>
      </c>
      <c r="F25" s="4" t="s">
        <v>2867</v>
      </c>
      <c r="G25" s="3" t="s">
        <v>541</v>
      </c>
      <c r="H25" s="3" t="s">
        <v>427</v>
      </c>
      <c r="I25" s="3">
        <v>2</v>
      </c>
    </row>
    <row r="26" spans="2:9" s="3" customFormat="1" ht="12.75">
      <c r="B26" s="3" t="str">
        <f t="shared" si="5"/>
        <v>0x95DF</v>
      </c>
      <c r="C26" s="3" t="str">
        <f t="shared" si="6"/>
        <v>0x95E0</v>
      </c>
      <c r="D26" s="3">
        <f t="shared" si="7"/>
        <v>38367</v>
      </c>
      <c r="E26" s="3">
        <f t="shared" si="8"/>
        <v>38368</v>
      </c>
      <c r="F26" s="4" t="s">
        <v>1165</v>
      </c>
      <c r="G26" s="3" t="s">
        <v>541</v>
      </c>
      <c r="H26" s="3" t="s">
        <v>427</v>
      </c>
      <c r="I26" s="3">
        <v>2</v>
      </c>
    </row>
    <row r="27" spans="2:9" s="3" customFormat="1" ht="12.75">
      <c r="B27" s="3" t="str">
        <f t="shared" si="5"/>
        <v>0x95E1</v>
      </c>
      <c r="C27" s="3" t="str">
        <f t="shared" si="6"/>
        <v>0x95E2</v>
      </c>
      <c r="D27" s="3">
        <f t="shared" si="7"/>
        <v>38369</v>
      </c>
      <c r="E27" s="3">
        <f t="shared" si="8"/>
        <v>38370</v>
      </c>
      <c r="F27" s="4" t="s">
        <v>3121</v>
      </c>
      <c r="G27" s="3" t="s">
        <v>541</v>
      </c>
      <c r="H27" s="3" t="s">
        <v>427</v>
      </c>
      <c r="I27" s="3">
        <v>2</v>
      </c>
    </row>
    <row r="28" spans="2:9" s="3" customFormat="1" ht="12.75">
      <c r="B28" s="3" t="str">
        <f t="shared" si="5"/>
        <v>0x95E3</v>
      </c>
      <c r="C28" s="3" t="str">
        <f t="shared" si="6"/>
        <v>0x95E4</v>
      </c>
      <c r="D28" s="3">
        <f t="shared" si="7"/>
        <v>38371</v>
      </c>
      <c r="E28" s="3">
        <f t="shared" si="8"/>
        <v>38372</v>
      </c>
      <c r="F28" s="4" t="s">
        <v>3122</v>
      </c>
      <c r="G28" s="3" t="s">
        <v>541</v>
      </c>
      <c r="H28" s="3" t="s">
        <v>427</v>
      </c>
      <c r="I28" s="3">
        <v>2</v>
      </c>
    </row>
    <row r="29" spans="2:9" s="3" customFormat="1" ht="12.75">
      <c r="B29" s="3" t="str">
        <f t="shared" si="5"/>
        <v>0x95E5</v>
      </c>
      <c r="C29" s="3" t="str">
        <f t="shared" si="6"/>
        <v>0x95E6</v>
      </c>
      <c r="D29" s="3">
        <f t="shared" si="7"/>
        <v>38373</v>
      </c>
      <c r="E29" s="3">
        <f t="shared" si="8"/>
        <v>38374</v>
      </c>
      <c r="F29" s="4" t="s">
        <v>2867</v>
      </c>
      <c r="G29" s="3" t="s">
        <v>541</v>
      </c>
      <c r="H29" s="3" t="s">
        <v>427</v>
      </c>
      <c r="I29" s="3">
        <v>2</v>
      </c>
    </row>
    <row r="30" spans="2:9" s="3" customFormat="1" ht="12.75">
      <c r="B30" s="3" t="str">
        <f t="shared" si="5"/>
        <v>0x95E7</v>
      </c>
      <c r="C30" s="3" t="str">
        <f t="shared" si="6"/>
        <v>0x95E8</v>
      </c>
      <c r="D30" s="3">
        <f t="shared" si="7"/>
        <v>38375</v>
      </c>
      <c r="E30" s="3">
        <f t="shared" si="8"/>
        <v>38376</v>
      </c>
      <c r="F30" s="4" t="s">
        <v>1166</v>
      </c>
      <c r="G30" s="3" t="s">
        <v>541</v>
      </c>
      <c r="H30" s="3" t="s">
        <v>427</v>
      </c>
      <c r="I30" s="3">
        <v>2</v>
      </c>
    </row>
    <row r="31" spans="2:9" s="3" customFormat="1" ht="12.75">
      <c r="B31" s="3" t="str">
        <f t="shared" si="5"/>
        <v>0x95E9</v>
      </c>
      <c r="C31" s="3" t="str">
        <f t="shared" si="6"/>
        <v>0x95EA</v>
      </c>
      <c r="D31" s="3">
        <f t="shared" si="7"/>
        <v>38377</v>
      </c>
      <c r="E31" s="3">
        <f t="shared" si="8"/>
        <v>38378</v>
      </c>
      <c r="F31" s="4" t="s">
        <v>3123</v>
      </c>
      <c r="G31" s="3" t="s">
        <v>541</v>
      </c>
      <c r="H31" s="3" t="s">
        <v>427</v>
      </c>
      <c r="I31" s="3">
        <v>2</v>
      </c>
    </row>
    <row r="32" spans="2:9" s="3" customFormat="1" ht="12.75">
      <c r="B32" s="3" t="str">
        <f t="shared" si="5"/>
        <v>0x95EB</v>
      </c>
      <c r="C32" s="3" t="str">
        <f t="shared" si="6"/>
        <v>0x95EC</v>
      </c>
      <c r="D32" s="3">
        <f t="shared" si="7"/>
        <v>38379</v>
      </c>
      <c r="E32" s="3">
        <f t="shared" si="8"/>
        <v>38380</v>
      </c>
      <c r="F32" s="4" t="s">
        <v>3124</v>
      </c>
      <c r="G32" s="3" t="s">
        <v>541</v>
      </c>
      <c r="H32" s="3" t="s">
        <v>427</v>
      </c>
      <c r="I32" s="3">
        <v>2</v>
      </c>
    </row>
    <row r="33" spans="2:9" s="3" customFormat="1" ht="12.75">
      <c r="B33" s="3" t="str">
        <f t="shared" si="5"/>
        <v>0x95ED</v>
      </c>
      <c r="C33" s="3" t="str">
        <f t="shared" si="6"/>
        <v>0x95EE</v>
      </c>
      <c r="D33" s="3">
        <f t="shared" si="7"/>
        <v>38381</v>
      </c>
      <c r="E33" s="3">
        <f t="shared" si="8"/>
        <v>38382</v>
      </c>
      <c r="F33" s="4" t="s">
        <v>2867</v>
      </c>
      <c r="G33" s="3" t="s">
        <v>541</v>
      </c>
      <c r="H33" s="3" t="s">
        <v>427</v>
      </c>
      <c r="I33" s="3">
        <v>2</v>
      </c>
    </row>
    <row r="34" spans="2:9" s="3" customFormat="1" ht="12.75">
      <c r="B34" s="3" t="str">
        <f t="shared" si="5"/>
        <v>0x95EF</v>
      </c>
      <c r="C34" s="3" t="str">
        <f t="shared" si="6"/>
        <v>0x95F0</v>
      </c>
      <c r="D34" s="3">
        <f t="shared" si="7"/>
        <v>38383</v>
      </c>
      <c r="E34" s="3">
        <f t="shared" si="8"/>
        <v>38384</v>
      </c>
      <c r="F34" s="4" t="s">
        <v>1168</v>
      </c>
      <c r="G34" s="3" t="s">
        <v>541</v>
      </c>
      <c r="H34" s="3" t="s">
        <v>427</v>
      </c>
      <c r="I34" s="3">
        <v>2</v>
      </c>
    </row>
    <row r="35" spans="2:9" s="3" customFormat="1" ht="12.75">
      <c r="B35" s="3" t="str">
        <f t="shared" si="5"/>
        <v>0x95F1</v>
      </c>
      <c r="C35" s="3" t="str">
        <f t="shared" si="6"/>
        <v>0x95F2</v>
      </c>
      <c r="D35" s="3">
        <f t="shared" si="7"/>
        <v>38385</v>
      </c>
      <c r="E35" s="3">
        <f t="shared" si="8"/>
        <v>38386</v>
      </c>
      <c r="F35" s="4" t="s">
        <v>3125</v>
      </c>
      <c r="G35" s="3" t="s">
        <v>541</v>
      </c>
      <c r="H35" s="3" t="s">
        <v>427</v>
      </c>
      <c r="I35" s="3">
        <v>2</v>
      </c>
    </row>
    <row r="36" spans="2:9" s="3" customFormat="1" ht="12.75">
      <c r="B36" s="3" t="str">
        <f t="shared" si="5"/>
        <v>0x95F3</v>
      </c>
      <c r="C36" s="3" t="str">
        <f t="shared" si="6"/>
        <v>0x95F4</v>
      </c>
      <c r="D36" s="3">
        <f t="shared" si="7"/>
        <v>38387</v>
      </c>
      <c r="E36" s="3">
        <f t="shared" si="8"/>
        <v>38388</v>
      </c>
      <c r="F36" s="4" t="s">
        <v>3126</v>
      </c>
      <c r="G36" s="3" t="s">
        <v>541</v>
      </c>
      <c r="H36" s="3" t="s">
        <v>427</v>
      </c>
      <c r="I36" s="3">
        <v>2</v>
      </c>
    </row>
    <row r="37" spans="2:9" s="3" customFormat="1" ht="12.75">
      <c r="B37" s="3" t="str">
        <f t="shared" ref="B37:B45" si="9">"0x"&amp;DEC2HEX(D37,4)</f>
        <v>0x95F5</v>
      </c>
      <c r="C37" s="3" t="str">
        <f t="shared" si="6"/>
        <v>0x95F6</v>
      </c>
      <c r="D37" s="3">
        <f t="shared" si="7"/>
        <v>38389</v>
      </c>
      <c r="E37" s="3">
        <f t="shared" si="8"/>
        <v>38390</v>
      </c>
      <c r="F37" s="4" t="s">
        <v>2867</v>
      </c>
      <c r="G37" s="3" t="s">
        <v>541</v>
      </c>
      <c r="H37" s="3" t="s">
        <v>427</v>
      </c>
      <c r="I37" s="3">
        <v>2</v>
      </c>
    </row>
    <row r="38" spans="2:9" s="3" customFormat="1" ht="12.75">
      <c r="B38" s="3" t="str">
        <f t="shared" si="9"/>
        <v>0x95F7</v>
      </c>
      <c r="C38" s="3" t="str">
        <f t="shared" si="6"/>
        <v>0x95F8</v>
      </c>
      <c r="D38" s="3">
        <f t="shared" si="7"/>
        <v>38391</v>
      </c>
      <c r="E38" s="3">
        <f t="shared" si="8"/>
        <v>38392</v>
      </c>
      <c r="F38" s="4" t="s">
        <v>1169</v>
      </c>
      <c r="G38" s="3" t="s">
        <v>541</v>
      </c>
      <c r="H38" s="3" t="s">
        <v>427</v>
      </c>
      <c r="I38" s="3">
        <v>2</v>
      </c>
    </row>
    <row r="39" spans="2:9" s="3" customFormat="1" ht="12.75">
      <c r="B39" s="3" t="str">
        <f t="shared" si="9"/>
        <v>0x95F9</v>
      </c>
      <c r="C39" s="3" t="str">
        <f t="shared" si="6"/>
        <v>0x95FA</v>
      </c>
      <c r="D39" s="3">
        <f t="shared" si="7"/>
        <v>38393</v>
      </c>
      <c r="E39" s="3">
        <f t="shared" si="8"/>
        <v>38394</v>
      </c>
      <c r="F39" s="4" t="s">
        <v>3127</v>
      </c>
      <c r="G39" s="3" t="s">
        <v>541</v>
      </c>
      <c r="H39" s="3" t="s">
        <v>427</v>
      </c>
      <c r="I39" s="3">
        <v>2</v>
      </c>
    </row>
    <row r="40" spans="2:9" s="3" customFormat="1" ht="12.75">
      <c r="B40" s="3" t="str">
        <f t="shared" si="9"/>
        <v>0x95FB</v>
      </c>
      <c r="C40" s="3" t="str">
        <f t="shared" si="6"/>
        <v>0x95FC</v>
      </c>
      <c r="D40" s="3">
        <f t="shared" si="7"/>
        <v>38395</v>
      </c>
      <c r="E40" s="3">
        <f t="shared" si="8"/>
        <v>38396</v>
      </c>
      <c r="F40" s="4" t="s">
        <v>3128</v>
      </c>
      <c r="G40" s="3" t="s">
        <v>541</v>
      </c>
      <c r="H40" s="3" t="s">
        <v>427</v>
      </c>
      <c r="I40" s="3">
        <v>2</v>
      </c>
    </row>
    <row r="41" spans="2:9" s="3" customFormat="1" ht="12.75">
      <c r="B41" s="3" t="str">
        <f t="shared" si="9"/>
        <v>0x95FD</v>
      </c>
      <c r="C41" s="3" t="str">
        <f t="shared" si="6"/>
        <v>0x95FE</v>
      </c>
      <c r="D41" s="3">
        <f t="shared" si="7"/>
        <v>38397</v>
      </c>
      <c r="E41" s="3">
        <f t="shared" si="8"/>
        <v>38398</v>
      </c>
      <c r="F41" s="4" t="s">
        <v>2867</v>
      </c>
      <c r="G41" s="3" t="s">
        <v>541</v>
      </c>
      <c r="H41" s="3" t="s">
        <v>427</v>
      </c>
      <c r="I41" s="3">
        <v>2</v>
      </c>
    </row>
    <row r="42" spans="2:9" s="3" customFormat="1" ht="12.75">
      <c r="B42" s="3" t="str">
        <f t="shared" si="9"/>
        <v>0x95FF</v>
      </c>
      <c r="C42" s="3" t="str">
        <f t="shared" si="6"/>
        <v>0x9600</v>
      </c>
      <c r="D42" s="3">
        <f t="shared" si="7"/>
        <v>38399</v>
      </c>
      <c r="E42" s="3">
        <f t="shared" si="8"/>
        <v>38400</v>
      </c>
      <c r="F42" s="4" t="s">
        <v>1170</v>
      </c>
      <c r="G42" s="3" t="s">
        <v>541</v>
      </c>
      <c r="H42" s="3" t="s">
        <v>427</v>
      </c>
      <c r="I42" s="3">
        <v>2</v>
      </c>
    </row>
    <row r="43" spans="2:9" s="3" customFormat="1" ht="12.75">
      <c r="B43" s="3" t="str">
        <f t="shared" si="9"/>
        <v>0x9601</v>
      </c>
      <c r="C43" s="3" t="str">
        <f t="shared" si="6"/>
        <v>0x9602</v>
      </c>
      <c r="D43" s="3">
        <f t="shared" si="7"/>
        <v>38401</v>
      </c>
      <c r="E43" s="3">
        <f t="shared" si="8"/>
        <v>38402</v>
      </c>
      <c r="F43" s="4" t="s">
        <v>3129</v>
      </c>
      <c r="G43" s="3" t="s">
        <v>541</v>
      </c>
      <c r="H43" s="3" t="s">
        <v>427</v>
      </c>
      <c r="I43" s="3">
        <v>2</v>
      </c>
    </row>
    <row r="44" spans="2:9" s="3" customFormat="1" ht="12.75">
      <c r="B44" s="3" t="str">
        <f t="shared" si="9"/>
        <v>0x9603</v>
      </c>
      <c r="C44" s="3" t="str">
        <f t="shared" si="6"/>
        <v>0x9604</v>
      </c>
      <c r="D44" s="3">
        <f t="shared" si="7"/>
        <v>38403</v>
      </c>
      <c r="E44" s="3">
        <f t="shared" si="8"/>
        <v>38404</v>
      </c>
      <c r="F44" s="4" t="s">
        <v>3130</v>
      </c>
      <c r="G44" s="3" t="s">
        <v>541</v>
      </c>
      <c r="H44" s="3" t="s">
        <v>427</v>
      </c>
      <c r="I44" s="3">
        <v>2</v>
      </c>
    </row>
    <row r="45" spans="2:9" s="3" customFormat="1" ht="12.75">
      <c r="B45" s="3" t="str">
        <f t="shared" si="9"/>
        <v>0x9605</v>
      </c>
      <c r="C45" s="3" t="str">
        <f t="shared" si="6"/>
        <v>0x9606</v>
      </c>
      <c r="D45" s="3">
        <f t="shared" si="7"/>
        <v>38405</v>
      </c>
      <c r="E45" s="3">
        <f t="shared" si="8"/>
        <v>38406</v>
      </c>
      <c r="F45" s="4" t="s">
        <v>2867</v>
      </c>
      <c r="G45" s="3" t="s">
        <v>541</v>
      </c>
      <c r="H45" s="3" t="s">
        <v>427</v>
      </c>
      <c r="I45" s="3">
        <v>2</v>
      </c>
    </row>
    <row r="46" spans="2:9" s="3" customFormat="1" ht="12.75">
      <c r="B46" s="3" t="str">
        <f>"0x"&amp;DEC2HEX(D46,4)</f>
        <v>0x9607</v>
      </c>
      <c r="C46" s="3" t="str">
        <f t="shared" si="6"/>
        <v>0x9608</v>
      </c>
      <c r="D46" s="3">
        <f t="shared" si="7"/>
        <v>38407</v>
      </c>
      <c r="E46" s="3">
        <f t="shared" si="8"/>
        <v>38408</v>
      </c>
      <c r="F46" s="4" t="s">
        <v>3131</v>
      </c>
      <c r="G46" s="3" t="s">
        <v>541</v>
      </c>
      <c r="H46" s="3" t="s">
        <v>427</v>
      </c>
      <c r="I46" s="3">
        <v>2</v>
      </c>
    </row>
    <row r="47" spans="2:9" s="3" customFormat="1" ht="12.75">
      <c r="B47" s="3" t="str">
        <f>"0x"&amp;DEC2HEX(D47,4)</f>
        <v>0x9609</v>
      </c>
      <c r="C47" s="3" t="str">
        <f t="shared" si="6"/>
        <v>0x960A</v>
      </c>
      <c r="D47" s="3">
        <f t="shared" si="7"/>
        <v>38409</v>
      </c>
      <c r="E47" s="3">
        <f t="shared" si="8"/>
        <v>38410</v>
      </c>
      <c r="F47" s="4" t="s">
        <v>3235</v>
      </c>
      <c r="G47" s="3" t="s">
        <v>541</v>
      </c>
      <c r="H47" s="3" t="s">
        <v>427</v>
      </c>
      <c r="I47" s="3">
        <v>2</v>
      </c>
    </row>
    <row r="48" spans="2:9" s="3" customFormat="1" ht="12.75">
      <c r="B48" s="3" t="str">
        <f>"0x"&amp;DEC2HEX(D48,4)</f>
        <v>0x960B</v>
      </c>
      <c r="C48" s="3" t="str">
        <f t="shared" si="6"/>
        <v>0x960C</v>
      </c>
      <c r="D48" s="3">
        <f t="shared" si="7"/>
        <v>38411</v>
      </c>
      <c r="E48" s="3">
        <f t="shared" si="8"/>
        <v>38412</v>
      </c>
      <c r="F48" s="86" t="s">
        <v>3132</v>
      </c>
      <c r="G48" s="3" t="s">
        <v>541</v>
      </c>
      <c r="H48" s="3" t="s">
        <v>427</v>
      </c>
      <c r="I48" s="3">
        <v>2</v>
      </c>
    </row>
    <row r="49" spans="1:9" s="3" customFormat="1" ht="12.75">
      <c r="B49" s="3" t="str">
        <f t="shared" ref="B49" si="10">"0x"&amp;DEC2HEX(D49,4)</f>
        <v>0x960D</v>
      </c>
      <c r="C49" s="3" t="str">
        <f t="shared" si="6"/>
        <v>0x960E</v>
      </c>
      <c r="D49" s="3">
        <f t="shared" si="7"/>
        <v>38413</v>
      </c>
      <c r="E49" s="3">
        <f t="shared" si="8"/>
        <v>38414</v>
      </c>
      <c r="F49" s="86" t="s">
        <v>3133</v>
      </c>
      <c r="G49" s="3" t="s">
        <v>541</v>
      </c>
      <c r="H49" s="3" t="s">
        <v>427</v>
      </c>
      <c r="I49" s="3">
        <v>2</v>
      </c>
    </row>
    <row r="50" spans="1:9" s="3" customFormat="1" ht="12.75">
      <c r="B50" s="3" t="str">
        <f>"0x"&amp;DEC2HEX(D50,4)</f>
        <v>0x960F</v>
      </c>
      <c r="C50" s="3" t="str">
        <f t="shared" si="6"/>
        <v>0x9610</v>
      </c>
      <c r="D50" s="3">
        <f t="shared" si="7"/>
        <v>38415</v>
      </c>
      <c r="E50" s="3">
        <f t="shared" si="8"/>
        <v>38416</v>
      </c>
      <c r="F50" s="4" t="s">
        <v>3134</v>
      </c>
      <c r="G50" s="3" t="s">
        <v>541</v>
      </c>
      <c r="H50" s="3" t="s">
        <v>427</v>
      </c>
      <c r="I50" s="3">
        <v>2</v>
      </c>
    </row>
    <row r="51" spans="1:9" s="3" customFormat="1" ht="12.75">
      <c r="B51" s="3" t="str">
        <f t="shared" ref="B51" si="11">"0x"&amp;DEC2HEX(D51,4)</f>
        <v>0x9611</v>
      </c>
      <c r="C51" s="3" t="str">
        <f t="shared" si="6"/>
        <v>0x9612</v>
      </c>
      <c r="D51" s="3">
        <f t="shared" si="7"/>
        <v>38417</v>
      </c>
      <c r="E51" s="3">
        <f t="shared" si="8"/>
        <v>38418</v>
      </c>
      <c r="F51" s="4" t="s">
        <v>3135</v>
      </c>
      <c r="G51" s="3" t="s">
        <v>541</v>
      </c>
      <c r="H51" s="3" t="s">
        <v>427</v>
      </c>
      <c r="I51" s="3">
        <v>2</v>
      </c>
    </row>
    <row r="52" spans="1:9" s="3" customFormat="1" ht="12.75">
      <c r="B52" s="3" t="str">
        <f>"0x"&amp;DEC2HEX(D52,4)</f>
        <v>0x9613</v>
      </c>
      <c r="C52" s="3" t="str">
        <f t="shared" si="6"/>
        <v>0x9614</v>
      </c>
      <c r="D52" s="3">
        <f t="shared" si="7"/>
        <v>38419</v>
      </c>
      <c r="E52" s="3">
        <f t="shared" si="8"/>
        <v>38420</v>
      </c>
      <c r="F52" s="4" t="s">
        <v>3136</v>
      </c>
      <c r="G52" s="3" t="s">
        <v>541</v>
      </c>
      <c r="H52" s="3" t="s">
        <v>427</v>
      </c>
      <c r="I52" s="3">
        <v>2</v>
      </c>
    </row>
    <row r="53" spans="1:9" s="3" customFormat="1" ht="12.75">
      <c r="B53" s="3" t="str">
        <f t="shared" ref="B53" si="12">"0x"&amp;DEC2HEX(D53,4)</f>
        <v>0x9615</v>
      </c>
      <c r="C53" s="3" t="str">
        <f t="shared" si="6"/>
        <v>0x9616</v>
      </c>
      <c r="D53" s="3">
        <f t="shared" si="7"/>
        <v>38421</v>
      </c>
      <c r="E53" s="3">
        <f t="shared" si="8"/>
        <v>38422</v>
      </c>
      <c r="F53" s="4" t="s">
        <v>3137</v>
      </c>
      <c r="G53" s="3" t="s">
        <v>541</v>
      </c>
      <c r="H53" s="3" t="s">
        <v>427</v>
      </c>
      <c r="I53" s="3">
        <v>2</v>
      </c>
    </row>
    <row r="54" spans="1:9" s="3" customFormat="1" ht="12.75">
      <c r="B54" s="3" t="str">
        <f>"0x"&amp;DEC2HEX(D54,4)</f>
        <v>0x9617</v>
      </c>
      <c r="C54" s="3" t="str">
        <f t="shared" si="6"/>
        <v>0x9618</v>
      </c>
      <c r="D54" s="3">
        <f t="shared" si="7"/>
        <v>38423</v>
      </c>
      <c r="E54" s="3">
        <f t="shared" si="8"/>
        <v>38424</v>
      </c>
      <c r="F54" s="4" t="s">
        <v>3138</v>
      </c>
      <c r="G54" s="3" t="s">
        <v>541</v>
      </c>
      <c r="H54" s="3" t="s">
        <v>427</v>
      </c>
      <c r="I54" s="3">
        <v>2</v>
      </c>
    </row>
    <row r="55" spans="1:9" s="3" customFormat="1" ht="12.75">
      <c r="B55" s="3" t="str">
        <f>"0x"&amp;DEC2HEX(D55,4)</f>
        <v>0x9619</v>
      </c>
      <c r="C55" s="3" t="str">
        <f t="shared" si="6"/>
        <v>0x961A</v>
      </c>
      <c r="D55" s="3">
        <f t="shared" si="7"/>
        <v>38425</v>
      </c>
      <c r="E55" s="3">
        <f t="shared" si="8"/>
        <v>38426</v>
      </c>
      <c r="F55" s="4" t="s">
        <v>3236</v>
      </c>
      <c r="G55" s="3" t="s">
        <v>541</v>
      </c>
      <c r="H55" s="3" t="s">
        <v>427</v>
      </c>
      <c r="I55" s="3">
        <v>2</v>
      </c>
    </row>
    <row r="56" spans="1:9" s="3" customFormat="1" ht="12.75">
      <c r="B56" s="3" t="str">
        <f t="shared" ref="B56:B61" si="13">"0x"&amp;DEC2HEX(D56,4)</f>
        <v>0x961B</v>
      </c>
      <c r="C56" s="3" t="str">
        <f t="shared" si="6"/>
        <v>0x961C</v>
      </c>
      <c r="D56" s="3">
        <f t="shared" si="7"/>
        <v>38427</v>
      </c>
      <c r="E56" s="3">
        <f t="shared" si="8"/>
        <v>38428</v>
      </c>
      <c r="F56" s="86" t="s">
        <v>3139</v>
      </c>
      <c r="G56" s="3" t="s">
        <v>541</v>
      </c>
      <c r="H56" s="3" t="s">
        <v>427</v>
      </c>
      <c r="I56" s="3">
        <v>2</v>
      </c>
    </row>
    <row r="57" spans="1:9" s="3" customFormat="1" ht="12.75">
      <c r="B57" s="3" t="str">
        <f t="shared" si="13"/>
        <v>0x961D</v>
      </c>
      <c r="C57" s="3" t="str">
        <f t="shared" si="6"/>
        <v>0x961E</v>
      </c>
      <c r="D57" s="3">
        <f t="shared" si="7"/>
        <v>38429</v>
      </c>
      <c r="E57" s="3">
        <f t="shared" si="8"/>
        <v>38430</v>
      </c>
      <c r="F57" s="86" t="s">
        <v>3140</v>
      </c>
      <c r="G57" s="3" t="s">
        <v>541</v>
      </c>
      <c r="H57" s="3" t="s">
        <v>427</v>
      </c>
      <c r="I57" s="3">
        <v>2</v>
      </c>
    </row>
    <row r="58" spans="1:9" s="3" customFormat="1" ht="12.75">
      <c r="B58" s="3" t="str">
        <f t="shared" si="13"/>
        <v>0x961F</v>
      </c>
      <c r="C58" s="3" t="str">
        <f t="shared" si="6"/>
        <v>0x9620</v>
      </c>
      <c r="D58" s="3">
        <f t="shared" si="7"/>
        <v>38431</v>
      </c>
      <c r="E58" s="3">
        <f t="shared" si="8"/>
        <v>38432</v>
      </c>
      <c r="F58" s="4" t="s">
        <v>3141</v>
      </c>
      <c r="G58" s="3" t="s">
        <v>541</v>
      </c>
      <c r="H58" s="3" t="s">
        <v>427</v>
      </c>
      <c r="I58" s="3">
        <v>2</v>
      </c>
    </row>
    <row r="59" spans="1:9" s="3" customFormat="1" ht="12.75">
      <c r="B59" s="3" t="str">
        <f t="shared" si="13"/>
        <v>0x9621</v>
      </c>
      <c r="C59" s="3" t="str">
        <f t="shared" si="6"/>
        <v>0x9622</v>
      </c>
      <c r="D59" s="3">
        <f t="shared" si="7"/>
        <v>38433</v>
      </c>
      <c r="E59" s="3">
        <f t="shared" si="8"/>
        <v>38434</v>
      </c>
      <c r="F59" s="4" t="s">
        <v>3142</v>
      </c>
      <c r="G59" s="3" t="s">
        <v>541</v>
      </c>
      <c r="H59" s="3" t="s">
        <v>427</v>
      </c>
      <c r="I59" s="3">
        <v>2</v>
      </c>
    </row>
    <row r="60" spans="1:9" s="3" customFormat="1" ht="12.75">
      <c r="B60" s="3" t="str">
        <f t="shared" si="13"/>
        <v>0x9623</v>
      </c>
      <c r="C60" s="3" t="str">
        <f t="shared" si="6"/>
        <v>0x9624</v>
      </c>
      <c r="D60" s="3">
        <f t="shared" si="7"/>
        <v>38435</v>
      </c>
      <c r="E60" s="3">
        <f t="shared" si="8"/>
        <v>38436</v>
      </c>
      <c r="F60" s="4" t="s">
        <v>3143</v>
      </c>
      <c r="G60" s="3" t="s">
        <v>541</v>
      </c>
      <c r="H60" s="3" t="s">
        <v>427</v>
      </c>
      <c r="I60" s="3">
        <v>2</v>
      </c>
    </row>
    <row r="61" spans="1:9" s="3" customFormat="1" ht="12.75">
      <c r="B61" s="3" t="str">
        <f t="shared" si="13"/>
        <v>0x9625</v>
      </c>
      <c r="C61" s="3" t="str">
        <f t="shared" si="6"/>
        <v>0x9626</v>
      </c>
      <c r="D61" s="3">
        <f t="shared" si="7"/>
        <v>38437</v>
      </c>
      <c r="E61" s="3">
        <f t="shared" si="8"/>
        <v>38438</v>
      </c>
      <c r="F61" s="4" t="s">
        <v>3144</v>
      </c>
      <c r="G61" s="3" t="s">
        <v>541</v>
      </c>
      <c r="H61" s="3" t="s">
        <v>427</v>
      </c>
      <c r="I61" s="3">
        <v>2</v>
      </c>
    </row>
    <row r="62" spans="1:9" s="3" customFormat="1" ht="12.75">
      <c r="F62" s="4"/>
      <c r="I62" s="3">
        <f>SUM(I3:I61)</f>
        <v>119</v>
      </c>
    </row>
    <row r="63" spans="1:9" s="72" customFormat="1" ht="12.75">
      <c r="A63" s="72" t="s">
        <v>3145</v>
      </c>
    </row>
    <row r="64" spans="1:9" s="3" customFormat="1" ht="12.75">
      <c r="B64" s="3" t="str">
        <f t="shared" ref="B64:C82" si="14">"0x"&amp;DEC2HEX(D64,4)</f>
        <v>0x9647</v>
      </c>
      <c r="C64" s="3" t="str">
        <f>"0x"&amp;DEC2HEX(E64,4)</f>
        <v>0x964A</v>
      </c>
      <c r="D64" s="3">
        <v>38471</v>
      </c>
      <c r="E64" s="3">
        <f>D64+I64-1</f>
        <v>38474</v>
      </c>
      <c r="F64" s="4" t="s">
        <v>3093</v>
      </c>
      <c r="G64" s="3" t="s">
        <v>3094</v>
      </c>
      <c r="H64" s="3" t="s">
        <v>427</v>
      </c>
      <c r="I64" s="3">
        <v>4</v>
      </c>
    </row>
    <row r="65" spans="2:9" s="3" customFormat="1" ht="12.75">
      <c r="B65" s="3" t="str">
        <f t="shared" si="14"/>
        <v>0x964B</v>
      </c>
      <c r="C65" s="3" t="str">
        <f>"0x"&amp;DEC2HEX(E65,4)</f>
        <v>0x964E</v>
      </c>
      <c r="D65" s="3">
        <f t="shared" ref="D65:D82" si="15">D64+I64</f>
        <v>38475</v>
      </c>
      <c r="E65" s="3">
        <f>D65+I65-1</f>
        <v>38478</v>
      </c>
      <c r="F65" s="4" t="s">
        <v>3095</v>
      </c>
      <c r="G65" s="3" t="s">
        <v>3094</v>
      </c>
      <c r="H65" s="3" t="s">
        <v>427</v>
      </c>
      <c r="I65" s="3">
        <v>4</v>
      </c>
    </row>
    <row r="66" spans="2:9" s="3" customFormat="1" ht="12.75">
      <c r="B66" s="3" t="str">
        <f t="shared" si="14"/>
        <v>0x964F</v>
      </c>
      <c r="D66" s="3">
        <f t="shared" si="15"/>
        <v>38479</v>
      </c>
      <c r="F66" s="4" t="s">
        <v>3096</v>
      </c>
      <c r="G66" s="3" t="s">
        <v>802</v>
      </c>
      <c r="H66" s="3" t="s">
        <v>427</v>
      </c>
      <c r="I66" s="3">
        <v>1</v>
      </c>
    </row>
    <row r="67" spans="2:9" s="3" customFormat="1" ht="12.75">
      <c r="B67" s="3" t="str">
        <f t="shared" si="14"/>
        <v>0x9650</v>
      </c>
      <c r="D67" s="3">
        <f t="shared" si="15"/>
        <v>38480</v>
      </c>
      <c r="F67" s="4" t="s">
        <v>3097</v>
      </c>
      <c r="G67" s="3" t="s">
        <v>802</v>
      </c>
      <c r="H67" s="3" t="s">
        <v>427</v>
      </c>
      <c r="I67" s="3">
        <v>1</v>
      </c>
    </row>
    <row r="68" spans="2:9" s="3" customFormat="1" ht="12.75">
      <c r="B68" s="3" t="str">
        <f t="shared" si="14"/>
        <v>0x9651</v>
      </c>
      <c r="D68" s="3">
        <f t="shared" si="15"/>
        <v>38481</v>
      </c>
      <c r="F68" s="4" t="s">
        <v>3098</v>
      </c>
      <c r="G68" s="3" t="s">
        <v>802</v>
      </c>
      <c r="H68" s="3" t="s">
        <v>427</v>
      </c>
      <c r="I68" s="3">
        <v>1</v>
      </c>
    </row>
    <row r="69" spans="2:9" s="3" customFormat="1" ht="12.75">
      <c r="B69" s="3" t="str">
        <f t="shared" si="14"/>
        <v>0x9652</v>
      </c>
      <c r="C69" s="3" t="str">
        <f>"0x"&amp;DEC2HEX(E69,4)</f>
        <v>0x9653</v>
      </c>
      <c r="D69" s="3">
        <f t="shared" si="15"/>
        <v>38482</v>
      </c>
      <c r="E69" s="3">
        <f t="shared" ref="E69:E82" si="16">D69+I69-1</f>
        <v>38483</v>
      </c>
      <c r="F69" s="4" t="s">
        <v>2680</v>
      </c>
      <c r="G69" s="3" t="s">
        <v>1157</v>
      </c>
      <c r="H69" s="3" t="s">
        <v>427</v>
      </c>
      <c r="I69" s="3">
        <v>2</v>
      </c>
    </row>
    <row r="70" spans="2:9" s="3" customFormat="1" ht="12.75">
      <c r="B70" s="3" t="str">
        <f t="shared" si="14"/>
        <v>0x9654</v>
      </c>
      <c r="C70" s="3" t="str">
        <f>"0x"&amp;DEC2HEX(E70,4)</f>
        <v>0x9655</v>
      </c>
      <c r="D70" s="3">
        <f t="shared" si="15"/>
        <v>38484</v>
      </c>
      <c r="E70" s="3">
        <f t="shared" si="16"/>
        <v>38485</v>
      </c>
      <c r="F70" s="4" t="s">
        <v>3099</v>
      </c>
      <c r="G70" s="3" t="s">
        <v>541</v>
      </c>
      <c r="H70" s="3" t="s">
        <v>427</v>
      </c>
      <c r="I70" s="3">
        <v>2</v>
      </c>
    </row>
    <row r="71" spans="2:9" s="3" customFormat="1" ht="12.75">
      <c r="B71" s="3" t="str">
        <f t="shared" si="14"/>
        <v>0x9656</v>
      </c>
      <c r="C71" s="3" t="str">
        <f>"0x"&amp;DEC2HEX(E71,4)</f>
        <v>0x9657</v>
      </c>
      <c r="D71" s="3">
        <f t="shared" si="15"/>
        <v>38486</v>
      </c>
      <c r="E71" s="3">
        <f t="shared" si="16"/>
        <v>38487</v>
      </c>
      <c r="F71" s="4" t="s">
        <v>3100</v>
      </c>
      <c r="G71" s="3" t="s">
        <v>541</v>
      </c>
      <c r="H71" s="3" t="s">
        <v>427</v>
      </c>
      <c r="I71" s="3">
        <v>2</v>
      </c>
    </row>
    <row r="72" spans="2:9" s="3" customFormat="1" ht="12.75">
      <c r="B72" s="3" t="str">
        <f t="shared" si="14"/>
        <v>0x9658</v>
      </c>
      <c r="C72" s="3" t="str">
        <f>"0x"&amp;DEC2HEX(E72,4)</f>
        <v>0x9659</v>
      </c>
      <c r="D72" s="3">
        <f t="shared" si="15"/>
        <v>38488</v>
      </c>
      <c r="E72" s="3">
        <f t="shared" si="16"/>
        <v>38489</v>
      </c>
      <c r="F72" s="4" t="s">
        <v>3101</v>
      </c>
      <c r="G72" s="3" t="s">
        <v>541</v>
      </c>
      <c r="H72" s="3" t="s">
        <v>427</v>
      </c>
      <c r="I72" s="3">
        <v>2</v>
      </c>
    </row>
    <row r="73" spans="2:9" s="3" customFormat="1" ht="12.75">
      <c r="B73" s="3" t="str">
        <f t="shared" si="14"/>
        <v>0x965A</v>
      </c>
      <c r="C73" s="3" t="str">
        <f t="shared" si="14"/>
        <v>0x965B</v>
      </c>
      <c r="D73" s="3">
        <f t="shared" si="15"/>
        <v>38490</v>
      </c>
      <c r="E73" s="3">
        <f t="shared" si="16"/>
        <v>38491</v>
      </c>
      <c r="F73" s="4" t="s">
        <v>3102</v>
      </c>
      <c r="G73" s="3" t="s">
        <v>541</v>
      </c>
      <c r="H73" s="3" t="s">
        <v>427</v>
      </c>
      <c r="I73" s="3">
        <v>2</v>
      </c>
    </row>
    <row r="74" spans="2:9" s="3" customFormat="1" ht="12.75">
      <c r="B74" s="3" t="str">
        <f t="shared" si="14"/>
        <v>0x965C</v>
      </c>
      <c r="C74" s="3" t="str">
        <f t="shared" si="14"/>
        <v>0x965D</v>
      </c>
      <c r="D74" s="3">
        <f t="shared" si="15"/>
        <v>38492</v>
      </c>
      <c r="E74" s="3">
        <f t="shared" si="16"/>
        <v>38493</v>
      </c>
      <c r="F74" s="4" t="s">
        <v>3103</v>
      </c>
      <c r="G74" s="3" t="s">
        <v>541</v>
      </c>
      <c r="H74" s="3" t="s">
        <v>427</v>
      </c>
      <c r="I74" s="3">
        <v>2</v>
      </c>
    </row>
    <row r="75" spans="2:9" s="3" customFormat="1" ht="12.75">
      <c r="B75" s="3" t="str">
        <f t="shared" si="14"/>
        <v>0x965E</v>
      </c>
      <c r="C75" s="3" t="str">
        <f t="shared" si="14"/>
        <v>0x965F</v>
      </c>
      <c r="D75" s="3">
        <f t="shared" si="15"/>
        <v>38494</v>
      </c>
      <c r="E75" s="3">
        <f t="shared" si="16"/>
        <v>38495</v>
      </c>
      <c r="F75" s="4" t="s">
        <v>3104</v>
      </c>
      <c r="G75" s="3" t="s">
        <v>541</v>
      </c>
      <c r="H75" s="3" t="s">
        <v>427</v>
      </c>
      <c r="I75" s="3">
        <v>2</v>
      </c>
    </row>
    <row r="76" spans="2:9" s="3" customFormat="1" ht="12.75">
      <c r="B76" s="3" t="str">
        <f t="shared" si="14"/>
        <v>0x9660</v>
      </c>
      <c r="C76" s="3" t="str">
        <f t="shared" si="14"/>
        <v>0x9661</v>
      </c>
      <c r="D76" s="3">
        <f t="shared" si="15"/>
        <v>38496</v>
      </c>
      <c r="E76" s="3">
        <f t="shared" si="16"/>
        <v>38497</v>
      </c>
      <c r="F76" s="4" t="s">
        <v>3105</v>
      </c>
      <c r="G76" s="3" t="s">
        <v>541</v>
      </c>
      <c r="H76" s="3" t="s">
        <v>427</v>
      </c>
      <c r="I76" s="3">
        <v>2</v>
      </c>
    </row>
    <row r="77" spans="2:9" s="3" customFormat="1" ht="12.75">
      <c r="B77" s="3" t="str">
        <f t="shared" si="14"/>
        <v>0x9662</v>
      </c>
      <c r="C77" s="3" t="str">
        <f t="shared" si="14"/>
        <v>0x9663</v>
      </c>
      <c r="D77" s="3">
        <f t="shared" si="15"/>
        <v>38498</v>
      </c>
      <c r="E77" s="3">
        <f t="shared" si="16"/>
        <v>38499</v>
      </c>
      <c r="F77" s="4" t="s">
        <v>3106</v>
      </c>
      <c r="G77" s="3" t="s">
        <v>541</v>
      </c>
      <c r="H77" s="3" t="s">
        <v>427</v>
      </c>
      <c r="I77" s="3">
        <v>2</v>
      </c>
    </row>
    <row r="78" spans="2:9" s="3" customFormat="1" ht="12.75">
      <c r="B78" s="3" t="str">
        <f t="shared" si="14"/>
        <v>0x9664</v>
      </c>
      <c r="C78" s="3" t="str">
        <f t="shared" si="14"/>
        <v>0x9665</v>
      </c>
      <c r="D78" s="3">
        <f t="shared" si="15"/>
        <v>38500</v>
      </c>
      <c r="E78" s="3">
        <f t="shared" si="16"/>
        <v>38501</v>
      </c>
      <c r="F78" s="4" t="s">
        <v>3107</v>
      </c>
      <c r="G78" s="3" t="s">
        <v>541</v>
      </c>
      <c r="H78" s="3" t="s">
        <v>427</v>
      </c>
      <c r="I78" s="3">
        <v>2</v>
      </c>
    </row>
    <row r="79" spans="2:9" s="3" customFormat="1" ht="12.75">
      <c r="B79" s="3" t="str">
        <f t="shared" si="14"/>
        <v>0x9666</v>
      </c>
      <c r="C79" s="3" t="str">
        <f t="shared" si="14"/>
        <v>0x9667</v>
      </c>
      <c r="D79" s="3">
        <f t="shared" si="15"/>
        <v>38502</v>
      </c>
      <c r="E79" s="3">
        <f t="shared" si="16"/>
        <v>38503</v>
      </c>
      <c r="F79" s="4" t="s">
        <v>3108</v>
      </c>
      <c r="G79" s="3" t="s">
        <v>541</v>
      </c>
      <c r="H79" s="3" t="s">
        <v>427</v>
      </c>
      <c r="I79" s="3">
        <v>2</v>
      </c>
    </row>
    <row r="80" spans="2:9" s="3" customFormat="1" ht="12.75">
      <c r="B80" s="3" t="str">
        <f t="shared" si="14"/>
        <v>0x9668</v>
      </c>
      <c r="C80" s="3" t="str">
        <f t="shared" si="14"/>
        <v>0x9669</v>
      </c>
      <c r="D80" s="3">
        <f t="shared" si="15"/>
        <v>38504</v>
      </c>
      <c r="E80" s="3">
        <f t="shared" si="16"/>
        <v>38505</v>
      </c>
      <c r="F80" s="4" t="s">
        <v>3109</v>
      </c>
      <c r="G80" s="3" t="s">
        <v>541</v>
      </c>
      <c r="H80" s="3" t="s">
        <v>427</v>
      </c>
      <c r="I80" s="3">
        <v>2</v>
      </c>
    </row>
    <row r="81" spans="2:9" s="3" customFormat="1" ht="12.75">
      <c r="B81" s="3" t="str">
        <f t="shared" si="14"/>
        <v>0x966A</v>
      </c>
      <c r="C81" s="3" t="str">
        <f t="shared" si="14"/>
        <v>0x966B</v>
      </c>
      <c r="D81" s="3">
        <f t="shared" si="15"/>
        <v>38506</v>
      </c>
      <c r="E81" s="3">
        <f t="shared" si="16"/>
        <v>38507</v>
      </c>
      <c r="F81" s="4" t="s">
        <v>3110</v>
      </c>
      <c r="G81" s="3" t="s">
        <v>541</v>
      </c>
      <c r="H81" s="3" t="s">
        <v>427</v>
      </c>
      <c r="I81" s="3">
        <v>2</v>
      </c>
    </row>
    <row r="82" spans="2:9" s="3" customFormat="1" ht="12.75">
      <c r="B82" s="3" t="str">
        <f t="shared" si="14"/>
        <v>0x966C</v>
      </c>
      <c r="C82" s="3" t="str">
        <f t="shared" si="14"/>
        <v>0x966D</v>
      </c>
      <c r="D82" s="3">
        <f t="shared" si="15"/>
        <v>38508</v>
      </c>
      <c r="E82" s="3">
        <f t="shared" si="16"/>
        <v>38509</v>
      </c>
      <c r="F82" s="4" t="s">
        <v>3111</v>
      </c>
      <c r="G82" s="3" t="s">
        <v>541</v>
      </c>
      <c r="H82" s="3" t="s">
        <v>427</v>
      </c>
      <c r="I82" s="3">
        <v>2</v>
      </c>
    </row>
    <row r="83" spans="2:9" s="3" customFormat="1" ht="12.75">
      <c r="B83" s="3" t="str">
        <f t="shared" ref="B83:B98" si="17">"0x"&amp;DEC2HEX(D83,4)</f>
        <v>0x966E</v>
      </c>
      <c r="C83" s="3" t="str">
        <f t="shared" ref="C83:C122" si="18">"0x"&amp;DEC2HEX(E83,4)</f>
        <v>0x966F</v>
      </c>
      <c r="D83" s="3">
        <f t="shared" ref="D83:D122" si="19">D82+I82</f>
        <v>38510</v>
      </c>
      <c r="E83" s="3">
        <f t="shared" ref="E83:E122" si="20">D83+I83-1</f>
        <v>38511</v>
      </c>
      <c r="F83" s="4" t="s">
        <v>1162</v>
      </c>
      <c r="G83" s="3" t="s">
        <v>541</v>
      </c>
      <c r="H83" s="3" t="s">
        <v>427</v>
      </c>
      <c r="I83" s="3">
        <v>2</v>
      </c>
    </row>
    <row r="84" spans="2:9" s="3" customFormat="1" ht="12.75">
      <c r="B84" s="3" t="str">
        <f t="shared" si="17"/>
        <v>0x9670</v>
      </c>
      <c r="C84" s="3" t="str">
        <f t="shared" si="18"/>
        <v>0x9671</v>
      </c>
      <c r="D84" s="3">
        <f t="shared" si="19"/>
        <v>38512</v>
      </c>
      <c r="E84" s="3">
        <f t="shared" si="20"/>
        <v>38513</v>
      </c>
      <c r="F84" s="4" t="s">
        <v>3119</v>
      </c>
      <c r="G84" s="3" t="s">
        <v>541</v>
      </c>
      <c r="H84" s="3" t="s">
        <v>427</v>
      </c>
      <c r="I84" s="3">
        <v>2</v>
      </c>
    </row>
    <row r="85" spans="2:9" s="3" customFormat="1" ht="12.75">
      <c r="B85" s="3" t="str">
        <f t="shared" si="17"/>
        <v>0x9672</v>
      </c>
      <c r="C85" s="3" t="str">
        <f t="shared" si="18"/>
        <v>0x9673</v>
      </c>
      <c r="D85" s="3">
        <f t="shared" si="19"/>
        <v>38514</v>
      </c>
      <c r="E85" s="3">
        <f t="shared" si="20"/>
        <v>38515</v>
      </c>
      <c r="F85" s="4" t="s">
        <v>3120</v>
      </c>
      <c r="G85" s="3" t="s">
        <v>541</v>
      </c>
      <c r="H85" s="3" t="s">
        <v>427</v>
      </c>
      <c r="I85" s="3">
        <v>2</v>
      </c>
    </row>
    <row r="86" spans="2:9" s="3" customFormat="1" ht="12.75">
      <c r="B86" s="3" t="str">
        <f t="shared" si="17"/>
        <v>0x9674</v>
      </c>
      <c r="C86" s="3" t="str">
        <f t="shared" si="18"/>
        <v>0x9675</v>
      </c>
      <c r="D86" s="3">
        <f t="shared" si="19"/>
        <v>38516</v>
      </c>
      <c r="E86" s="3">
        <f t="shared" si="20"/>
        <v>38517</v>
      </c>
      <c r="F86" s="4" t="s">
        <v>2867</v>
      </c>
      <c r="G86" s="3" t="s">
        <v>541</v>
      </c>
      <c r="H86" s="3" t="s">
        <v>427</v>
      </c>
      <c r="I86" s="3">
        <v>2</v>
      </c>
    </row>
    <row r="87" spans="2:9" s="3" customFormat="1" ht="12.75">
      <c r="B87" s="3" t="str">
        <f t="shared" si="17"/>
        <v>0x9676</v>
      </c>
      <c r="C87" s="3" t="str">
        <f t="shared" si="18"/>
        <v>0x9677</v>
      </c>
      <c r="D87" s="3">
        <f t="shared" si="19"/>
        <v>38518</v>
      </c>
      <c r="E87" s="3">
        <f t="shared" si="20"/>
        <v>38519</v>
      </c>
      <c r="F87" s="4" t="s">
        <v>1165</v>
      </c>
      <c r="G87" s="3" t="s">
        <v>541</v>
      </c>
      <c r="H87" s="3" t="s">
        <v>427</v>
      </c>
      <c r="I87" s="3">
        <v>2</v>
      </c>
    </row>
    <row r="88" spans="2:9" s="3" customFormat="1" ht="12.75">
      <c r="B88" s="3" t="str">
        <f t="shared" si="17"/>
        <v>0x9678</v>
      </c>
      <c r="C88" s="3" t="str">
        <f t="shared" si="18"/>
        <v>0x9679</v>
      </c>
      <c r="D88" s="3">
        <f t="shared" si="19"/>
        <v>38520</v>
      </c>
      <c r="E88" s="3">
        <f t="shared" si="20"/>
        <v>38521</v>
      </c>
      <c r="F88" s="4" t="s">
        <v>3121</v>
      </c>
      <c r="G88" s="3" t="s">
        <v>541</v>
      </c>
      <c r="H88" s="3" t="s">
        <v>427</v>
      </c>
      <c r="I88" s="3">
        <v>2</v>
      </c>
    </row>
    <row r="89" spans="2:9" s="3" customFormat="1" ht="12.75">
      <c r="B89" s="3" t="str">
        <f t="shared" si="17"/>
        <v>0x967A</v>
      </c>
      <c r="C89" s="3" t="str">
        <f t="shared" si="18"/>
        <v>0x967B</v>
      </c>
      <c r="D89" s="3">
        <f t="shared" si="19"/>
        <v>38522</v>
      </c>
      <c r="E89" s="3">
        <f t="shared" si="20"/>
        <v>38523</v>
      </c>
      <c r="F89" s="4" t="s">
        <v>3122</v>
      </c>
      <c r="G89" s="3" t="s">
        <v>541</v>
      </c>
      <c r="H89" s="3" t="s">
        <v>427</v>
      </c>
      <c r="I89" s="3">
        <v>2</v>
      </c>
    </row>
    <row r="90" spans="2:9" s="3" customFormat="1" ht="12.75">
      <c r="B90" s="3" t="str">
        <f t="shared" si="17"/>
        <v>0x967C</v>
      </c>
      <c r="C90" s="3" t="str">
        <f t="shared" si="18"/>
        <v>0x967D</v>
      </c>
      <c r="D90" s="3">
        <f t="shared" si="19"/>
        <v>38524</v>
      </c>
      <c r="E90" s="3">
        <f t="shared" si="20"/>
        <v>38525</v>
      </c>
      <c r="F90" s="4" t="s">
        <v>2867</v>
      </c>
      <c r="G90" s="3" t="s">
        <v>541</v>
      </c>
      <c r="H90" s="3" t="s">
        <v>427</v>
      </c>
      <c r="I90" s="3">
        <v>2</v>
      </c>
    </row>
    <row r="91" spans="2:9" s="3" customFormat="1" ht="12.75">
      <c r="B91" s="3" t="str">
        <f t="shared" si="17"/>
        <v>0x967E</v>
      </c>
      <c r="C91" s="3" t="str">
        <f t="shared" si="18"/>
        <v>0x967F</v>
      </c>
      <c r="D91" s="3">
        <f t="shared" si="19"/>
        <v>38526</v>
      </c>
      <c r="E91" s="3">
        <f t="shared" si="20"/>
        <v>38527</v>
      </c>
      <c r="F91" s="4" t="s">
        <v>1166</v>
      </c>
      <c r="G91" s="3" t="s">
        <v>541</v>
      </c>
      <c r="H91" s="3" t="s">
        <v>427</v>
      </c>
      <c r="I91" s="3">
        <v>2</v>
      </c>
    </row>
    <row r="92" spans="2:9" s="3" customFormat="1" ht="12.75">
      <c r="B92" s="3" t="str">
        <f t="shared" si="17"/>
        <v>0x9680</v>
      </c>
      <c r="C92" s="3" t="str">
        <f t="shared" si="18"/>
        <v>0x9681</v>
      </c>
      <c r="D92" s="3">
        <f t="shared" si="19"/>
        <v>38528</v>
      </c>
      <c r="E92" s="3">
        <f t="shared" si="20"/>
        <v>38529</v>
      </c>
      <c r="F92" s="4" t="s">
        <v>3123</v>
      </c>
      <c r="G92" s="3" t="s">
        <v>541</v>
      </c>
      <c r="H92" s="3" t="s">
        <v>427</v>
      </c>
      <c r="I92" s="3">
        <v>2</v>
      </c>
    </row>
    <row r="93" spans="2:9" s="3" customFormat="1" ht="12.75">
      <c r="B93" s="3" t="str">
        <f t="shared" si="17"/>
        <v>0x9682</v>
      </c>
      <c r="C93" s="3" t="str">
        <f t="shared" si="18"/>
        <v>0x9683</v>
      </c>
      <c r="D93" s="3">
        <f t="shared" si="19"/>
        <v>38530</v>
      </c>
      <c r="E93" s="3">
        <f t="shared" si="20"/>
        <v>38531</v>
      </c>
      <c r="F93" s="4" t="s">
        <v>3124</v>
      </c>
      <c r="G93" s="3" t="s">
        <v>541</v>
      </c>
      <c r="H93" s="3" t="s">
        <v>427</v>
      </c>
      <c r="I93" s="3">
        <v>2</v>
      </c>
    </row>
    <row r="94" spans="2:9" s="3" customFormat="1" ht="12.75">
      <c r="B94" s="3" t="str">
        <f t="shared" si="17"/>
        <v>0x9684</v>
      </c>
      <c r="C94" s="3" t="str">
        <f t="shared" si="18"/>
        <v>0x9685</v>
      </c>
      <c r="D94" s="3">
        <f t="shared" si="19"/>
        <v>38532</v>
      </c>
      <c r="E94" s="3">
        <f t="shared" si="20"/>
        <v>38533</v>
      </c>
      <c r="F94" s="4" t="s">
        <v>2867</v>
      </c>
      <c r="G94" s="3" t="s">
        <v>541</v>
      </c>
      <c r="H94" s="3" t="s">
        <v>427</v>
      </c>
      <c r="I94" s="3">
        <v>2</v>
      </c>
    </row>
    <row r="95" spans="2:9" s="3" customFormat="1" ht="12.75">
      <c r="B95" s="3" t="str">
        <f t="shared" si="17"/>
        <v>0x9686</v>
      </c>
      <c r="C95" s="3" t="str">
        <f t="shared" si="18"/>
        <v>0x9687</v>
      </c>
      <c r="D95" s="3">
        <f t="shared" si="19"/>
        <v>38534</v>
      </c>
      <c r="E95" s="3">
        <f t="shared" si="20"/>
        <v>38535</v>
      </c>
      <c r="F95" s="4" t="s">
        <v>1168</v>
      </c>
      <c r="G95" s="3" t="s">
        <v>541</v>
      </c>
      <c r="H95" s="3" t="s">
        <v>427</v>
      </c>
      <c r="I95" s="3">
        <v>2</v>
      </c>
    </row>
    <row r="96" spans="2:9" s="3" customFormat="1" ht="12.75">
      <c r="B96" s="3" t="str">
        <f t="shared" si="17"/>
        <v>0x9688</v>
      </c>
      <c r="C96" s="3" t="str">
        <f t="shared" si="18"/>
        <v>0x9689</v>
      </c>
      <c r="D96" s="3">
        <f t="shared" si="19"/>
        <v>38536</v>
      </c>
      <c r="E96" s="3">
        <f t="shared" si="20"/>
        <v>38537</v>
      </c>
      <c r="F96" s="4" t="s">
        <v>3125</v>
      </c>
      <c r="G96" s="3" t="s">
        <v>541</v>
      </c>
      <c r="H96" s="3" t="s">
        <v>427</v>
      </c>
      <c r="I96" s="3">
        <v>2</v>
      </c>
    </row>
    <row r="97" spans="2:9" s="3" customFormat="1" ht="12.75">
      <c r="B97" s="3" t="str">
        <f t="shared" si="17"/>
        <v>0x968A</v>
      </c>
      <c r="C97" s="3" t="str">
        <f t="shared" si="18"/>
        <v>0x968B</v>
      </c>
      <c r="D97" s="3">
        <f t="shared" si="19"/>
        <v>38538</v>
      </c>
      <c r="E97" s="3">
        <f t="shared" si="20"/>
        <v>38539</v>
      </c>
      <c r="F97" s="4" t="s">
        <v>3126</v>
      </c>
      <c r="G97" s="3" t="s">
        <v>541</v>
      </c>
      <c r="H97" s="3" t="s">
        <v>427</v>
      </c>
      <c r="I97" s="3">
        <v>2</v>
      </c>
    </row>
    <row r="98" spans="2:9" s="3" customFormat="1" ht="12.75">
      <c r="B98" s="3" t="str">
        <f t="shared" si="17"/>
        <v>0x968C</v>
      </c>
      <c r="C98" s="3" t="str">
        <f t="shared" si="18"/>
        <v>0x968D</v>
      </c>
      <c r="D98" s="3">
        <f t="shared" si="19"/>
        <v>38540</v>
      </c>
      <c r="E98" s="3">
        <f t="shared" si="20"/>
        <v>38541</v>
      </c>
      <c r="F98" s="4" t="s">
        <v>2867</v>
      </c>
      <c r="G98" s="3" t="s">
        <v>541</v>
      </c>
      <c r="H98" s="3" t="s">
        <v>427</v>
      </c>
      <c r="I98" s="3">
        <v>2</v>
      </c>
    </row>
    <row r="99" spans="2:9" s="3" customFormat="1" ht="12.75">
      <c r="B99" s="3" t="str">
        <f t="shared" ref="B99:B106" si="21">"0x"&amp;DEC2HEX(D99,4)</f>
        <v>0x968E</v>
      </c>
      <c r="C99" s="3" t="str">
        <f t="shared" si="18"/>
        <v>0x968F</v>
      </c>
      <c r="D99" s="3">
        <f t="shared" si="19"/>
        <v>38542</v>
      </c>
      <c r="E99" s="3">
        <f t="shared" si="20"/>
        <v>38543</v>
      </c>
      <c r="F99" s="4" t="s">
        <v>1169</v>
      </c>
      <c r="G99" s="3" t="s">
        <v>541</v>
      </c>
      <c r="H99" s="3" t="s">
        <v>427</v>
      </c>
      <c r="I99" s="3">
        <v>2</v>
      </c>
    </row>
    <row r="100" spans="2:9" s="3" customFormat="1" ht="12.75">
      <c r="B100" s="3" t="str">
        <f t="shared" si="21"/>
        <v>0x9690</v>
      </c>
      <c r="C100" s="3" t="str">
        <f t="shared" si="18"/>
        <v>0x9691</v>
      </c>
      <c r="D100" s="3">
        <f t="shared" si="19"/>
        <v>38544</v>
      </c>
      <c r="E100" s="3">
        <f t="shared" si="20"/>
        <v>38545</v>
      </c>
      <c r="F100" s="4" t="s">
        <v>3127</v>
      </c>
      <c r="G100" s="3" t="s">
        <v>541</v>
      </c>
      <c r="H100" s="3" t="s">
        <v>427</v>
      </c>
      <c r="I100" s="3">
        <v>2</v>
      </c>
    </row>
    <row r="101" spans="2:9" s="3" customFormat="1" ht="12.75">
      <c r="B101" s="3" t="str">
        <f t="shared" si="21"/>
        <v>0x9692</v>
      </c>
      <c r="C101" s="3" t="str">
        <f t="shared" si="18"/>
        <v>0x9693</v>
      </c>
      <c r="D101" s="3">
        <f t="shared" si="19"/>
        <v>38546</v>
      </c>
      <c r="E101" s="3">
        <f t="shared" si="20"/>
        <v>38547</v>
      </c>
      <c r="F101" s="4" t="s">
        <v>3128</v>
      </c>
      <c r="G101" s="3" t="s">
        <v>541</v>
      </c>
      <c r="H101" s="3" t="s">
        <v>427</v>
      </c>
      <c r="I101" s="3">
        <v>2</v>
      </c>
    </row>
    <row r="102" spans="2:9" s="3" customFormat="1" ht="12.75">
      <c r="B102" s="3" t="str">
        <f t="shared" si="21"/>
        <v>0x9694</v>
      </c>
      <c r="C102" s="3" t="str">
        <f t="shared" si="18"/>
        <v>0x9695</v>
      </c>
      <c r="D102" s="3">
        <f t="shared" si="19"/>
        <v>38548</v>
      </c>
      <c r="E102" s="3">
        <f t="shared" si="20"/>
        <v>38549</v>
      </c>
      <c r="F102" s="4" t="s">
        <v>2867</v>
      </c>
      <c r="G102" s="3" t="s">
        <v>541</v>
      </c>
      <c r="H102" s="3" t="s">
        <v>427</v>
      </c>
      <c r="I102" s="3">
        <v>2</v>
      </c>
    </row>
    <row r="103" spans="2:9" s="3" customFormat="1" ht="12.75">
      <c r="B103" s="3" t="str">
        <f t="shared" si="21"/>
        <v>0x9696</v>
      </c>
      <c r="C103" s="3" t="str">
        <f t="shared" si="18"/>
        <v>0x9697</v>
      </c>
      <c r="D103" s="3">
        <f t="shared" si="19"/>
        <v>38550</v>
      </c>
      <c r="E103" s="3">
        <f t="shared" si="20"/>
        <v>38551</v>
      </c>
      <c r="F103" s="4" t="s">
        <v>1170</v>
      </c>
      <c r="G103" s="3" t="s">
        <v>541</v>
      </c>
      <c r="H103" s="3" t="s">
        <v>427</v>
      </c>
      <c r="I103" s="3">
        <v>2</v>
      </c>
    </row>
    <row r="104" spans="2:9" s="3" customFormat="1" ht="12.75">
      <c r="B104" s="3" t="str">
        <f t="shared" si="21"/>
        <v>0x9698</v>
      </c>
      <c r="C104" s="3" t="str">
        <f t="shared" si="18"/>
        <v>0x9699</v>
      </c>
      <c r="D104" s="3">
        <f t="shared" si="19"/>
        <v>38552</v>
      </c>
      <c r="E104" s="3">
        <f t="shared" si="20"/>
        <v>38553</v>
      </c>
      <c r="F104" s="4" t="s">
        <v>3129</v>
      </c>
      <c r="G104" s="3" t="s">
        <v>541</v>
      </c>
      <c r="H104" s="3" t="s">
        <v>427</v>
      </c>
      <c r="I104" s="3">
        <v>2</v>
      </c>
    </row>
    <row r="105" spans="2:9" s="3" customFormat="1" ht="12.75">
      <c r="B105" s="3" t="str">
        <f t="shared" si="21"/>
        <v>0x969A</v>
      </c>
      <c r="C105" s="3" t="str">
        <f t="shared" si="18"/>
        <v>0x969B</v>
      </c>
      <c r="D105" s="3">
        <f t="shared" si="19"/>
        <v>38554</v>
      </c>
      <c r="E105" s="3">
        <f t="shared" si="20"/>
        <v>38555</v>
      </c>
      <c r="F105" s="4" t="s">
        <v>3130</v>
      </c>
      <c r="G105" s="3" t="s">
        <v>541</v>
      </c>
      <c r="H105" s="3" t="s">
        <v>427</v>
      </c>
      <c r="I105" s="3">
        <v>2</v>
      </c>
    </row>
    <row r="106" spans="2:9" s="3" customFormat="1" ht="12.75">
      <c r="B106" s="3" t="str">
        <f t="shared" si="21"/>
        <v>0x969C</v>
      </c>
      <c r="C106" s="3" t="str">
        <f t="shared" si="18"/>
        <v>0x969D</v>
      </c>
      <c r="D106" s="3">
        <f t="shared" si="19"/>
        <v>38556</v>
      </c>
      <c r="E106" s="3">
        <f t="shared" si="20"/>
        <v>38557</v>
      </c>
      <c r="F106" s="4" t="s">
        <v>2867</v>
      </c>
      <c r="G106" s="3" t="s">
        <v>541</v>
      </c>
      <c r="H106" s="3" t="s">
        <v>427</v>
      </c>
      <c r="I106" s="3">
        <v>2</v>
      </c>
    </row>
    <row r="107" spans="2:9" s="3" customFormat="1" ht="12.75">
      <c r="B107" s="3" t="str">
        <f>"0x"&amp;DEC2HEX(D107,4)</f>
        <v>0x969E</v>
      </c>
      <c r="C107" s="3" t="str">
        <f t="shared" si="18"/>
        <v>0x969F</v>
      </c>
      <c r="D107" s="3">
        <f t="shared" si="19"/>
        <v>38558</v>
      </c>
      <c r="E107" s="3">
        <f t="shared" si="20"/>
        <v>38559</v>
      </c>
      <c r="F107" s="4" t="s">
        <v>3131</v>
      </c>
      <c r="G107" s="3" t="s">
        <v>541</v>
      </c>
      <c r="H107" s="3" t="s">
        <v>427</v>
      </c>
      <c r="I107" s="3">
        <v>2</v>
      </c>
    </row>
    <row r="108" spans="2:9" s="3" customFormat="1" ht="12.75">
      <c r="B108" s="3" t="str">
        <f>"0x"&amp;DEC2HEX(D108,4)</f>
        <v>0x96A0</v>
      </c>
      <c r="C108" s="3" t="str">
        <f t="shared" si="18"/>
        <v>0x96A1</v>
      </c>
      <c r="D108" s="3">
        <f t="shared" si="19"/>
        <v>38560</v>
      </c>
      <c r="E108" s="3">
        <f t="shared" si="20"/>
        <v>38561</v>
      </c>
      <c r="F108" s="4" t="s">
        <v>3235</v>
      </c>
      <c r="G108" s="3" t="s">
        <v>541</v>
      </c>
      <c r="H108" s="3" t="s">
        <v>427</v>
      </c>
      <c r="I108" s="3">
        <v>2</v>
      </c>
    </row>
    <row r="109" spans="2:9" s="3" customFormat="1" ht="12.75">
      <c r="B109" s="3" t="str">
        <f t="shared" ref="B109:B122" si="22">"0x"&amp;DEC2HEX(D109,4)</f>
        <v>0x96A2</v>
      </c>
      <c r="C109" s="3" t="str">
        <f t="shared" si="18"/>
        <v>0x96A3</v>
      </c>
      <c r="D109" s="3">
        <f t="shared" si="19"/>
        <v>38562</v>
      </c>
      <c r="E109" s="3">
        <f t="shared" si="20"/>
        <v>38563</v>
      </c>
      <c r="F109" s="86" t="s">
        <v>3132</v>
      </c>
      <c r="G109" s="3" t="s">
        <v>541</v>
      </c>
      <c r="H109" s="3" t="s">
        <v>427</v>
      </c>
      <c r="I109" s="3">
        <v>2</v>
      </c>
    </row>
    <row r="110" spans="2:9" s="3" customFormat="1" ht="12.75">
      <c r="B110" s="3" t="str">
        <f t="shared" si="22"/>
        <v>0x96A4</v>
      </c>
      <c r="C110" s="3" t="str">
        <f t="shared" si="18"/>
        <v>0x96A5</v>
      </c>
      <c r="D110" s="3">
        <f t="shared" si="19"/>
        <v>38564</v>
      </c>
      <c r="E110" s="3">
        <f t="shared" si="20"/>
        <v>38565</v>
      </c>
      <c r="F110" s="86" t="s">
        <v>3133</v>
      </c>
      <c r="G110" s="3" t="s">
        <v>541</v>
      </c>
      <c r="H110" s="3" t="s">
        <v>427</v>
      </c>
      <c r="I110" s="3">
        <v>2</v>
      </c>
    </row>
    <row r="111" spans="2:9" s="3" customFormat="1" ht="12.75">
      <c r="B111" s="3" t="str">
        <f t="shared" si="22"/>
        <v>0x96A6</v>
      </c>
      <c r="C111" s="3" t="str">
        <f t="shared" si="18"/>
        <v>0x96A7</v>
      </c>
      <c r="D111" s="3">
        <f t="shared" si="19"/>
        <v>38566</v>
      </c>
      <c r="E111" s="3">
        <f t="shared" si="20"/>
        <v>38567</v>
      </c>
      <c r="F111" s="4" t="s">
        <v>3134</v>
      </c>
      <c r="G111" s="3" t="s">
        <v>541</v>
      </c>
      <c r="H111" s="3" t="s">
        <v>427</v>
      </c>
      <c r="I111" s="3">
        <v>2</v>
      </c>
    </row>
    <row r="112" spans="2:9" s="3" customFormat="1" ht="12.75">
      <c r="B112" s="3" t="str">
        <f t="shared" si="22"/>
        <v>0x96A8</v>
      </c>
      <c r="C112" s="3" t="str">
        <f t="shared" si="18"/>
        <v>0x96A9</v>
      </c>
      <c r="D112" s="3">
        <f t="shared" si="19"/>
        <v>38568</v>
      </c>
      <c r="E112" s="3">
        <f t="shared" si="20"/>
        <v>38569</v>
      </c>
      <c r="F112" s="4" t="s">
        <v>3135</v>
      </c>
      <c r="G112" s="3" t="s">
        <v>541</v>
      </c>
      <c r="H112" s="3" t="s">
        <v>427</v>
      </c>
      <c r="I112" s="3">
        <v>2</v>
      </c>
    </row>
    <row r="113" spans="1:9" s="3" customFormat="1" ht="12.75">
      <c r="B113" s="3" t="str">
        <f t="shared" si="22"/>
        <v>0x96AA</v>
      </c>
      <c r="C113" s="3" t="str">
        <f t="shared" si="18"/>
        <v>0x96AB</v>
      </c>
      <c r="D113" s="3">
        <f t="shared" si="19"/>
        <v>38570</v>
      </c>
      <c r="E113" s="3">
        <f t="shared" si="20"/>
        <v>38571</v>
      </c>
      <c r="F113" s="4" t="s">
        <v>3136</v>
      </c>
      <c r="G113" s="3" t="s">
        <v>541</v>
      </c>
      <c r="H113" s="3" t="s">
        <v>427</v>
      </c>
      <c r="I113" s="3">
        <v>2</v>
      </c>
    </row>
    <row r="114" spans="1:9" s="3" customFormat="1" ht="12.75">
      <c r="B114" s="3" t="str">
        <f t="shared" si="22"/>
        <v>0x96AC</v>
      </c>
      <c r="C114" s="3" t="str">
        <f t="shared" si="18"/>
        <v>0x96AD</v>
      </c>
      <c r="D114" s="3">
        <f t="shared" si="19"/>
        <v>38572</v>
      </c>
      <c r="E114" s="3">
        <f t="shared" si="20"/>
        <v>38573</v>
      </c>
      <c r="F114" s="4" t="s">
        <v>3137</v>
      </c>
      <c r="G114" s="3" t="s">
        <v>541</v>
      </c>
      <c r="H114" s="3" t="s">
        <v>427</v>
      </c>
      <c r="I114" s="3">
        <v>2</v>
      </c>
    </row>
    <row r="115" spans="1:9" s="3" customFormat="1" ht="12.75">
      <c r="B115" s="3" t="str">
        <f t="shared" ref="B115" si="23">"0x"&amp;DEC2HEX(D115,4)</f>
        <v>0x96AE</v>
      </c>
      <c r="C115" s="3" t="str">
        <f t="shared" si="18"/>
        <v>0x96AF</v>
      </c>
      <c r="D115" s="3">
        <f t="shared" si="19"/>
        <v>38574</v>
      </c>
      <c r="E115" s="3">
        <f t="shared" si="20"/>
        <v>38575</v>
      </c>
      <c r="F115" s="4" t="s">
        <v>3138</v>
      </c>
      <c r="G115" s="3" t="s">
        <v>541</v>
      </c>
      <c r="H115" s="3" t="s">
        <v>427</v>
      </c>
      <c r="I115" s="3">
        <v>2</v>
      </c>
    </row>
    <row r="116" spans="1:9" s="3" customFormat="1" ht="12.75">
      <c r="B116" s="3" t="str">
        <f t="shared" si="22"/>
        <v>0x96B0</v>
      </c>
      <c r="C116" s="3" t="str">
        <f t="shared" si="18"/>
        <v>0x96B1</v>
      </c>
      <c r="D116" s="3">
        <f t="shared" si="19"/>
        <v>38576</v>
      </c>
      <c r="E116" s="3">
        <f t="shared" si="20"/>
        <v>38577</v>
      </c>
      <c r="F116" s="4" t="s">
        <v>3236</v>
      </c>
      <c r="G116" s="3" t="s">
        <v>541</v>
      </c>
      <c r="H116" s="3" t="s">
        <v>427</v>
      </c>
      <c r="I116" s="3">
        <v>2</v>
      </c>
    </row>
    <row r="117" spans="1:9" s="3" customFormat="1" ht="12.75">
      <c r="B117" s="3" t="str">
        <f t="shared" si="22"/>
        <v>0x96B2</v>
      </c>
      <c r="C117" s="3" t="str">
        <f t="shared" si="18"/>
        <v>0x96B3</v>
      </c>
      <c r="D117" s="3">
        <f t="shared" si="19"/>
        <v>38578</v>
      </c>
      <c r="E117" s="3">
        <f t="shared" si="20"/>
        <v>38579</v>
      </c>
      <c r="F117" s="86" t="s">
        <v>3139</v>
      </c>
      <c r="G117" s="3" t="s">
        <v>541</v>
      </c>
      <c r="H117" s="3" t="s">
        <v>427</v>
      </c>
      <c r="I117" s="3">
        <v>2</v>
      </c>
    </row>
    <row r="118" spans="1:9" s="3" customFormat="1" ht="12.75">
      <c r="B118" s="3" t="str">
        <f t="shared" si="22"/>
        <v>0x96B4</v>
      </c>
      <c r="C118" s="3" t="str">
        <f t="shared" si="18"/>
        <v>0x96B5</v>
      </c>
      <c r="D118" s="3">
        <f t="shared" si="19"/>
        <v>38580</v>
      </c>
      <c r="E118" s="3">
        <f t="shared" si="20"/>
        <v>38581</v>
      </c>
      <c r="F118" s="86" t="s">
        <v>3140</v>
      </c>
      <c r="G118" s="3" t="s">
        <v>541</v>
      </c>
      <c r="H118" s="3" t="s">
        <v>427</v>
      </c>
      <c r="I118" s="3">
        <v>2</v>
      </c>
    </row>
    <row r="119" spans="1:9" s="3" customFormat="1" ht="12.75">
      <c r="B119" s="3" t="str">
        <f t="shared" si="22"/>
        <v>0x96B6</v>
      </c>
      <c r="C119" s="3" t="str">
        <f t="shared" si="18"/>
        <v>0x96B7</v>
      </c>
      <c r="D119" s="3">
        <f t="shared" si="19"/>
        <v>38582</v>
      </c>
      <c r="E119" s="3">
        <f t="shared" si="20"/>
        <v>38583</v>
      </c>
      <c r="F119" s="4" t="s">
        <v>3141</v>
      </c>
      <c r="G119" s="3" t="s">
        <v>541</v>
      </c>
      <c r="H119" s="3" t="s">
        <v>427</v>
      </c>
      <c r="I119" s="3">
        <v>2</v>
      </c>
    </row>
    <row r="120" spans="1:9" s="3" customFormat="1" ht="12.75">
      <c r="B120" s="3" t="str">
        <f t="shared" si="22"/>
        <v>0x96B8</v>
      </c>
      <c r="C120" s="3" t="str">
        <f t="shared" si="18"/>
        <v>0x96B9</v>
      </c>
      <c r="D120" s="3">
        <f t="shared" si="19"/>
        <v>38584</v>
      </c>
      <c r="E120" s="3">
        <f t="shared" si="20"/>
        <v>38585</v>
      </c>
      <c r="F120" s="4" t="s">
        <v>3142</v>
      </c>
      <c r="G120" s="3" t="s">
        <v>541</v>
      </c>
      <c r="H120" s="3" t="s">
        <v>427</v>
      </c>
      <c r="I120" s="3">
        <v>2</v>
      </c>
    </row>
    <row r="121" spans="1:9" s="3" customFormat="1" ht="12.75">
      <c r="B121" s="3" t="str">
        <f t="shared" si="22"/>
        <v>0x96BA</v>
      </c>
      <c r="C121" s="3" t="str">
        <f t="shared" si="18"/>
        <v>0x96BB</v>
      </c>
      <c r="D121" s="3">
        <f t="shared" si="19"/>
        <v>38586</v>
      </c>
      <c r="E121" s="3">
        <f t="shared" si="20"/>
        <v>38587</v>
      </c>
      <c r="F121" s="4" t="s">
        <v>3143</v>
      </c>
      <c r="G121" s="3" t="s">
        <v>541</v>
      </c>
      <c r="H121" s="3" t="s">
        <v>427</v>
      </c>
      <c r="I121" s="3">
        <v>2</v>
      </c>
    </row>
    <row r="122" spans="1:9" s="3" customFormat="1" ht="12.75">
      <c r="B122" s="3" t="str">
        <f t="shared" si="22"/>
        <v>0x96BC</v>
      </c>
      <c r="C122" s="3" t="str">
        <f t="shared" si="18"/>
        <v>0x96BD</v>
      </c>
      <c r="D122" s="3">
        <f t="shared" si="19"/>
        <v>38588</v>
      </c>
      <c r="E122" s="3">
        <f t="shared" si="20"/>
        <v>38589</v>
      </c>
      <c r="F122" s="4" t="s">
        <v>3144</v>
      </c>
      <c r="G122" s="3" t="s">
        <v>541</v>
      </c>
      <c r="H122" s="3" t="s">
        <v>427</v>
      </c>
      <c r="I122" s="3">
        <v>2</v>
      </c>
    </row>
    <row r="123" spans="1:9" s="3" customFormat="1" ht="12.75">
      <c r="F123" s="4"/>
      <c r="I123" s="3">
        <f>SUM(I64:I122)</f>
        <v>119</v>
      </c>
    </row>
    <row r="124" spans="1:9" s="72" customFormat="1" ht="12.75">
      <c r="A124" s="72" t="s">
        <v>3146</v>
      </c>
    </row>
    <row r="125" spans="1:9" s="3" customFormat="1" ht="12.75">
      <c r="B125" s="3" t="str">
        <f t="shared" ref="B125:C143" si="24">"0x"&amp;DEC2HEX(D125,4)</f>
        <v>0x96DE</v>
      </c>
      <c r="C125" s="3" t="str">
        <f>"0x"&amp;DEC2HEX(E125,4)</f>
        <v>0x96E1</v>
      </c>
      <c r="D125" s="3">
        <v>38622</v>
      </c>
      <c r="E125" s="3">
        <f>D125+I125-1</f>
        <v>38625</v>
      </c>
      <c r="F125" s="4" t="s">
        <v>3093</v>
      </c>
      <c r="G125" s="3" t="s">
        <v>3094</v>
      </c>
      <c r="H125" s="3" t="s">
        <v>427</v>
      </c>
      <c r="I125" s="3">
        <v>4</v>
      </c>
    </row>
    <row r="126" spans="1:9" s="3" customFormat="1" ht="12.75">
      <c r="B126" s="3" t="str">
        <f t="shared" si="24"/>
        <v>0x96E2</v>
      </c>
      <c r="C126" s="3" t="str">
        <f>"0x"&amp;DEC2HEX(E126,4)</f>
        <v>0x96E5</v>
      </c>
      <c r="D126" s="3">
        <f t="shared" ref="D126:D129" si="25">D125+I125</f>
        <v>38626</v>
      </c>
      <c r="E126" s="3">
        <f>D126+I126-1</f>
        <v>38629</v>
      </c>
      <c r="F126" s="4" t="s">
        <v>3095</v>
      </c>
      <c r="G126" s="3" t="s">
        <v>3094</v>
      </c>
      <c r="H126" s="3" t="s">
        <v>427</v>
      </c>
      <c r="I126" s="3">
        <v>4</v>
      </c>
    </row>
    <row r="127" spans="1:9" s="3" customFormat="1" ht="12.75">
      <c r="B127" s="3" t="str">
        <f t="shared" si="24"/>
        <v>0x96E6</v>
      </c>
      <c r="D127" s="3">
        <f t="shared" si="25"/>
        <v>38630</v>
      </c>
      <c r="F127" s="4" t="s">
        <v>3096</v>
      </c>
      <c r="G127" s="3" t="s">
        <v>802</v>
      </c>
      <c r="H127" s="3" t="s">
        <v>427</v>
      </c>
      <c r="I127" s="3">
        <v>1</v>
      </c>
    </row>
    <row r="128" spans="1:9" s="3" customFormat="1" ht="12.75">
      <c r="B128" s="3" t="str">
        <f t="shared" si="24"/>
        <v>0x96E7</v>
      </c>
      <c r="D128" s="3">
        <f t="shared" si="25"/>
        <v>38631</v>
      </c>
      <c r="F128" s="4" t="s">
        <v>3097</v>
      </c>
      <c r="G128" s="3" t="s">
        <v>802</v>
      </c>
      <c r="H128" s="3" t="s">
        <v>427</v>
      </c>
      <c r="I128" s="3">
        <v>1</v>
      </c>
    </row>
    <row r="129" spans="2:9" s="3" customFormat="1" ht="12.75">
      <c r="B129" s="3" t="str">
        <f t="shared" si="24"/>
        <v>0x96E8</v>
      </c>
      <c r="D129" s="3">
        <f t="shared" si="25"/>
        <v>38632</v>
      </c>
      <c r="F129" s="4" t="s">
        <v>3147</v>
      </c>
      <c r="G129" s="3" t="s">
        <v>802</v>
      </c>
      <c r="H129" s="3" t="s">
        <v>427</v>
      </c>
      <c r="I129" s="3">
        <v>1</v>
      </c>
    </row>
    <row r="130" spans="2:9" s="3" customFormat="1" ht="12.75">
      <c r="B130" s="3" t="str">
        <f t="shared" si="24"/>
        <v>0x96E9</v>
      </c>
      <c r="C130" s="3" t="str">
        <f>"0x"&amp;DEC2HEX(E130,4)</f>
        <v>0x96EA</v>
      </c>
      <c r="D130" s="3">
        <f t="shared" ref="D130:D143" si="26">D129+I129</f>
        <v>38633</v>
      </c>
      <c r="E130" s="3">
        <f t="shared" ref="E130:E143" si="27">D130+I130-1</f>
        <v>38634</v>
      </c>
      <c r="F130" s="4" t="s">
        <v>2680</v>
      </c>
      <c r="G130" s="3" t="s">
        <v>1157</v>
      </c>
      <c r="H130" s="3" t="s">
        <v>427</v>
      </c>
      <c r="I130" s="3">
        <v>2</v>
      </c>
    </row>
    <row r="131" spans="2:9" s="3" customFormat="1" ht="12.75">
      <c r="B131" s="3" t="str">
        <f t="shared" si="24"/>
        <v>0x96EB</v>
      </c>
      <c r="C131" s="3" t="str">
        <f>"0x"&amp;DEC2HEX(E131,4)</f>
        <v>0x96EC</v>
      </c>
      <c r="D131" s="3">
        <f t="shared" si="26"/>
        <v>38635</v>
      </c>
      <c r="E131" s="3">
        <f t="shared" si="27"/>
        <v>38636</v>
      </c>
      <c r="F131" s="4" t="s">
        <v>3099</v>
      </c>
      <c r="G131" s="3" t="s">
        <v>541</v>
      </c>
      <c r="H131" s="3" t="s">
        <v>427</v>
      </c>
      <c r="I131" s="3">
        <v>2</v>
      </c>
    </row>
    <row r="132" spans="2:9" s="3" customFormat="1" ht="12.75">
      <c r="B132" s="3" t="str">
        <f t="shared" si="24"/>
        <v>0x96ED</v>
      </c>
      <c r="C132" s="3" t="str">
        <f>"0x"&amp;DEC2HEX(E132,4)</f>
        <v>0x96EE</v>
      </c>
      <c r="D132" s="3">
        <f t="shared" si="26"/>
        <v>38637</v>
      </c>
      <c r="E132" s="3">
        <f t="shared" si="27"/>
        <v>38638</v>
      </c>
      <c r="F132" s="4" t="s">
        <v>3100</v>
      </c>
      <c r="G132" s="3" t="s">
        <v>541</v>
      </c>
      <c r="H132" s="3" t="s">
        <v>427</v>
      </c>
      <c r="I132" s="3">
        <v>2</v>
      </c>
    </row>
    <row r="133" spans="2:9" s="3" customFormat="1" ht="12.75">
      <c r="B133" s="3" t="str">
        <f t="shared" si="24"/>
        <v>0x96EF</v>
      </c>
      <c r="C133" s="3" t="str">
        <f>"0x"&amp;DEC2HEX(E133,4)</f>
        <v>0x96F0</v>
      </c>
      <c r="D133" s="3">
        <f t="shared" si="26"/>
        <v>38639</v>
      </c>
      <c r="E133" s="3">
        <f t="shared" si="27"/>
        <v>38640</v>
      </c>
      <c r="F133" s="4" t="s">
        <v>3101</v>
      </c>
      <c r="G133" s="3" t="s">
        <v>541</v>
      </c>
      <c r="H133" s="3" t="s">
        <v>427</v>
      </c>
      <c r="I133" s="3">
        <v>2</v>
      </c>
    </row>
    <row r="134" spans="2:9" s="3" customFormat="1" ht="12.75">
      <c r="B134" s="3" t="str">
        <f t="shared" si="24"/>
        <v>0x96F1</v>
      </c>
      <c r="C134" s="3" t="str">
        <f t="shared" si="24"/>
        <v>0x96F2</v>
      </c>
      <c r="D134" s="3">
        <f t="shared" si="26"/>
        <v>38641</v>
      </c>
      <c r="E134" s="3">
        <f t="shared" si="27"/>
        <v>38642</v>
      </c>
      <c r="F134" s="4" t="s">
        <v>3102</v>
      </c>
      <c r="G134" s="3" t="s">
        <v>541</v>
      </c>
      <c r="H134" s="3" t="s">
        <v>427</v>
      </c>
      <c r="I134" s="3">
        <v>2</v>
      </c>
    </row>
    <row r="135" spans="2:9" s="3" customFormat="1" ht="12.75">
      <c r="B135" s="3" t="str">
        <f t="shared" si="24"/>
        <v>0x96F3</v>
      </c>
      <c r="C135" s="3" t="str">
        <f t="shared" si="24"/>
        <v>0x96F4</v>
      </c>
      <c r="D135" s="3">
        <f t="shared" si="26"/>
        <v>38643</v>
      </c>
      <c r="E135" s="3">
        <f t="shared" si="27"/>
        <v>38644</v>
      </c>
      <c r="F135" s="4" t="s">
        <v>3103</v>
      </c>
      <c r="G135" s="3" t="s">
        <v>541</v>
      </c>
      <c r="H135" s="3" t="s">
        <v>427</v>
      </c>
      <c r="I135" s="3">
        <v>2</v>
      </c>
    </row>
    <row r="136" spans="2:9" s="3" customFormat="1" ht="12.75">
      <c r="B136" s="3" t="str">
        <f t="shared" si="24"/>
        <v>0x96F5</v>
      </c>
      <c r="C136" s="3" t="str">
        <f t="shared" si="24"/>
        <v>0x96F6</v>
      </c>
      <c r="D136" s="3">
        <f t="shared" si="26"/>
        <v>38645</v>
      </c>
      <c r="E136" s="3">
        <f t="shared" si="27"/>
        <v>38646</v>
      </c>
      <c r="F136" s="4" t="s">
        <v>3104</v>
      </c>
      <c r="G136" s="3" t="s">
        <v>541</v>
      </c>
      <c r="H136" s="3" t="s">
        <v>427</v>
      </c>
      <c r="I136" s="3">
        <v>2</v>
      </c>
    </row>
    <row r="137" spans="2:9" s="3" customFormat="1" ht="12.75">
      <c r="B137" s="3" t="str">
        <f t="shared" si="24"/>
        <v>0x96F7</v>
      </c>
      <c r="C137" s="3" t="str">
        <f t="shared" si="24"/>
        <v>0x96F8</v>
      </c>
      <c r="D137" s="3">
        <f t="shared" si="26"/>
        <v>38647</v>
      </c>
      <c r="E137" s="3">
        <f t="shared" si="27"/>
        <v>38648</v>
      </c>
      <c r="F137" s="4" t="s">
        <v>3105</v>
      </c>
      <c r="G137" s="3" t="s">
        <v>541</v>
      </c>
      <c r="H137" s="3" t="s">
        <v>427</v>
      </c>
      <c r="I137" s="3">
        <v>2</v>
      </c>
    </row>
    <row r="138" spans="2:9" s="3" customFormat="1" ht="12.75">
      <c r="B138" s="3" t="str">
        <f t="shared" si="24"/>
        <v>0x96F9</v>
      </c>
      <c r="C138" s="3" t="str">
        <f t="shared" si="24"/>
        <v>0x96FA</v>
      </c>
      <c r="D138" s="3">
        <f t="shared" si="26"/>
        <v>38649</v>
      </c>
      <c r="E138" s="3">
        <f t="shared" si="27"/>
        <v>38650</v>
      </c>
      <c r="F138" s="4" t="s">
        <v>3106</v>
      </c>
      <c r="G138" s="3" t="s">
        <v>541</v>
      </c>
      <c r="H138" s="3" t="s">
        <v>427</v>
      </c>
      <c r="I138" s="3">
        <v>2</v>
      </c>
    </row>
    <row r="139" spans="2:9" s="3" customFormat="1" ht="12.75">
      <c r="B139" s="3" t="str">
        <f t="shared" si="24"/>
        <v>0x96FB</v>
      </c>
      <c r="C139" s="3" t="str">
        <f t="shared" si="24"/>
        <v>0x96FC</v>
      </c>
      <c r="D139" s="3">
        <f t="shared" si="26"/>
        <v>38651</v>
      </c>
      <c r="E139" s="3">
        <f t="shared" si="27"/>
        <v>38652</v>
      </c>
      <c r="F139" s="4" t="s">
        <v>3107</v>
      </c>
      <c r="G139" s="3" t="s">
        <v>541</v>
      </c>
      <c r="H139" s="3" t="s">
        <v>427</v>
      </c>
      <c r="I139" s="3">
        <v>2</v>
      </c>
    </row>
    <row r="140" spans="2:9" s="3" customFormat="1" ht="12.75">
      <c r="B140" s="3" t="str">
        <f t="shared" si="24"/>
        <v>0x96FD</v>
      </c>
      <c r="C140" s="3" t="str">
        <f t="shared" si="24"/>
        <v>0x96FE</v>
      </c>
      <c r="D140" s="3">
        <f t="shared" si="26"/>
        <v>38653</v>
      </c>
      <c r="E140" s="3">
        <f t="shared" si="27"/>
        <v>38654</v>
      </c>
      <c r="F140" s="4" t="s">
        <v>3108</v>
      </c>
      <c r="G140" s="3" t="s">
        <v>541</v>
      </c>
      <c r="H140" s="3" t="s">
        <v>427</v>
      </c>
      <c r="I140" s="3">
        <v>2</v>
      </c>
    </row>
    <row r="141" spans="2:9" s="3" customFormat="1" ht="12.75">
      <c r="B141" s="3" t="str">
        <f t="shared" si="24"/>
        <v>0x96FF</v>
      </c>
      <c r="C141" s="3" t="str">
        <f t="shared" si="24"/>
        <v>0x9700</v>
      </c>
      <c r="D141" s="3">
        <f t="shared" si="26"/>
        <v>38655</v>
      </c>
      <c r="E141" s="3">
        <f t="shared" si="27"/>
        <v>38656</v>
      </c>
      <c r="F141" s="4" t="s">
        <v>3109</v>
      </c>
      <c r="G141" s="3" t="s">
        <v>541</v>
      </c>
      <c r="H141" s="3" t="s">
        <v>427</v>
      </c>
      <c r="I141" s="3">
        <v>2</v>
      </c>
    </row>
    <row r="142" spans="2:9" s="3" customFormat="1" ht="12.75">
      <c r="B142" s="3" t="str">
        <f t="shared" si="24"/>
        <v>0x9701</v>
      </c>
      <c r="C142" s="3" t="str">
        <f t="shared" si="24"/>
        <v>0x9702</v>
      </c>
      <c r="D142" s="3">
        <f t="shared" si="26"/>
        <v>38657</v>
      </c>
      <c r="E142" s="3">
        <f t="shared" si="27"/>
        <v>38658</v>
      </c>
      <c r="F142" s="4" t="s">
        <v>3110</v>
      </c>
      <c r="G142" s="3" t="s">
        <v>541</v>
      </c>
      <c r="H142" s="3" t="s">
        <v>427</v>
      </c>
      <c r="I142" s="3">
        <v>2</v>
      </c>
    </row>
    <row r="143" spans="2:9" s="3" customFormat="1" ht="12.75">
      <c r="B143" s="3" t="str">
        <f t="shared" si="24"/>
        <v>0x9703</v>
      </c>
      <c r="C143" s="3" t="str">
        <f t="shared" si="24"/>
        <v>0x9704</v>
      </c>
      <c r="D143" s="3">
        <f t="shared" si="26"/>
        <v>38659</v>
      </c>
      <c r="E143" s="3">
        <f t="shared" si="27"/>
        <v>38660</v>
      </c>
      <c r="F143" s="4" t="s">
        <v>3111</v>
      </c>
      <c r="G143" s="3" t="s">
        <v>541</v>
      </c>
      <c r="H143" s="3" t="s">
        <v>427</v>
      </c>
      <c r="I143" s="3">
        <v>2</v>
      </c>
    </row>
    <row r="144" spans="2:9" s="3" customFormat="1" ht="12.75">
      <c r="B144" s="3" t="str">
        <f t="shared" ref="B144:B159" si="28">"0x"&amp;DEC2HEX(D144,4)</f>
        <v>0x9705</v>
      </c>
      <c r="C144" s="3" t="str">
        <f t="shared" ref="C144:C183" si="29">"0x"&amp;DEC2HEX(E144,4)</f>
        <v>0x9706</v>
      </c>
      <c r="D144" s="3">
        <f t="shared" ref="D144:D183" si="30">D143+I143</f>
        <v>38661</v>
      </c>
      <c r="E144" s="3">
        <f t="shared" ref="E144:E183" si="31">D144+I144-1</f>
        <v>38662</v>
      </c>
      <c r="F144" s="4" t="s">
        <v>1162</v>
      </c>
      <c r="G144" s="3" t="s">
        <v>541</v>
      </c>
      <c r="H144" s="3" t="s">
        <v>427</v>
      </c>
      <c r="I144" s="3">
        <v>2</v>
      </c>
    </row>
    <row r="145" spans="2:9" s="3" customFormat="1" ht="12.75">
      <c r="B145" s="3" t="str">
        <f t="shared" si="28"/>
        <v>0x9707</v>
      </c>
      <c r="C145" s="3" t="str">
        <f t="shared" si="29"/>
        <v>0x9708</v>
      </c>
      <c r="D145" s="3">
        <f t="shared" si="30"/>
        <v>38663</v>
      </c>
      <c r="E145" s="3">
        <f t="shared" si="31"/>
        <v>38664</v>
      </c>
      <c r="F145" s="4" t="s">
        <v>3119</v>
      </c>
      <c r="G145" s="3" t="s">
        <v>541</v>
      </c>
      <c r="H145" s="3" t="s">
        <v>427</v>
      </c>
      <c r="I145" s="3">
        <v>2</v>
      </c>
    </row>
    <row r="146" spans="2:9" s="3" customFormat="1" ht="12.75">
      <c r="B146" s="3" t="str">
        <f t="shared" si="28"/>
        <v>0x9709</v>
      </c>
      <c r="C146" s="3" t="str">
        <f t="shared" si="29"/>
        <v>0x970A</v>
      </c>
      <c r="D146" s="3">
        <f t="shared" si="30"/>
        <v>38665</v>
      </c>
      <c r="E146" s="3">
        <f t="shared" si="31"/>
        <v>38666</v>
      </c>
      <c r="F146" s="4" t="s">
        <v>3120</v>
      </c>
      <c r="G146" s="3" t="s">
        <v>541</v>
      </c>
      <c r="H146" s="3" t="s">
        <v>427</v>
      </c>
      <c r="I146" s="3">
        <v>2</v>
      </c>
    </row>
    <row r="147" spans="2:9" s="3" customFormat="1" ht="12.75">
      <c r="B147" s="3" t="str">
        <f t="shared" si="28"/>
        <v>0x970B</v>
      </c>
      <c r="C147" s="3" t="str">
        <f t="shared" si="29"/>
        <v>0x970C</v>
      </c>
      <c r="D147" s="3">
        <f t="shared" si="30"/>
        <v>38667</v>
      </c>
      <c r="E147" s="3">
        <f t="shared" si="31"/>
        <v>38668</v>
      </c>
      <c r="F147" s="4" t="s">
        <v>2867</v>
      </c>
      <c r="G147" s="3" t="s">
        <v>541</v>
      </c>
      <c r="H147" s="3" t="s">
        <v>427</v>
      </c>
      <c r="I147" s="3">
        <v>2</v>
      </c>
    </row>
    <row r="148" spans="2:9" s="3" customFormat="1" ht="12.75">
      <c r="B148" s="3" t="str">
        <f t="shared" si="28"/>
        <v>0x970D</v>
      </c>
      <c r="C148" s="3" t="str">
        <f t="shared" si="29"/>
        <v>0x970E</v>
      </c>
      <c r="D148" s="3">
        <f t="shared" si="30"/>
        <v>38669</v>
      </c>
      <c r="E148" s="3">
        <f t="shared" si="31"/>
        <v>38670</v>
      </c>
      <c r="F148" s="4" t="s">
        <v>1165</v>
      </c>
      <c r="G148" s="3" t="s">
        <v>541</v>
      </c>
      <c r="H148" s="3" t="s">
        <v>427</v>
      </c>
      <c r="I148" s="3">
        <v>2</v>
      </c>
    </row>
    <row r="149" spans="2:9" s="3" customFormat="1" ht="12.75">
      <c r="B149" s="3" t="str">
        <f t="shared" si="28"/>
        <v>0x970F</v>
      </c>
      <c r="C149" s="3" t="str">
        <f t="shared" si="29"/>
        <v>0x9710</v>
      </c>
      <c r="D149" s="3">
        <f t="shared" si="30"/>
        <v>38671</v>
      </c>
      <c r="E149" s="3">
        <f t="shared" si="31"/>
        <v>38672</v>
      </c>
      <c r="F149" s="4" t="s">
        <v>3121</v>
      </c>
      <c r="G149" s="3" t="s">
        <v>541</v>
      </c>
      <c r="H149" s="3" t="s">
        <v>427</v>
      </c>
      <c r="I149" s="3">
        <v>2</v>
      </c>
    </row>
    <row r="150" spans="2:9" s="3" customFormat="1" ht="12.75">
      <c r="B150" s="3" t="str">
        <f t="shared" si="28"/>
        <v>0x9711</v>
      </c>
      <c r="C150" s="3" t="str">
        <f t="shared" si="29"/>
        <v>0x9712</v>
      </c>
      <c r="D150" s="3">
        <f t="shared" si="30"/>
        <v>38673</v>
      </c>
      <c r="E150" s="3">
        <f t="shared" si="31"/>
        <v>38674</v>
      </c>
      <c r="F150" s="4" t="s">
        <v>3122</v>
      </c>
      <c r="G150" s="3" t="s">
        <v>541</v>
      </c>
      <c r="H150" s="3" t="s">
        <v>427</v>
      </c>
      <c r="I150" s="3">
        <v>2</v>
      </c>
    </row>
    <row r="151" spans="2:9" s="3" customFormat="1" ht="12.75">
      <c r="B151" s="3" t="str">
        <f t="shared" si="28"/>
        <v>0x9713</v>
      </c>
      <c r="C151" s="3" t="str">
        <f t="shared" si="29"/>
        <v>0x9714</v>
      </c>
      <c r="D151" s="3">
        <f t="shared" si="30"/>
        <v>38675</v>
      </c>
      <c r="E151" s="3">
        <f t="shared" si="31"/>
        <v>38676</v>
      </c>
      <c r="F151" s="4" t="s">
        <v>2867</v>
      </c>
      <c r="G151" s="3" t="s">
        <v>541</v>
      </c>
      <c r="H151" s="3" t="s">
        <v>427</v>
      </c>
      <c r="I151" s="3">
        <v>2</v>
      </c>
    </row>
    <row r="152" spans="2:9" s="3" customFormat="1" ht="12.75">
      <c r="B152" s="3" t="str">
        <f t="shared" si="28"/>
        <v>0x9715</v>
      </c>
      <c r="C152" s="3" t="str">
        <f t="shared" si="29"/>
        <v>0x9716</v>
      </c>
      <c r="D152" s="3">
        <f t="shared" si="30"/>
        <v>38677</v>
      </c>
      <c r="E152" s="3">
        <f t="shared" si="31"/>
        <v>38678</v>
      </c>
      <c r="F152" s="4" t="s">
        <v>1166</v>
      </c>
      <c r="G152" s="3" t="s">
        <v>541</v>
      </c>
      <c r="H152" s="3" t="s">
        <v>427</v>
      </c>
      <c r="I152" s="3">
        <v>2</v>
      </c>
    </row>
    <row r="153" spans="2:9" s="3" customFormat="1" ht="12.75">
      <c r="B153" s="3" t="str">
        <f t="shared" si="28"/>
        <v>0x9717</v>
      </c>
      <c r="C153" s="3" t="str">
        <f t="shared" si="29"/>
        <v>0x9718</v>
      </c>
      <c r="D153" s="3">
        <f t="shared" si="30"/>
        <v>38679</v>
      </c>
      <c r="E153" s="3">
        <f t="shared" si="31"/>
        <v>38680</v>
      </c>
      <c r="F153" s="4" t="s">
        <v>3123</v>
      </c>
      <c r="G153" s="3" t="s">
        <v>541</v>
      </c>
      <c r="H153" s="3" t="s">
        <v>427</v>
      </c>
      <c r="I153" s="3">
        <v>2</v>
      </c>
    </row>
    <row r="154" spans="2:9" s="3" customFormat="1" ht="12.75">
      <c r="B154" s="3" t="str">
        <f t="shared" si="28"/>
        <v>0x9719</v>
      </c>
      <c r="C154" s="3" t="str">
        <f t="shared" si="29"/>
        <v>0x971A</v>
      </c>
      <c r="D154" s="3">
        <f t="shared" si="30"/>
        <v>38681</v>
      </c>
      <c r="E154" s="3">
        <f t="shared" si="31"/>
        <v>38682</v>
      </c>
      <c r="F154" s="4" t="s">
        <v>3124</v>
      </c>
      <c r="G154" s="3" t="s">
        <v>541</v>
      </c>
      <c r="H154" s="3" t="s">
        <v>427</v>
      </c>
      <c r="I154" s="3">
        <v>2</v>
      </c>
    </row>
    <row r="155" spans="2:9" s="3" customFormat="1" ht="12.75">
      <c r="B155" s="3" t="str">
        <f t="shared" si="28"/>
        <v>0x971B</v>
      </c>
      <c r="C155" s="3" t="str">
        <f t="shared" si="29"/>
        <v>0x971C</v>
      </c>
      <c r="D155" s="3">
        <f t="shared" si="30"/>
        <v>38683</v>
      </c>
      <c r="E155" s="3">
        <f t="shared" si="31"/>
        <v>38684</v>
      </c>
      <c r="F155" s="4" t="s">
        <v>2867</v>
      </c>
      <c r="G155" s="3" t="s">
        <v>541</v>
      </c>
      <c r="H155" s="3" t="s">
        <v>427</v>
      </c>
      <c r="I155" s="3">
        <v>2</v>
      </c>
    </row>
    <row r="156" spans="2:9" s="3" customFormat="1" ht="12.75">
      <c r="B156" s="3" t="str">
        <f t="shared" si="28"/>
        <v>0x971D</v>
      </c>
      <c r="C156" s="3" t="str">
        <f t="shared" si="29"/>
        <v>0x971E</v>
      </c>
      <c r="D156" s="3">
        <f t="shared" si="30"/>
        <v>38685</v>
      </c>
      <c r="E156" s="3">
        <f t="shared" si="31"/>
        <v>38686</v>
      </c>
      <c r="F156" s="4" t="s">
        <v>1168</v>
      </c>
      <c r="G156" s="3" t="s">
        <v>541</v>
      </c>
      <c r="H156" s="3" t="s">
        <v>427</v>
      </c>
      <c r="I156" s="3">
        <v>2</v>
      </c>
    </row>
    <row r="157" spans="2:9" s="3" customFormat="1" ht="12.75">
      <c r="B157" s="3" t="str">
        <f t="shared" si="28"/>
        <v>0x971F</v>
      </c>
      <c r="C157" s="3" t="str">
        <f t="shared" si="29"/>
        <v>0x9720</v>
      </c>
      <c r="D157" s="3">
        <f t="shared" si="30"/>
        <v>38687</v>
      </c>
      <c r="E157" s="3">
        <f t="shared" si="31"/>
        <v>38688</v>
      </c>
      <c r="F157" s="4" t="s">
        <v>3125</v>
      </c>
      <c r="G157" s="3" t="s">
        <v>541</v>
      </c>
      <c r="H157" s="3" t="s">
        <v>427</v>
      </c>
      <c r="I157" s="3">
        <v>2</v>
      </c>
    </row>
    <row r="158" spans="2:9" s="3" customFormat="1" ht="12.75">
      <c r="B158" s="3" t="str">
        <f t="shared" si="28"/>
        <v>0x9721</v>
      </c>
      <c r="C158" s="3" t="str">
        <f t="shared" si="29"/>
        <v>0x9722</v>
      </c>
      <c r="D158" s="3">
        <f t="shared" si="30"/>
        <v>38689</v>
      </c>
      <c r="E158" s="3">
        <f t="shared" si="31"/>
        <v>38690</v>
      </c>
      <c r="F158" s="4" t="s">
        <v>3126</v>
      </c>
      <c r="G158" s="3" t="s">
        <v>541</v>
      </c>
      <c r="H158" s="3" t="s">
        <v>427</v>
      </c>
      <c r="I158" s="3">
        <v>2</v>
      </c>
    </row>
    <row r="159" spans="2:9" s="3" customFormat="1" ht="12.75">
      <c r="B159" s="3" t="str">
        <f t="shared" si="28"/>
        <v>0x9723</v>
      </c>
      <c r="C159" s="3" t="str">
        <f t="shared" si="29"/>
        <v>0x9724</v>
      </c>
      <c r="D159" s="3">
        <f t="shared" si="30"/>
        <v>38691</v>
      </c>
      <c r="E159" s="3">
        <f t="shared" si="31"/>
        <v>38692</v>
      </c>
      <c r="F159" s="4" t="s">
        <v>2867</v>
      </c>
      <c r="G159" s="3" t="s">
        <v>541</v>
      </c>
      <c r="H159" s="3" t="s">
        <v>427</v>
      </c>
      <c r="I159" s="3">
        <v>2</v>
      </c>
    </row>
    <row r="160" spans="2:9" s="3" customFormat="1" ht="12.75">
      <c r="B160" s="3" t="str">
        <f t="shared" ref="B160:B167" si="32">"0x"&amp;DEC2HEX(D160,4)</f>
        <v>0x9725</v>
      </c>
      <c r="C160" s="3" t="str">
        <f t="shared" si="29"/>
        <v>0x9726</v>
      </c>
      <c r="D160" s="3">
        <f t="shared" si="30"/>
        <v>38693</v>
      </c>
      <c r="E160" s="3">
        <f t="shared" si="31"/>
        <v>38694</v>
      </c>
      <c r="F160" s="4" t="s">
        <v>1169</v>
      </c>
      <c r="G160" s="3" t="s">
        <v>541</v>
      </c>
      <c r="H160" s="3" t="s">
        <v>427</v>
      </c>
      <c r="I160" s="3">
        <v>2</v>
      </c>
    </row>
    <row r="161" spans="2:9" s="3" customFormat="1" ht="12.75">
      <c r="B161" s="3" t="str">
        <f t="shared" si="32"/>
        <v>0x9727</v>
      </c>
      <c r="C161" s="3" t="str">
        <f t="shared" si="29"/>
        <v>0x9728</v>
      </c>
      <c r="D161" s="3">
        <f t="shared" si="30"/>
        <v>38695</v>
      </c>
      <c r="E161" s="3">
        <f t="shared" si="31"/>
        <v>38696</v>
      </c>
      <c r="F161" s="4" t="s">
        <v>3127</v>
      </c>
      <c r="G161" s="3" t="s">
        <v>541</v>
      </c>
      <c r="H161" s="3" t="s">
        <v>427</v>
      </c>
      <c r="I161" s="3">
        <v>2</v>
      </c>
    </row>
    <row r="162" spans="2:9" s="3" customFormat="1" ht="12.75">
      <c r="B162" s="3" t="str">
        <f t="shared" si="32"/>
        <v>0x9729</v>
      </c>
      <c r="C162" s="3" t="str">
        <f t="shared" si="29"/>
        <v>0x972A</v>
      </c>
      <c r="D162" s="3">
        <f t="shared" si="30"/>
        <v>38697</v>
      </c>
      <c r="E162" s="3">
        <f t="shared" si="31"/>
        <v>38698</v>
      </c>
      <c r="F162" s="4" t="s">
        <v>3128</v>
      </c>
      <c r="G162" s="3" t="s">
        <v>541</v>
      </c>
      <c r="H162" s="3" t="s">
        <v>427</v>
      </c>
      <c r="I162" s="3">
        <v>2</v>
      </c>
    </row>
    <row r="163" spans="2:9" s="3" customFormat="1" ht="12.75">
      <c r="B163" s="3" t="str">
        <f t="shared" si="32"/>
        <v>0x972B</v>
      </c>
      <c r="C163" s="3" t="str">
        <f t="shared" si="29"/>
        <v>0x972C</v>
      </c>
      <c r="D163" s="3">
        <f t="shared" si="30"/>
        <v>38699</v>
      </c>
      <c r="E163" s="3">
        <f t="shared" si="31"/>
        <v>38700</v>
      </c>
      <c r="F163" s="4" t="s">
        <v>2867</v>
      </c>
      <c r="G163" s="3" t="s">
        <v>541</v>
      </c>
      <c r="H163" s="3" t="s">
        <v>427</v>
      </c>
      <c r="I163" s="3">
        <v>2</v>
      </c>
    </row>
    <row r="164" spans="2:9" s="3" customFormat="1" ht="12.75">
      <c r="B164" s="3" t="str">
        <f t="shared" si="32"/>
        <v>0x972D</v>
      </c>
      <c r="C164" s="3" t="str">
        <f t="shared" si="29"/>
        <v>0x972E</v>
      </c>
      <c r="D164" s="3">
        <f t="shared" si="30"/>
        <v>38701</v>
      </c>
      <c r="E164" s="3">
        <f t="shared" si="31"/>
        <v>38702</v>
      </c>
      <c r="F164" s="4" t="s">
        <v>1170</v>
      </c>
      <c r="G164" s="3" t="s">
        <v>541</v>
      </c>
      <c r="H164" s="3" t="s">
        <v>427</v>
      </c>
      <c r="I164" s="3">
        <v>2</v>
      </c>
    </row>
    <row r="165" spans="2:9" s="3" customFormat="1" ht="12.75">
      <c r="B165" s="3" t="str">
        <f t="shared" si="32"/>
        <v>0x972F</v>
      </c>
      <c r="C165" s="3" t="str">
        <f t="shared" si="29"/>
        <v>0x9730</v>
      </c>
      <c r="D165" s="3">
        <f t="shared" si="30"/>
        <v>38703</v>
      </c>
      <c r="E165" s="3">
        <f t="shared" si="31"/>
        <v>38704</v>
      </c>
      <c r="F165" s="4" t="s">
        <v>3129</v>
      </c>
      <c r="G165" s="3" t="s">
        <v>541</v>
      </c>
      <c r="H165" s="3" t="s">
        <v>427</v>
      </c>
      <c r="I165" s="3">
        <v>2</v>
      </c>
    </row>
    <row r="166" spans="2:9" s="3" customFormat="1" ht="12.75">
      <c r="B166" s="3" t="str">
        <f t="shared" si="32"/>
        <v>0x9731</v>
      </c>
      <c r="C166" s="3" t="str">
        <f t="shared" si="29"/>
        <v>0x9732</v>
      </c>
      <c r="D166" s="3">
        <f t="shared" si="30"/>
        <v>38705</v>
      </c>
      <c r="E166" s="3">
        <f t="shared" si="31"/>
        <v>38706</v>
      </c>
      <c r="F166" s="4" t="s">
        <v>3130</v>
      </c>
      <c r="G166" s="3" t="s">
        <v>541</v>
      </c>
      <c r="H166" s="3" t="s">
        <v>427</v>
      </c>
      <c r="I166" s="3">
        <v>2</v>
      </c>
    </row>
    <row r="167" spans="2:9" s="3" customFormat="1" ht="12.75">
      <c r="B167" s="3" t="str">
        <f t="shared" si="32"/>
        <v>0x9733</v>
      </c>
      <c r="C167" s="3" t="str">
        <f t="shared" si="29"/>
        <v>0x9734</v>
      </c>
      <c r="D167" s="3">
        <f t="shared" si="30"/>
        <v>38707</v>
      </c>
      <c r="E167" s="3">
        <f t="shared" si="31"/>
        <v>38708</v>
      </c>
      <c r="F167" s="4" t="s">
        <v>2867</v>
      </c>
      <c r="G167" s="3" t="s">
        <v>541</v>
      </c>
      <c r="H167" s="3" t="s">
        <v>427</v>
      </c>
      <c r="I167" s="3">
        <v>2</v>
      </c>
    </row>
    <row r="168" spans="2:9" s="3" customFormat="1" ht="12.75">
      <c r="B168" s="3" t="str">
        <f>"0x"&amp;DEC2HEX(D168,4)</f>
        <v>0x9735</v>
      </c>
      <c r="C168" s="3" t="str">
        <f t="shared" si="29"/>
        <v>0x9736</v>
      </c>
      <c r="D168" s="3">
        <f t="shared" si="30"/>
        <v>38709</v>
      </c>
      <c r="E168" s="3">
        <f t="shared" si="31"/>
        <v>38710</v>
      </c>
      <c r="F168" s="4" t="s">
        <v>3131</v>
      </c>
      <c r="G168" s="3" t="s">
        <v>541</v>
      </c>
      <c r="H168" s="3" t="s">
        <v>427</v>
      </c>
      <c r="I168" s="3">
        <v>2</v>
      </c>
    </row>
    <row r="169" spans="2:9" s="3" customFormat="1" ht="12.75">
      <c r="B169" s="3" t="str">
        <f>"0x"&amp;DEC2HEX(D169,4)</f>
        <v>0x9737</v>
      </c>
      <c r="C169" s="3" t="str">
        <f t="shared" si="29"/>
        <v>0x9738</v>
      </c>
      <c r="D169" s="3">
        <f t="shared" si="30"/>
        <v>38711</v>
      </c>
      <c r="E169" s="3">
        <f t="shared" si="31"/>
        <v>38712</v>
      </c>
      <c r="F169" s="4" t="s">
        <v>3235</v>
      </c>
      <c r="G169" s="3" t="s">
        <v>541</v>
      </c>
      <c r="H169" s="3" t="s">
        <v>427</v>
      </c>
      <c r="I169" s="3">
        <v>2</v>
      </c>
    </row>
    <row r="170" spans="2:9" s="3" customFormat="1" ht="12.75">
      <c r="B170" s="3" t="str">
        <f t="shared" ref="B170:B183" si="33">"0x"&amp;DEC2HEX(D170,4)</f>
        <v>0x9739</v>
      </c>
      <c r="C170" s="3" t="str">
        <f t="shared" si="29"/>
        <v>0x973A</v>
      </c>
      <c r="D170" s="3">
        <f t="shared" si="30"/>
        <v>38713</v>
      </c>
      <c r="E170" s="3">
        <f t="shared" si="31"/>
        <v>38714</v>
      </c>
      <c r="F170" s="86" t="s">
        <v>3132</v>
      </c>
      <c r="G170" s="3" t="s">
        <v>541</v>
      </c>
      <c r="H170" s="3" t="s">
        <v>427</v>
      </c>
      <c r="I170" s="3">
        <v>2</v>
      </c>
    </row>
    <row r="171" spans="2:9" s="3" customFormat="1" ht="12.75">
      <c r="B171" s="3" t="str">
        <f t="shared" si="33"/>
        <v>0x973B</v>
      </c>
      <c r="C171" s="3" t="str">
        <f t="shared" si="29"/>
        <v>0x973C</v>
      </c>
      <c r="D171" s="3">
        <f t="shared" si="30"/>
        <v>38715</v>
      </c>
      <c r="E171" s="3">
        <f t="shared" si="31"/>
        <v>38716</v>
      </c>
      <c r="F171" s="86" t="s">
        <v>3133</v>
      </c>
      <c r="G171" s="3" t="s">
        <v>541</v>
      </c>
      <c r="H171" s="3" t="s">
        <v>427</v>
      </c>
      <c r="I171" s="3">
        <v>2</v>
      </c>
    </row>
    <row r="172" spans="2:9" s="3" customFormat="1" ht="12.75">
      <c r="B172" s="3" t="str">
        <f t="shared" si="33"/>
        <v>0x973D</v>
      </c>
      <c r="C172" s="3" t="str">
        <f t="shared" si="29"/>
        <v>0x973E</v>
      </c>
      <c r="D172" s="3">
        <f t="shared" si="30"/>
        <v>38717</v>
      </c>
      <c r="E172" s="3">
        <f t="shared" si="31"/>
        <v>38718</v>
      </c>
      <c r="F172" s="4" t="s">
        <v>3134</v>
      </c>
      <c r="G172" s="3" t="s">
        <v>541</v>
      </c>
      <c r="H172" s="3" t="s">
        <v>427</v>
      </c>
      <c r="I172" s="3">
        <v>2</v>
      </c>
    </row>
    <row r="173" spans="2:9" s="3" customFormat="1" ht="12.75">
      <c r="B173" s="3" t="str">
        <f t="shared" si="33"/>
        <v>0x973F</v>
      </c>
      <c r="C173" s="3" t="str">
        <f t="shared" si="29"/>
        <v>0x9740</v>
      </c>
      <c r="D173" s="3">
        <f t="shared" si="30"/>
        <v>38719</v>
      </c>
      <c r="E173" s="3">
        <f t="shared" si="31"/>
        <v>38720</v>
      </c>
      <c r="F173" s="4" t="s">
        <v>3135</v>
      </c>
      <c r="G173" s="3" t="s">
        <v>541</v>
      </c>
      <c r="H173" s="3" t="s">
        <v>427</v>
      </c>
      <c r="I173" s="3">
        <v>2</v>
      </c>
    </row>
    <row r="174" spans="2:9" s="3" customFormat="1" ht="12.75">
      <c r="B174" s="3" t="str">
        <f t="shared" si="33"/>
        <v>0x9741</v>
      </c>
      <c r="C174" s="3" t="str">
        <f t="shared" si="29"/>
        <v>0x9742</v>
      </c>
      <c r="D174" s="3">
        <f t="shared" si="30"/>
        <v>38721</v>
      </c>
      <c r="E174" s="3">
        <f t="shared" si="31"/>
        <v>38722</v>
      </c>
      <c r="F174" s="4" t="s">
        <v>3136</v>
      </c>
      <c r="G174" s="3" t="s">
        <v>541</v>
      </c>
      <c r="H174" s="3" t="s">
        <v>427</v>
      </c>
      <c r="I174" s="3">
        <v>2</v>
      </c>
    </row>
    <row r="175" spans="2:9" s="3" customFormat="1" ht="12.75">
      <c r="B175" s="3" t="str">
        <f t="shared" si="33"/>
        <v>0x9743</v>
      </c>
      <c r="C175" s="3" t="str">
        <f t="shared" si="29"/>
        <v>0x9744</v>
      </c>
      <c r="D175" s="3">
        <f t="shared" si="30"/>
        <v>38723</v>
      </c>
      <c r="E175" s="3">
        <f t="shared" si="31"/>
        <v>38724</v>
      </c>
      <c r="F175" s="4" t="s">
        <v>3137</v>
      </c>
      <c r="G175" s="3" t="s">
        <v>541</v>
      </c>
      <c r="H175" s="3" t="s">
        <v>427</v>
      </c>
      <c r="I175" s="3">
        <v>2</v>
      </c>
    </row>
    <row r="176" spans="2:9" s="3" customFormat="1" ht="12.75">
      <c r="B176" s="3" t="str">
        <f t="shared" ref="B176" si="34">"0x"&amp;DEC2HEX(D176,4)</f>
        <v>0x9745</v>
      </c>
      <c r="C176" s="3" t="str">
        <f t="shared" si="29"/>
        <v>0x9746</v>
      </c>
      <c r="D176" s="3">
        <f t="shared" si="30"/>
        <v>38725</v>
      </c>
      <c r="E176" s="3">
        <f t="shared" si="31"/>
        <v>38726</v>
      </c>
      <c r="F176" s="4" t="s">
        <v>3138</v>
      </c>
      <c r="G176" s="3" t="s">
        <v>541</v>
      </c>
      <c r="H176" s="3" t="s">
        <v>427</v>
      </c>
      <c r="I176" s="3">
        <v>2</v>
      </c>
    </row>
    <row r="177" spans="1:9" s="3" customFormat="1" ht="12.75">
      <c r="B177" s="3" t="str">
        <f t="shared" si="33"/>
        <v>0x9747</v>
      </c>
      <c r="C177" s="3" t="str">
        <f t="shared" si="29"/>
        <v>0x9748</v>
      </c>
      <c r="D177" s="3">
        <f t="shared" si="30"/>
        <v>38727</v>
      </c>
      <c r="E177" s="3">
        <f t="shared" si="31"/>
        <v>38728</v>
      </c>
      <c r="F177" s="4" t="s">
        <v>3236</v>
      </c>
      <c r="G177" s="3" t="s">
        <v>541</v>
      </c>
      <c r="H177" s="3" t="s">
        <v>427</v>
      </c>
      <c r="I177" s="3">
        <v>2</v>
      </c>
    </row>
    <row r="178" spans="1:9" s="3" customFormat="1" ht="12.75">
      <c r="B178" s="3" t="str">
        <f t="shared" si="33"/>
        <v>0x9749</v>
      </c>
      <c r="C178" s="3" t="str">
        <f t="shared" si="29"/>
        <v>0x974A</v>
      </c>
      <c r="D178" s="3">
        <f t="shared" si="30"/>
        <v>38729</v>
      </c>
      <c r="E178" s="3">
        <f t="shared" si="31"/>
        <v>38730</v>
      </c>
      <c r="F178" s="86" t="s">
        <v>3139</v>
      </c>
      <c r="G178" s="3" t="s">
        <v>541</v>
      </c>
      <c r="H178" s="3" t="s">
        <v>427</v>
      </c>
      <c r="I178" s="3">
        <v>2</v>
      </c>
    </row>
    <row r="179" spans="1:9" s="3" customFormat="1" ht="12.75">
      <c r="B179" s="3" t="str">
        <f t="shared" si="33"/>
        <v>0x974B</v>
      </c>
      <c r="C179" s="3" t="str">
        <f t="shared" si="29"/>
        <v>0x974C</v>
      </c>
      <c r="D179" s="3">
        <f t="shared" si="30"/>
        <v>38731</v>
      </c>
      <c r="E179" s="3">
        <f t="shared" si="31"/>
        <v>38732</v>
      </c>
      <c r="F179" s="86" t="s">
        <v>3140</v>
      </c>
      <c r="G179" s="3" t="s">
        <v>541</v>
      </c>
      <c r="H179" s="3" t="s">
        <v>427</v>
      </c>
      <c r="I179" s="3">
        <v>2</v>
      </c>
    </row>
    <row r="180" spans="1:9" s="3" customFormat="1" ht="12.75">
      <c r="B180" s="3" t="str">
        <f t="shared" si="33"/>
        <v>0x974D</v>
      </c>
      <c r="C180" s="3" t="str">
        <f t="shared" si="29"/>
        <v>0x974E</v>
      </c>
      <c r="D180" s="3">
        <f t="shared" si="30"/>
        <v>38733</v>
      </c>
      <c r="E180" s="3">
        <f t="shared" si="31"/>
        <v>38734</v>
      </c>
      <c r="F180" s="4" t="s">
        <v>3141</v>
      </c>
      <c r="G180" s="3" t="s">
        <v>541</v>
      </c>
      <c r="H180" s="3" t="s">
        <v>427</v>
      </c>
      <c r="I180" s="3">
        <v>2</v>
      </c>
    </row>
    <row r="181" spans="1:9" s="3" customFormat="1" ht="12.75">
      <c r="B181" s="3" t="str">
        <f t="shared" si="33"/>
        <v>0x974F</v>
      </c>
      <c r="C181" s="3" t="str">
        <f t="shared" si="29"/>
        <v>0x9750</v>
      </c>
      <c r="D181" s="3">
        <f t="shared" si="30"/>
        <v>38735</v>
      </c>
      <c r="E181" s="3">
        <f t="shared" si="31"/>
        <v>38736</v>
      </c>
      <c r="F181" s="4" t="s">
        <v>3142</v>
      </c>
      <c r="G181" s="3" t="s">
        <v>541</v>
      </c>
      <c r="H181" s="3" t="s">
        <v>427</v>
      </c>
      <c r="I181" s="3">
        <v>2</v>
      </c>
    </row>
    <row r="182" spans="1:9" s="3" customFormat="1" ht="12.75">
      <c r="B182" s="3" t="str">
        <f t="shared" si="33"/>
        <v>0x9751</v>
      </c>
      <c r="C182" s="3" t="str">
        <f t="shared" si="29"/>
        <v>0x9752</v>
      </c>
      <c r="D182" s="3">
        <f t="shared" si="30"/>
        <v>38737</v>
      </c>
      <c r="E182" s="3">
        <f t="shared" si="31"/>
        <v>38738</v>
      </c>
      <c r="F182" s="4" t="s">
        <v>3143</v>
      </c>
      <c r="G182" s="3" t="s">
        <v>541</v>
      </c>
      <c r="H182" s="3" t="s">
        <v>427</v>
      </c>
      <c r="I182" s="3">
        <v>2</v>
      </c>
    </row>
    <row r="183" spans="1:9" s="3" customFormat="1" ht="12.75">
      <c r="B183" s="3" t="str">
        <f t="shared" si="33"/>
        <v>0x9753</v>
      </c>
      <c r="C183" s="3" t="str">
        <f t="shared" si="29"/>
        <v>0x9754</v>
      </c>
      <c r="D183" s="3">
        <f t="shared" si="30"/>
        <v>38739</v>
      </c>
      <c r="E183" s="3">
        <f t="shared" si="31"/>
        <v>38740</v>
      </c>
      <c r="F183" s="4" t="s">
        <v>3144</v>
      </c>
      <c r="G183" s="3" t="s">
        <v>541</v>
      </c>
      <c r="H183" s="3" t="s">
        <v>427</v>
      </c>
      <c r="I183" s="3">
        <v>2</v>
      </c>
    </row>
    <row r="184" spans="1:9" s="3" customFormat="1" ht="12.75">
      <c r="F184" s="4"/>
      <c r="I184" s="3">
        <f>SUM(I125:I183)</f>
        <v>119</v>
      </c>
    </row>
    <row r="185" spans="1:9" s="72" customFormat="1" ht="12.75">
      <c r="A185" s="72" t="s">
        <v>3148</v>
      </c>
    </row>
    <row r="186" spans="1:9" s="3" customFormat="1" ht="12.75">
      <c r="B186" s="3" t="str">
        <f t="shared" ref="B186:C204" si="35">"0x"&amp;DEC2HEX(D186,4)</f>
        <v>0x9775</v>
      </c>
      <c r="C186" s="3" t="str">
        <f>"0x"&amp;DEC2HEX(E186,4)</f>
        <v>0x9778</v>
      </c>
      <c r="D186" s="3">
        <v>38773</v>
      </c>
      <c r="E186" s="3">
        <f>D186+I186-1</f>
        <v>38776</v>
      </c>
      <c r="F186" s="4" t="s">
        <v>3093</v>
      </c>
      <c r="G186" s="3" t="s">
        <v>3094</v>
      </c>
      <c r="H186" s="3" t="s">
        <v>427</v>
      </c>
      <c r="I186" s="3">
        <v>4</v>
      </c>
    </row>
    <row r="187" spans="1:9" s="3" customFormat="1" ht="12.75">
      <c r="B187" s="3" t="str">
        <f t="shared" si="35"/>
        <v>0x9779</v>
      </c>
      <c r="C187" s="3" t="str">
        <f>"0x"&amp;DEC2HEX(E187,4)</f>
        <v>0x977C</v>
      </c>
      <c r="D187" s="3">
        <f t="shared" ref="D187:D204" si="36">D186+I186</f>
        <v>38777</v>
      </c>
      <c r="E187" s="3">
        <f>D187+I187-1</f>
        <v>38780</v>
      </c>
      <c r="F187" s="4" t="s">
        <v>3095</v>
      </c>
      <c r="G187" s="3" t="s">
        <v>3094</v>
      </c>
      <c r="H187" s="3" t="s">
        <v>427</v>
      </c>
      <c r="I187" s="3">
        <v>4</v>
      </c>
    </row>
    <row r="188" spans="1:9" s="3" customFormat="1" ht="12.75">
      <c r="B188" s="3" t="str">
        <f t="shared" si="35"/>
        <v>0x977D</v>
      </c>
      <c r="D188" s="3">
        <f t="shared" si="36"/>
        <v>38781</v>
      </c>
      <c r="F188" s="4" t="s">
        <v>3096</v>
      </c>
      <c r="G188" s="3" t="s">
        <v>802</v>
      </c>
      <c r="H188" s="3" t="s">
        <v>427</v>
      </c>
      <c r="I188" s="3">
        <v>1</v>
      </c>
    </row>
    <row r="189" spans="1:9" s="3" customFormat="1" ht="12.75">
      <c r="B189" s="3" t="str">
        <f t="shared" si="35"/>
        <v>0x977E</v>
      </c>
      <c r="D189" s="3">
        <f t="shared" si="36"/>
        <v>38782</v>
      </c>
      <c r="F189" s="4" t="s">
        <v>3097</v>
      </c>
      <c r="G189" s="3" t="s">
        <v>802</v>
      </c>
      <c r="H189" s="3" t="s">
        <v>427</v>
      </c>
      <c r="I189" s="3">
        <v>1</v>
      </c>
    </row>
    <row r="190" spans="1:9" s="3" customFormat="1" ht="12.75">
      <c r="B190" s="3" t="str">
        <f t="shared" si="35"/>
        <v>0x977F</v>
      </c>
      <c r="D190" s="3">
        <f t="shared" si="36"/>
        <v>38783</v>
      </c>
      <c r="F190" s="4" t="s">
        <v>3147</v>
      </c>
      <c r="G190" s="3" t="s">
        <v>802</v>
      </c>
      <c r="H190" s="3" t="s">
        <v>427</v>
      </c>
      <c r="I190" s="3">
        <v>1</v>
      </c>
    </row>
    <row r="191" spans="1:9" s="3" customFormat="1" ht="12.75">
      <c r="B191" s="3" t="str">
        <f t="shared" si="35"/>
        <v>0x9780</v>
      </c>
      <c r="C191" s="3" t="str">
        <f>"0x"&amp;DEC2HEX(E191,4)</f>
        <v>0x9781</v>
      </c>
      <c r="D191" s="3">
        <f t="shared" si="36"/>
        <v>38784</v>
      </c>
      <c r="E191" s="3">
        <f t="shared" ref="E191:E204" si="37">D191+I191-1</f>
        <v>38785</v>
      </c>
      <c r="F191" s="4" t="s">
        <v>2680</v>
      </c>
      <c r="G191" s="3" t="s">
        <v>1157</v>
      </c>
      <c r="H191" s="3" t="s">
        <v>427</v>
      </c>
      <c r="I191" s="3">
        <v>2</v>
      </c>
    </row>
    <row r="192" spans="1:9" s="3" customFormat="1" ht="12.75">
      <c r="B192" s="3" t="str">
        <f t="shared" si="35"/>
        <v>0x9782</v>
      </c>
      <c r="C192" s="3" t="str">
        <f>"0x"&amp;DEC2HEX(E192,4)</f>
        <v>0x9783</v>
      </c>
      <c r="D192" s="3">
        <f t="shared" si="36"/>
        <v>38786</v>
      </c>
      <c r="E192" s="3">
        <f t="shared" si="37"/>
        <v>38787</v>
      </c>
      <c r="F192" s="4" t="s">
        <v>3099</v>
      </c>
      <c r="G192" s="3" t="s">
        <v>541</v>
      </c>
      <c r="H192" s="3" t="s">
        <v>427</v>
      </c>
      <c r="I192" s="3">
        <v>2</v>
      </c>
    </row>
    <row r="193" spans="2:9" s="3" customFormat="1" ht="12.75">
      <c r="B193" s="3" t="str">
        <f t="shared" si="35"/>
        <v>0x9784</v>
      </c>
      <c r="C193" s="3" t="str">
        <f>"0x"&amp;DEC2HEX(E193,4)</f>
        <v>0x9785</v>
      </c>
      <c r="D193" s="3">
        <f t="shared" si="36"/>
        <v>38788</v>
      </c>
      <c r="E193" s="3">
        <f t="shared" si="37"/>
        <v>38789</v>
      </c>
      <c r="F193" s="4" t="s">
        <v>3100</v>
      </c>
      <c r="G193" s="3" t="s">
        <v>541</v>
      </c>
      <c r="H193" s="3" t="s">
        <v>427</v>
      </c>
      <c r="I193" s="3">
        <v>2</v>
      </c>
    </row>
    <row r="194" spans="2:9" s="3" customFormat="1" ht="12.75">
      <c r="B194" s="3" t="str">
        <f t="shared" si="35"/>
        <v>0x9786</v>
      </c>
      <c r="C194" s="3" t="str">
        <f>"0x"&amp;DEC2HEX(E194,4)</f>
        <v>0x9787</v>
      </c>
      <c r="D194" s="3">
        <f t="shared" si="36"/>
        <v>38790</v>
      </c>
      <c r="E194" s="3">
        <f t="shared" si="37"/>
        <v>38791</v>
      </c>
      <c r="F194" s="4" t="s">
        <v>3101</v>
      </c>
      <c r="G194" s="3" t="s">
        <v>541</v>
      </c>
      <c r="H194" s="3" t="s">
        <v>427</v>
      </c>
      <c r="I194" s="3">
        <v>2</v>
      </c>
    </row>
    <row r="195" spans="2:9" s="3" customFormat="1" ht="12.75">
      <c r="B195" s="3" t="str">
        <f t="shared" si="35"/>
        <v>0x9788</v>
      </c>
      <c r="C195" s="3" t="str">
        <f t="shared" si="35"/>
        <v>0x9789</v>
      </c>
      <c r="D195" s="3">
        <f t="shared" si="36"/>
        <v>38792</v>
      </c>
      <c r="E195" s="3">
        <f t="shared" si="37"/>
        <v>38793</v>
      </c>
      <c r="F195" s="4" t="s">
        <v>3102</v>
      </c>
      <c r="G195" s="3" t="s">
        <v>541</v>
      </c>
      <c r="H195" s="3" t="s">
        <v>427</v>
      </c>
      <c r="I195" s="3">
        <v>2</v>
      </c>
    </row>
    <row r="196" spans="2:9" s="3" customFormat="1" ht="12.75">
      <c r="B196" s="3" t="str">
        <f t="shared" si="35"/>
        <v>0x978A</v>
      </c>
      <c r="C196" s="3" t="str">
        <f t="shared" si="35"/>
        <v>0x978B</v>
      </c>
      <c r="D196" s="3">
        <f t="shared" si="36"/>
        <v>38794</v>
      </c>
      <c r="E196" s="3">
        <f t="shared" si="37"/>
        <v>38795</v>
      </c>
      <c r="F196" s="4" t="s">
        <v>3103</v>
      </c>
      <c r="G196" s="3" t="s">
        <v>541</v>
      </c>
      <c r="H196" s="3" t="s">
        <v>427</v>
      </c>
      <c r="I196" s="3">
        <v>2</v>
      </c>
    </row>
    <row r="197" spans="2:9" s="3" customFormat="1" ht="12.75">
      <c r="B197" s="3" t="str">
        <f t="shared" si="35"/>
        <v>0x978C</v>
      </c>
      <c r="C197" s="3" t="str">
        <f t="shared" si="35"/>
        <v>0x978D</v>
      </c>
      <c r="D197" s="3">
        <f t="shared" si="36"/>
        <v>38796</v>
      </c>
      <c r="E197" s="3">
        <f t="shared" si="37"/>
        <v>38797</v>
      </c>
      <c r="F197" s="4" t="s">
        <v>3104</v>
      </c>
      <c r="G197" s="3" t="s">
        <v>541</v>
      </c>
      <c r="H197" s="3" t="s">
        <v>427</v>
      </c>
      <c r="I197" s="3">
        <v>2</v>
      </c>
    </row>
    <row r="198" spans="2:9" s="3" customFormat="1" ht="12.75">
      <c r="B198" s="3" t="str">
        <f t="shared" si="35"/>
        <v>0x978E</v>
      </c>
      <c r="C198" s="3" t="str">
        <f t="shared" si="35"/>
        <v>0x978F</v>
      </c>
      <c r="D198" s="3">
        <f t="shared" si="36"/>
        <v>38798</v>
      </c>
      <c r="E198" s="3">
        <f t="shared" si="37"/>
        <v>38799</v>
      </c>
      <c r="F198" s="4" t="s">
        <v>3105</v>
      </c>
      <c r="G198" s="3" t="s">
        <v>541</v>
      </c>
      <c r="H198" s="3" t="s">
        <v>427</v>
      </c>
      <c r="I198" s="3">
        <v>2</v>
      </c>
    </row>
    <row r="199" spans="2:9" s="3" customFormat="1" ht="12.75">
      <c r="B199" s="3" t="str">
        <f t="shared" si="35"/>
        <v>0x9790</v>
      </c>
      <c r="C199" s="3" t="str">
        <f t="shared" si="35"/>
        <v>0x9791</v>
      </c>
      <c r="D199" s="3">
        <f t="shared" si="36"/>
        <v>38800</v>
      </c>
      <c r="E199" s="3">
        <f t="shared" si="37"/>
        <v>38801</v>
      </c>
      <c r="F199" s="4" t="s">
        <v>3106</v>
      </c>
      <c r="G199" s="3" t="s">
        <v>541</v>
      </c>
      <c r="H199" s="3" t="s">
        <v>427</v>
      </c>
      <c r="I199" s="3">
        <v>2</v>
      </c>
    </row>
    <row r="200" spans="2:9" s="3" customFormat="1" ht="12.75">
      <c r="B200" s="3" t="str">
        <f t="shared" si="35"/>
        <v>0x9792</v>
      </c>
      <c r="C200" s="3" t="str">
        <f t="shared" si="35"/>
        <v>0x9793</v>
      </c>
      <c r="D200" s="3">
        <f t="shared" si="36"/>
        <v>38802</v>
      </c>
      <c r="E200" s="3">
        <f t="shared" si="37"/>
        <v>38803</v>
      </c>
      <c r="F200" s="4" t="s">
        <v>3107</v>
      </c>
      <c r="G200" s="3" t="s">
        <v>541</v>
      </c>
      <c r="H200" s="3" t="s">
        <v>427</v>
      </c>
      <c r="I200" s="3">
        <v>2</v>
      </c>
    </row>
    <row r="201" spans="2:9" s="3" customFormat="1" ht="12.75">
      <c r="B201" s="3" t="str">
        <f t="shared" si="35"/>
        <v>0x9794</v>
      </c>
      <c r="C201" s="3" t="str">
        <f t="shared" si="35"/>
        <v>0x9795</v>
      </c>
      <c r="D201" s="3">
        <f t="shared" si="36"/>
        <v>38804</v>
      </c>
      <c r="E201" s="3">
        <f t="shared" si="37"/>
        <v>38805</v>
      </c>
      <c r="F201" s="4" t="s">
        <v>3108</v>
      </c>
      <c r="G201" s="3" t="s">
        <v>541</v>
      </c>
      <c r="H201" s="3" t="s">
        <v>427</v>
      </c>
      <c r="I201" s="3">
        <v>2</v>
      </c>
    </row>
    <row r="202" spans="2:9" s="3" customFormat="1" ht="12.75">
      <c r="B202" s="3" t="str">
        <f t="shared" si="35"/>
        <v>0x9796</v>
      </c>
      <c r="C202" s="3" t="str">
        <f t="shared" si="35"/>
        <v>0x9797</v>
      </c>
      <c r="D202" s="3">
        <f t="shared" si="36"/>
        <v>38806</v>
      </c>
      <c r="E202" s="3">
        <f t="shared" si="37"/>
        <v>38807</v>
      </c>
      <c r="F202" s="4" t="s">
        <v>3109</v>
      </c>
      <c r="G202" s="3" t="s">
        <v>541</v>
      </c>
      <c r="H202" s="3" t="s">
        <v>427</v>
      </c>
      <c r="I202" s="3">
        <v>2</v>
      </c>
    </row>
    <row r="203" spans="2:9" s="3" customFormat="1" ht="12.75">
      <c r="B203" s="3" t="str">
        <f t="shared" si="35"/>
        <v>0x9798</v>
      </c>
      <c r="C203" s="3" t="str">
        <f t="shared" si="35"/>
        <v>0x9799</v>
      </c>
      <c r="D203" s="3">
        <f t="shared" si="36"/>
        <v>38808</v>
      </c>
      <c r="E203" s="3">
        <f t="shared" si="37"/>
        <v>38809</v>
      </c>
      <c r="F203" s="4" t="s">
        <v>3110</v>
      </c>
      <c r="G203" s="3" t="s">
        <v>541</v>
      </c>
      <c r="H203" s="3" t="s">
        <v>427</v>
      </c>
      <c r="I203" s="3">
        <v>2</v>
      </c>
    </row>
    <row r="204" spans="2:9" s="3" customFormat="1" ht="12.75">
      <c r="B204" s="3" t="str">
        <f t="shared" si="35"/>
        <v>0x979A</v>
      </c>
      <c r="C204" s="3" t="str">
        <f t="shared" si="35"/>
        <v>0x979B</v>
      </c>
      <c r="D204" s="3">
        <f t="shared" si="36"/>
        <v>38810</v>
      </c>
      <c r="E204" s="3">
        <f t="shared" si="37"/>
        <v>38811</v>
      </c>
      <c r="F204" s="4" t="s">
        <v>3111</v>
      </c>
      <c r="G204" s="3" t="s">
        <v>541</v>
      </c>
      <c r="H204" s="3" t="s">
        <v>427</v>
      </c>
      <c r="I204" s="3">
        <v>2</v>
      </c>
    </row>
    <row r="205" spans="2:9" s="3" customFormat="1" ht="12.75">
      <c r="B205" s="3" t="str">
        <f t="shared" ref="B205:B220" si="38">"0x"&amp;DEC2HEX(D205,4)</f>
        <v>0x979C</v>
      </c>
      <c r="C205" s="3" t="str">
        <f t="shared" ref="C205:C244" si="39">"0x"&amp;DEC2HEX(E205,4)</f>
        <v>0x979D</v>
      </c>
      <c r="D205" s="3">
        <f t="shared" ref="D205:D244" si="40">D204+I204</f>
        <v>38812</v>
      </c>
      <c r="E205" s="3">
        <f t="shared" ref="E205:E244" si="41">D205+I205-1</f>
        <v>38813</v>
      </c>
      <c r="F205" s="4" t="s">
        <v>1162</v>
      </c>
      <c r="G205" s="3" t="s">
        <v>541</v>
      </c>
      <c r="H205" s="3" t="s">
        <v>427</v>
      </c>
      <c r="I205" s="3">
        <v>2</v>
      </c>
    </row>
    <row r="206" spans="2:9" s="3" customFormat="1" ht="12.75">
      <c r="B206" s="3" t="str">
        <f t="shared" si="38"/>
        <v>0x979E</v>
      </c>
      <c r="C206" s="3" t="str">
        <f t="shared" si="39"/>
        <v>0x979F</v>
      </c>
      <c r="D206" s="3">
        <f t="shared" si="40"/>
        <v>38814</v>
      </c>
      <c r="E206" s="3">
        <f t="shared" si="41"/>
        <v>38815</v>
      </c>
      <c r="F206" s="4" t="s">
        <v>3119</v>
      </c>
      <c r="G206" s="3" t="s">
        <v>541</v>
      </c>
      <c r="H206" s="3" t="s">
        <v>427</v>
      </c>
      <c r="I206" s="3">
        <v>2</v>
      </c>
    </row>
    <row r="207" spans="2:9" s="3" customFormat="1" ht="12.75">
      <c r="B207" s="3" t="str">
        <f t="shared" si="38"/>
        <v>0x97A0</v>
      </c>
      <c r="C207" s="3" t="str">
        <f t="shared" si="39"/>
        <v>0x97A1</v>
      </c>
      <c r="D207" s="3">
        <f t="shared" si="40"/>
        <v>38816</v>
      </c>
      <c r="E207" s="3">
        <f t="shared" si="41"/>
        <v>38817</v>
      </c>
      <c r="F207" s="4" t="s">
        <v>3120</v>
      </c>
      <c r="G207" s="3" t="s">
        <v>541</v>
      </c>
      <c r="H207" s="3" t="s">
        <v>427</v>
      </c>
      <c r="I207" s="3">
        <v>2</v>
      </c>
    </row>
    <row r="208" spans="2:9" s="3" customFormat="1" ht="12.75">
      <c r="B208" s="3" t="str">
        <f t="shared" si="38"/>
        <v>0x97A2</v>
      </c>
      <c r="C208" s="3" t="str">
        <f t="shared" si="39"/>
        <v>0x97A3</v>
      </c>
      <c r="D208" s="3">
        <f t="shared" si="40"/>
        <v>38818</v>
      </c>
      <c r="E208" s="3">
        <f t="shared" si="41"/>
        <v>38819</v>
      </c>
      <c r="F208" s="4" t="s">
        <v>2867</v>
      </c>
      <c r="G208" s="3" t="s">
        <v>541</v>
      </c>
      <c r="H208" s="3" t="s">
        <v>427</v>
      </c>
      <c r="I208" s="3">
        <v>2</v>
      </c>
    </row>
    <row r="209" spans="2:9" s="3" customFormat="1" ht="12.75">
      <c r="B209" s="3" t="str">
        <f t="shared" si="38"/>
        <v>0x97A4</v>
      </c>
      <c r="C209" s="3" t="str">
        <f t="shared" si="39"/>
        <v>0x97A5</v>
      </c>
      <c r="D209" s="3">
        <f t="shared" si="40"/>
        <v>38820</v>
      </c>
      <c r="E209" s="3">
        <f t="shared" si="41"/>
        <v>38821</v>
      </c>
      <c r="F209" s="4" t="s">
        <v>1165</v>
      </c>
      <c r="G209" s="3" t="s">
        <v>541</v>
      </c>
      <c r="H209" s="3" t="s">
        <v>427</v>
      </c>
      <c r="I209" s="3">
        <v>2</v>
      </c>
    </row>
    <row r="210" spans="2:9" s="3" customFormat="1" ht="12.75">
      <c r="B210" s="3" t="str">
        <f t="shared" si="38"/>
        <v>0x97A6</v>
      </c>
      <c r="C210" s="3" t="str">
        <f t="shared" si="39"/>
        <v>0x97A7</v>
      </c>
      <c r="D210" s="3">
        <f t="shared" si="40"/>
        <v>38822</v>
      </c>
      <c r="E210" s="3">
        <f t="shared" si="41"/>
        <v>38823</v>
      </c>
      <c r="F210" s="4" t="s">
        <v>3121</v>
      </c>
      <c r="G210" s="3" t="s">
        <v>541</v>
      </c>
      <c r="H210" s="3" t="s">
        <v>427</v>
      </c>
      <c r="I210" s="3">
        <v>2</v>
      </c>
    </row>
    <row r="211" spans="2:9" s="3" customFormat="1" ht="12.75">
      <c r="B211" s="3" t="str">
        <f t="shared" si="38"/>
        <v>0x97A8</v>
      </c>
      <c r="C211" s="3" t="str">
        <f t="shared" si="39"/>
        <v>0x97A9</v>
      </c>
      <c r="D211" s="3">
        <f t="shared" si="40"/>
        <v>38824</v>
      </c>
      <c r="E211" s="3">
        <f t="shared" si="41"/>
        <v>38825</v>
      </c>
      <c r="F211" s="4" t="s">
        <v>3122</v>
      </c>
      <c r="G211" s="3" t="s">
        <v>541</v>
      </c>
      <c r="H211" s="3" t="s">
        <v>427</v>
      </c>
      <c r="I211" s="3">
        <v>2</v>
      </c>
    </row>
    <row r="212" spans="2:9" s="3" customFormat="1" ht="12.75">
      <c r="B212" s="3" t="str">
        <f t="shared" si="38"/>
        <v>0x97AA</v>
      </c>
      <c r="C212" s="3" t="str">
        <f t="shared" si="39"/>
        <v>0x97AB</v>
      </c>
      <c r="D212" s="3">
        <f t="shared" si="40"/>
        <v>38826</v>
      </c>
      <c r="E212" s="3">
        <f t="shared" si="41"/>
        <v>38827</v>
      </c>
      <c r="F212" s="4" t="s">
        <v>2867</v>
      </c>
      <c r="G212" s="3" t="s">
        <v>541</v>
      </c>
      <c r="H212" s="3" t="s">
        <v>427</v>
      </c>
      <c r="I212" s="3">
        <v>2</v>
      </c>
    </row>
    <row r="213" spans="2:9" s="3" customFormat="1" ht="12.75">
      <c r="B213" s="3" t="str">
        <f t="shared" si="38"/>
        <v>0x97AC</v>
      </c>
      <c r="C213" s="3" t="str">
        <f t="shared" si="39"/>
        <v>0x97AD</v>
      </c>
      <c r="D213" s="3">
        <f t="shared" si="40"/>
        <v>38828</v>
      </c>
      <c r="E213" s="3">
        <f t="shared" si="41"/>
        <v>38829</v>
      </c>
      <c r="F213" s="4" t="s">
        <v>1166</v>
      </c>
      <c r="G213" s="3" t="s">
        <v>541</v>
      </c>
      <c r="H213" s="3" t="s">
        <v>427</v>
      </c>
      <c r="I213" s="3">
        <v>2</v>
      </c>
    </row>
    <row r="214" spans="2:9" s="3" customFormat="1" ht="12.75">
      <c r="B214" s="3" t="str">
        <f t="shared" si="38"/>
        <v>0x97AE</v>
      </c>
      <c r="C214" s="3" t="str">
        <f t="shared" si="39"/>
        <v>0x97AF</v>
      </c>
      <c r="D214" s="3">
        <f t="shared" si="40"/>
        <v>38830</v>
      </c>
      <c r="E214" s="3">
        <f t="shared" si="41"/>
        <v>38831</v>
      </c>
      <c r="F214" s="4" t="s">
        <v>3123</v>
      </c>
      <c r="G214" s="3" t="s">
        <v>541</v>
      </c>
      <c r="H214" s="3" t="s">
        <v>427</v>
      </c>
      <c r="I214" s="3">
        <v>2</v>
      </c>
    </row>
    <row r="215" spans="2:9" s="3" customFormat="1" ht="12.75">
      <c r="B215" s="3" t="str">
        <f t="shared" si="38"/>
        <v>0x97B0</v>
      </c>
      <c r="C215" s="3" t="str">
        <f t="shared" si="39"/>
        <v>0x97B1</v>
      </c>
      <c r="D215" s="3">
        <f t="shared" si="40"/>
        <v>38832</v>
      </c>
      <c r="E215" s="3">
        <f t="shared" si="41"/>
        <v>38833</v>
      </c>
      <c r="F215" s="4" t="s">
        <v>3124</v>
      </c>
      <c r="G215" s="3" t="s">
        <v>541</v>
      </c>
      <c r="H215" s="3" t="s">
        <v>427</v>
      </c>
      <c r="I215" s="3">
        <v>2</v>
      </c>
    </row>
    <row r="216" spans="2:9" s="3" customFormat="1" ht="12.75">
      <c r="B216" s="3" t="str">
        <f t="shared" si="38"/>
        <v>0x97B2</v>
      </c>
      <c r="C216" s="3" t="str">
        <f t="shared" si="39"/>
        <v>0x97B3</v>
      </c>
      <c r="D216" s="3">
        <f t="shared" si="40"/>
        <v>38834</v>
      </c>
      <c r="E216" s="3">
        <f t="shared" si="41"/>
        <v>38835</v>
      </c>
      <c r="F216" s="4" t="s">
        <v>2867</v>
      </c>
      <c r="G216" s="3" t="s">
        <v>541</v>
      </c>
      <c r="H216" s="3" t="s">
        <v>427</v>
      </c>
      <c r="I216" s="3">
        <v>2</v>
      </c>
    </row>
    <row r="217" spans="2:9" s="3" customFormat="1" ht="12.75">
      <c r="B217" s="3" t="str">
        <f t="shared" si="38"/>
        <v>0x97B4</v>
      </c>
      <c r="C217" s="3" t="str">
        <f t="shared" si="39"/>
        <v>0x97B5</v>
      </c>
      <c r="D217" s="3">
        <f t="shared" si="40"/>
        <v>38836</v>
      </c>
      <c r="E217" s="3">
        <f t="shared" si="41"/>
        <v>38837</v>
      </c>
      <c r="F217" s="4" t="s">
        <v>1168</v>
      </c>
      <c r="G217" s="3" t="s">
        <v>541</v>
      </c>
      <c r="H217" s="3" t="s">
        <v>427</v>
      </c>
      <c r="I217" s="3">
        <v>2</v>
      </c>
    </row>
    <row r="218" spans="2:9" s="3" customFormat="1" ht="12.75">
      <c r="B218" s="3" t="str">
        <f t="shared" si="38"/>
        <v>0x97B6</v>
      </c>
      <c r="C218" s="3" t="str">
        <f t="shared" si="39"/>
        <v>0x97B7</v>
      </c>
      <c r="D218" s="3">
        <f t="shared" si="40"/>
        <v>38838</v>
      </c>
      <c r="E218" s="3">
        <f t="shared" si="41"/>
        <v>38839</v>
      </c>
      <c r="F218" s="4" t="s">
        <v>3125</v>
      </c>
      <c r="G218" s="3" t="s">
        <v>541</v>
      </c>
      <c r="H218" s="3" t="s">
        <v>427</v>
      </c>
      <c r="I218" s="3">
        <v>2</v>
      </c>
    </row>
    <row r="219" spans="2:9" s="3" customFormat="1" ht="12.75">
      <c r="B219" s="3" t="str">
        <f t="shared" si="38"/>
        <v>0x97B8</v>
      </c>
      <c r="C219" s="3" t="str">
        <f t="shared" si="39"/>
        <v>0x97B9</v>
      </c>
      <c r="D219" s="3">
        <f t="shared" si="40"/>
        <v>38840</v>
      </c>
      <c r="E219" s="3">
        <f t="shared" si="41"/>
        <v>38841</v>
      </c>
      <c r="F219" s="4" t="s">
        <v>3126</v>
      </c>
      <c r="G219" s="3" t="s">
        <v>541</v>
      </c>
      <c r="H219" s="3" t="s">
        <v>427</v>
      </c>
      <c r="I219" s="3">
        <v>2</v>
      </c>
    </row>
    <row r="220" spans="2:9" s="3" customFormat="1" ht="12.75">
      <c r="B220" s="3" t="str">
        <f t="shared" si="38"/>
        <v>0x97BA</v>
      </c>
      <c r="C220" s="3" t="str">
        <f t="shared" si="39"/>
        <v>0x97BB</v>
      </c>
      <c r="D220" s="3">
        <f t="shared" si="40"/>
        <v>38842</v>
      </c>
      <c r="E220" s="3">
        <f t="shared" si="41"/>
        <v>38843</v>
      </c>
      <c r="F220" s="4" t="s">
        <v>2867</v>
      </c>
      <c r="G220" s="3" t="s">
        <v>541</v>
      </c>
      <c r="H220" s="3" t="s">
        <v>427</v>
      </c>
      <c r="I220" s="3">
        <v>2</v>
      </c>
    </row>
    <row r="221" spans="2:9" s="3" customFormat="1" ht="12.75">
      <c r="B221" s="3" t="str">
        <f t="shared" ref="B221:B228" si="42">"0x"&amp;DEC2HEX(D221,4)</f>
        <v>0x97BC</v>
      </c>
      <c r="C221" s="3" t="str">
        <f t="shared" si="39"/>
        <v>0x97BD</v>
      </c>
      <c r="D221" s="3">
        <f t="shared" si="40"/>
        <v>38844</v>
      </c>
      <c r="E221" s="3">
        <f t="shared" si="41"/>
        <v>38845</v>
      </c>
      <c r="F221" s="4" t="s">
        <v>1169</v>
      </c>
      <c r="G221" s="3" t="s">
        <v>541</v>
      </c>
      <c r="H221" s="3" t="s">
        <v>427</v>
      </c>
      <c r="I221" s="3">
        <v>2</v>
      </c>
    </row>
    <row r="222" spans="2:9" s="3" customFormat="1" ht="12.75">
      <c r="B222" s="3" t="str">
        <f t="shared" si="42"/>
        <v>0x97BE</v>
      </c>
      <c r="C222" s="3" t="str">
        <f t="shared" si="39"/>
        <v>0x97BF</v>
      </c>
      <c r="D222" s="3">
        <f t="shared" si="40"/>
        <v>38846</v>
      </c>
      <c r="E222" s="3">
        <f t="shared" si="41"/>
        <v>38847</v>
      </c>
      <c r="F222" s="4" t="s">
        <v>3127</v>
      </c>
      <c r="G222" s="3" t="s">
        <v>541</v>
      </c>
      <c r="H222" s="3" t="s">
        <v>427</v>
      </c>
      <c r="I222" s="3">
        <v>2</v>
      </c>
    </row>
    <row r="223" spans="2:9" s="3" customFormat="1" ht="12.75">
      <c r="B223" s="3" t="str">
        <f t="shared" si="42"/>
        <v>0x97C0</v>
      </c>
      <c r="C223" s="3" t="str">
        <f t="shared" si="39"/>
        <v>0x97C1</v>
      </c>
      <c r="D223" s="3">
        <f t="shared" si="40"/>
        <v>38848</v>
      </c>
      <c r="E223" s="3">
        <f t="shared" si="41"/>
        <v>38849</v>
      </c>
      <c r="F223" s="4" t="s">
        <v>3128</v>
      </c>
      <c r="G223" s="3" t="s">
        <v>541</v>
      </c>
      <c r="H223" s="3" t="s">
        <v>427</v>
      </c>
      <c r="I223" s="3">
        <v>2</v>
      </c>
    </row>
    <row r="224" spans="2:9" s="3" customFormat="1" ht="12.75">
      <c r="B224" s="3" t="str">
        <f t="shared" si="42"/>
        <v>0x97C2</v>
      </c>
      <c r="C224" s="3" t="str">
        <f t="shared" si="39"/>
        <v>0x97C3</v>
      </c>
      <c r="D224" s="3">
        <f t="shared" si="40"/>
        <v>38850</v>
      </c>
      <c r="E224" s="3">
        <f t="shared" si="41"/>
        <v>38851</v>
      </c>
      <c r="F224" s="4" t="s">
        <v>2867</v>
      </c>
      <c r="G224" s="3" t="s">
        <v>541</v>
      </c>
      <c r="H224" s="3" t="s">
        <v>427</v>
      </c>
      <c r="I224" s="3">
        <v>2</v>
      </c>
    </row>
    <row r="225" spans="2:9" s="3" customFormat="1" ht="12.75">
      <c r="B225" s="3" t="str">
        <f t="shared" si="42"/>
        <v>0x97C4</v>
      </c>
      <c r="C225" s="3" t="str">
        <f t="shared" si="39"/>
        <v>0x97C5</v>
      </c>
      <c r="D225" s="3">
        <f t="shared" si="40"/>
        <v>38852</v>
      </c>
      <c r="E225" s="3">
        <f t="shared" si="41"/>
        <v>38853</v>
      </c>
      <c r="F225" s="4" t="s">
        <v>1170</v>
      </c>
      <c r="G225" s="3" t="s">
        <v>541</v>
      </c>
      <c r="H225" s="3" t="s">
        <v>427</v>
      </c>
      <c r="I225" s="3">
        <v>2</v>
      </c>
    </row>
    <row r="226" spans="2:9" s="3" customFormat="1" ht="12.75">
      <c r="B226" s="3" t="str">
        <f t="shared" si="42"/>
        <v>0x97C6</v>
      </c>
      <c r="C226" s="3" t="str">
        <f t="shared" si="39"/>
        <v>0x97C7</v>
      </c>
      <c r="D226" s="3">
        <f t="shared" si="40"/>
        <v>38854</v>
      </c>
      <c r="E226" s="3">
        <f t="shared" si="41"/>
        <v>38855</v>
      </c>
      <c r="F226" s="4" t="s">
        <v>3129</v>
      </c>
      <c r="G226" s="3" t="s">
        <v>541</v>
      </c>
      <c r="H226" s="3" t="s">
        <v>427</v>
      </c>
      <c r="I226" s="3">
        <v>2</v>
      </c>
    </row>
    <row r="227" spans="2:9" s="3" customFormat="1" ht="12.75">
      <c r="B227" s="3" t="str">
        <f t="shared" si="42"/>
        <v>0x97C8</v>
      </c>
      <c r="C227" s="3" t="str">
        <f t="shared" si="39"/>
        <v>0x97C9</v>
      </c>
      <c r="D227" s="3">
        <f t="shared" si="40"/>
        <v>38856</v>
      </c>
      <c r="E227" s="3">
        <f t="shared" si="41"/>
        <v>38857</v>
      </c>
      <c r="F227" s="4" t="s">
        <v>3130</v>
      </c>
      <c r="G227" s="3" t="s">
        <v>541</v>
      </c>
      <c r="H227" s="3" t="s">
        <v>427</v>
      </c>
      <c r="I227" s="3">
        <v>2</v>
      </c>
    </row>
    <row r="228" spans="2:9" s="3" customFormat="1" ht="12.75">
      <c r="B228" s="3" t="str">
        <f t="shared" si="42"/>
        <v>0x97CA</v>
      </c>
      <c r="C228" s="3" t="str">
        <f t="shared" si="39"/>
        <v>0x97CB</v>
      </c>
      <c r="D228" s="3">
        <f t="shared" si="40"/>
        <v>38858</v>
      </c>
      <c r="E228" s="3">
        <f t="shared" si="41"/>
        <v>38859</v>
      </c>
      <c r="F228" s="4" t="s">
        <v>2867</v>
      </c>
      <c r="G228" s="3" t="s">
        <v>541</v>
      </c>
      <c r="H228" s="3" t="s">
        <v>427</v>
      </c>
      <c r="I228" s="3">
        <v>2</v>
      </c>
    </row>
    <row r="229" spans="2:9" s="3" customFormat="1" ht="12.75">
      <c r="B229" s="3" t="str">
        <f>"0x"&amp;DEC2HEX(D229,4)</f>
        <v>0x97CC</v>
      </c>
      <c r="C229" s="3" t="str">
        <f t="shared" si="39"/>
        <v>0x97CD</v>
      </c>
      <c r="D229" s="3">
        <f t="shared" si="40"/>
        <v>38860</v>
      </c>
      <c r="E229" s="3">
        <f t="shared" si="41"/>
        <v>38861</v>
      </c>
      <c r="F229" s="4" t="s">
        <v>3131</v>
      </c>
      <c r="G229" s="3" t="s">
        <v>541</v>
      </c>
      <c r="H229" s="3" t="s">
        <v>427</v>
      </c>
      <c r="I229" s="3">
        <v>2</v>
      </c>
    </row>
    <row r="230" spans="2:9" s="3" customFormat="1" ht="12.75">
      <c r="B230" s="3" t="str">
        <f>"0x"&amp;DEC2HEX(D230,4)</f>
        <v>0x97CE</v>
      </c>
      <c r="C230" s="3" t="str">
        <f t="shared" si="39"/>
        <v>0x97CF</v>
      </c>
      <c r="D230" s="3">
        <f t="shared" si="40"/>
        <v>38862</v>
      </c>
      <c r="E230" s="3">
        <f t="shared" si="41"/>
        <v>38863</v>
      </c>
      <c r="F230" s="4" t="s">
        <v>3235</v>
      </c>
      <c r="G230" s="3" t="s">
        <v>541</v>
      </c>
      <c r="H230" s="3" t="s">
        <v>427</v>
      </c>
      <c r="I230" s="3">
        <v>2</v>
      </c>
    </row>
    <row r="231" spans="2:9" s="3" customFormat="1" ht="12.75">
      <c r="B231" s="3" t="str">
        <f t="shared" ref="B231:B244" si="43">"0x"&amp;DEC2HEX(D231,4)</f>
        <v>0x97D0</v>
      </c>
      <c r="C231" s="3" t="str">
        <f t="shared" si="39"/>
        <v>0x97D1</v>
      </c>
      <c r="D231" s="3">
        <f t="shared" si="40"/>
        <v>38864</v>
      </c>
      <c r="E231" s="3">
        <f t="shared" si="41"/>
        <v>38865</v>
      </c>
      <c r="F231" s="86" t="s">
        <v>3132</v>
      </c>
      <c r="G231" s="3" t="s">
        <v>541</v>
      </c>
      <c r="H231" s="3" t="s">
        <v>427</v>
      </c>
      <c r="I231" s="3">
        <v>2</v>
      </c>
    </row>
    <row r="232" spans="2:9" s="3" customFormat="1" ht="12.75">
      <c r="B232" s="3" t="str">
        <f t="shared" si="43"/>
        <v>0x97D2</v>
      </c>
      <c r="C232" s="3" t="str">
        <f t="shared" si="39"/>
        <v>0x97D3</v>
      </c>
      <c r="D232" s="3">
        <f t="shared" si="40"/>
        <v>38866</v>
      </c>
      <c r="E232" s="3">
        <f t="shared" si="41"/>
        <v>38867</v>
      </c>
      <c r="F232" s="86" t="s">
        <v>3133</v>
      </c>
      <c r="G232" s="3" t="s">
        <v>541</v>
      </c>
      <c r="H232" s="3" t="s">
        <v>427</v>
      </c>
      <c r="I232" s="3">
        <v>2</v>
      </c>
    </row>
    <row r="233" spans="2:9" s="3" customFormat="1" ht="12.75">
      <c r="B233" s="3" t="str">
        <f t="shared" si="43"/>
        <v>0x97D4</v>
      </c>
      <c r="C233" s="3" t="str">
        <f t="shared" si="39"/>
        <v>0x97D5</v>
      </c>
      <c r="D233" s="3">
        <f t="shared" si="40"/>
        <v>38868</v>
      </c>
      <c r="E233" s="3">
        <f t="shared" si="41"/>
        <v>38869</v>
      </c>
      <c r="F233" s="4" t="s">
        <v>3134</v>
      </c>
      <c r="G233" s="3" t="s">
        <v>541</v>
      </c>
      <c r="H233" s="3" t="s">
        <v>427</v>
      </c>
      <c r="I233" s="3">
        <v>2</v>
      </c>
    </row>
    <row r="234" spans="2:9" s="3" customFormat="1" ht="12.75">
      <c r="B234" s="3" t="str">
        <f t="shared" si="43"/>
        <v>0x97D6</v>
      </c>
      <c r="C234" s="3" t="str">
        <f t="shared" si="39"/>
        <v>0x97D7</v>
      </c>
      <c r="D234" s="3">
        <f t="shared" si="40"/>
        <v>38870</v>
      </c>
      <c r="E234" s="3">
        <f t="shared" si="41"/>
        <v>38871</v>
      </c>
      <c r="F234" s="4" t="s">
        <v>3135</v>
      </c>
      <c r="G234" s="3" t="s">
        <v>541</v>
      </c>
      <c r="H234" s="3" t="s">
        <v>427</v>
      </c>
      <c r="I234" s="3">
        <v>2</v>
      </c>
    </row>
    <row r="235" spans="2:9" s="3" customFormat="1" ht="12.75">
      <c r="B235" s="3" t="str">
        <f t="shared" si="43"/>
        <v>0x97D8</v>
      </c>
      <c r="C235" s="3" t="str">
        <f t="shared" si="39"/>
        <v>0x97D9</v>
      </c>
      <c r="D235" s="3">
        <f t="shared" si="40"/>
        <v>38872</v>
      </c>
      <c r="E235" s="3">
        <f t="shared" si="41"/>
        <v>38873</v>
      </c>
      <c r="F235" s="4" t="s">
        <v>3136</v>
      </c>
      <c r="G235" s="3" t="s">
        <v>541</v>
      </c>
      <c r="H235" s="3" t="s">
        <v>427</v>
      </c>
      <c r="I235" s="3">
        <v>2</v>
      </c>
    </row>
    <row r="236" spans="2:9" s="3" customFormat="1" ht="12.75">
      <c r="B236" s="3" t="str">
        <f t="shared" si="43"/>
        <v>0x97DA</v>
      </c>
      <c r="C236" s="3" t="str">
        <f t="shared" si="39"/>
        <v>0x97DB</v>
      </c>
      <c r="D236" s="3">
        <f t="shared" si="40"/>
        <v>38874</v>
      </c>
      <c r="E236" s="3">
        <f t="shared" si="41"/>
        <v>38875</v>
      </c>
      <c r="F236" s="4" t="s">
        <v>3137</v>
      </c>
      <c r="G236" s="3" t="s">
        <v>541</v>
      </c>
      <c r="H236" s="3" t="s">
        <v>427</v>
      </c>
      <c r="I236" s="3">
        <v>2</v>
      </c>
    </row>
    <row r="237" spans="2:9" s="3" customFormat="1" ht="12.75">
      <c r="B237" s="3" t="str">
        <f t="shared" ref="B237" si="44">"0x"&amp;DEC2HEX(D237,4)</f>
        <v>0x97DC</v>
      </c>
      <c r="C237" s="3" t="str">
        <f t="shared" si="39"/>
        <v>0x97DD</v>
      </c>
      <c r="D237" s="3">
        <f t="shared" si="40"/>
        <v>38876</v>
      </c>
      <c r="E237" s="3">
        <f t="shared" si="41"/>
        <v>38877</v>
      </c>
      <c r="F237" s="4" t="s">
        <v>3138</v>
      </c>
      <c r="G237" s="3" t="s">
        <v>541</v>
      </c>
      <c r="H237" s="3" t="s">
        <v>427</v>
      </c>
      <c r="I237" s="3">
        <v>2</v>
      </c>
    </row>
    <row r="238" spans="2:9" s="3" customFormat="1" ht="12.75">
      <c r="B238" s="3" t="str">
        <f t="shared" si="43"/>
        <v>0x97DE</v>
      </c>
      <c r="C238" s="3" t="str">
        <f t="shared" si="39"/>
        <v>0x97DF</v>
      </c>
      <c r="D238" s="3">
        <f t="shared" si="40"/>
        <v>38878</v>
      </c>
      <c r="E238" s="3">
        <f t="shared" si="41"/>
        <v>38879</v>
      </c>
      <c r="F238" s="4" t="s">
        <v>3236</v>
      </c>
      <c r="G238" s="3" t="s">
        <v>541</v>
      </c>
      <c r="H238" s="3" t="s">
        <v>427</v>
      </c>
      <c r="I238" s="3">
        <v>2</v>
      </c>
    </row>
    <row r="239" spans="2:9" s="3" customFormat="1" ht="12.75">
      <c r="B239" s="3" t="str">
        <f t="shared" si="43"/>
        <v>0x97E0</v>
      </c>
      <c r="C239" s="3" t="str">
        <f t="shared" si="39"/>
        <v>0x97E1</v>
      </c>
      <c r="D239" s="3">
        <f t="shared" si="40"/>
        <v>38880</v>
      </c>
      <c r="E239" s="3">
        <f t="shared" si="41"/>
        <v>38881</v>
      </c>
      <c r="F239" s="86" t="s">
        <v>3139</v>
      </c>
      <c r="G239" s="3" t="s">
        <v>541</v>
      </c>
      <c r="H239" s="3" t="s">
        <v>427</v>
      </c>
      <c r="I239" s="3">
        <v>2</v>
      </c>
    </row>
    <row r="240" spans="2:9" s="3" customFormat="1" ht="12.75">
      <c r="B240" s="3" t="str">
        <f t="shared" si="43"/>
        <v>0x97E2</v>
      </c>
      <c r="C240" s="3" t="str">
        <f t="shared" si="39"/>
        <v>0x97E3</v>
      </c>
      <c r="D240" s="3">
        <f t="shared" si="40"/>
        <v>38882</v>
      </c>
      <c r="E240" s="3">
        <f t="shared" si="41"/>
        <v>38883</v>
      </c>
      <c r="F240" s="86" t="s">
        <v>3140</v>
      </c>
      <c r="G240" s="3" t="s">
        <v>541</v>
      </c>
      <c r="H240" s="3" t="s">
        <v>427</v>
      </c>
      <c r="I240" s="3">
        <v>2</v>
      </c>
    </row>
    <row r="241" spans="1:12" s="3" customFormat="1" ht="12.75">
      <c r="B241" s="3" t="str">
        <f t="shared" si="43"/>
        <v>0x97E4</v>
      </c>
      <c r="C241" s="3" t="str">
        <f t="shared" si="39"/>
        <v>0x97E5</v>
      </c>
      <c r="D241" s="3">
        <f t="shared" si="40"/>
        <v>38884</v>
      </c>
      <c r="E241" s="3">
        <f t="shared" si="41"/>
        <v>38885</v>
      </c>
      <c r="F241" s="4" t="s">
        <v>3141</v>
      </c>
      <c r="G241" s="3" t="s">
        <v>541</v>
      </c>
      <c r="H241" s="3" t="s">
        <v>427</v>
      </c>
      <c r="I241" s="3">
        <v>2</v>
      </c>
    </row>
    <row r="242" spans="1:12" s="3" customFormat="1" ht="12.75">
      <c r="B242" s="3" t="str">
        <f t="shared" si="43"/>
        <v>0x97E6</v>
      </c>
      <c r="C242" s="3" t="str">
        <f t="shared" si="39"/>
        <v>0x97E7</v>
      </c>
      <c r="D242" s="3">
        <f t="shared" si="40"/>
        <v>38886</v>
      </c>
      <c r="E242" s="3">
        <f t="shared" si="41"/>
        <v>38887</v>
      </c>
      <c r="F242" s="4" t="s">
        <v>3142</v>
      </c>
      <c r="G242" s="3" t="s">
        <v>541</v>
      </c>
      <c r="H242" s="3" t="s">
        <v>427</v>
      </c>
      <c r="I242" s="3">
        <v>2</v>
      </c>
    </row>
    <row r="243" spans="1:12" s="3" customFormat="1" ht="12.75">
      <c r="B243" s="3" t="str">
        <f t="shared" si="43"/>
        <v>0x97E8</v>
      </c>
      <c r="C243" s="3" t="str">
        <f t="shared" si="39"/>
        <v>0x97E9</v>
      </c>
      <c r="D243" s="3">
        <f t="shared" si="40"/>
        <v>38888</v>
      </c>
      <c r="E243" s="3">
        <f t="shared" si="41"/>
        <v>38889</v>
      </c>
      <c r="F243" s="4" t="s">
        <v>3143</v>
      </c>
      <c r="G243" s="3" t="s">
        <v>541</v>
      </c>
      <c r="H243" s="3" t="s">
        <v>427</v>
      </c>
      <c r="I243" s="3">
        <v>2</v>
      </c>
    </row>
    <row r="244" spans="1:12" s="3" customFormat="1" ht="12.75">
      <c r="B244" s="3" t="str">
        <f t="shared" si="43"/>
        <v>0x97EA</v>
      </c>
      <c r="C244" s="3" t="str">
        <f t="shared" si="39"/>
        <v>0x97EB</v>
      </c>
      <c r="D244" s="3">
        <f t="shared" si="40"/>
        <v>38890</v>
      </c>
      <c r="E244" s="3">
        <f t="shared" si="41"/>
        <v>38891</v>
      </c>
      <c r="F244" s="4" t="s">
        <v>3144</v>
      </c>
      <c r="G244" s="3" t="s">
        <v>541</v>
      </c>
      <c r="H244" s="3" t="s">
        <v>427</v>
      </c>
      <c r="I244" s="3">
        <v>2</v>
      </c>
    </row>
    <row r="245" spans="1:12" s="3" customFormat="1" ht="12.75">
      <c r="F245" s="4"/>
      <c r="I245" s="3">
        <f>SUM(I186:I244)</f>
        <v>119</v>
      </c>
    </row>
    <row r="246" spans="1:12" s="3" customFormat="1" ht="12.75">
      <c r="F246" s="4"/>
    </row>
    <row r="247" spans="1:12" s="3" customFormat="1" ht="12.75">
      <c r="A247" s="72" t="s">
        <v>3149</v>
      </c>
    </row>
    <row r="248" spans="1:12" s="3" customFormat="1" ht="12.75">
      <c r="A248" s="128" t="s">
        <v>3092</v>
      </c>
      <c r="B248" s="3" t="str">
        <f>"0x"&amp;DEC2HEX(D248,4)</f>
        <v>0x980C</v>
      </c>
      <c r="C248" s="3" t="str">
        <f t="shared" ref="B248:C258" si="45">"0x"&amp;DEC2HEX(E248,4)</f>
        <v>0x984B</v>
      </c>
      <c r="D248" s="3">
        <v>38924</v>
      </c>
      <c r="E248" s="3">
        <f t="shared" ref="E248" si="46">D248+I248-1</f>
        <v>38987</v>
      </c>
      <c r="F248" s="4" t="s">
        <v>3255</v>
      </c>
      <c r="G248" s="3" t="s">
        <v>639</v>
      </c>
      <c r="H248" s="3" t="s">
        <v>430</v>
      </c>
      <c r="I248" s="3">
        <v>64</v>
      </c>
      <c r="J248" s="129"/>
    </row>
    <row r="249" spans="1:12" s="3" customFormat="1" ht="12.75">
      <c r="A249" s="128"/>
      <c r="B249" s="89" t="str">
        <f>"0x"&amp;DEC2HEX(D249,4)</f>
        <v>0x984C</v>
      </c>
      <c r="C249" s="89" t="str">
        <f>"0x"&amp;DEC2HEX(E249,4)</f>
        <v>0x98C9</v>
      </c>
      <c r="D249" s="3">
        <f t="shared" ref="D249" si="47">D248+I248</f>
        <v>38988</v>
      </c>
      <c r="E249" s="3">
        <f t="shared" ref="E249" si="48">D249+I249-1</f>
        <v>39113</v>
      </c>
      <c r="F249" s="4" t="s">
        <v>3244</v>
      </c>
      <c r="G249" s="3" t="s">
        <v>541</v>
      </c>
      <c r="H249" s="3" t="s">
        <v>427</v>
      </c>
      <c r="I249" s="3">
        <v>126</v>
      </c>
      <c r="J249" s="130"/>
    </row>
    <row r="250" spans="1:12" s="3" customFormat="1" ht="12.75">
      <c r="A250" s="128"/>
      <c r="B250" s="3" t="str">
        <f t="shared" si="45"/>
        <v>0x98CA</v>
      </c>
      <c r="C250" s="3" t="str">
        <f t="shared" si="45"/>
        <v>0x9909</v>
      </c>
      <c r="D250" s="3">
        <f t="shared" ref="D250:D259" si="49">D249+I249</f>
        <v>39114</v>
      </c>
      <c r="E250" s="3">
        <f t="shared" ref="E250:E259" si="50">D250+I250-1</f>
        <v>39177</v>
      </c>
      <c r="F250" s="4" t="s">
        <v>3250</v>
      </c>
      <c r="G250" s="3" t="s">
        <v>639</v>
      </c>
      <c r="H250" s="3" t="s">
        <v>427</v>
      </c>
      <c r="I250" s="3">
        <v>64</v>
      </c>
      <c r="J250" s="130"/>
      <c r="K250" s="3">
        <v>0</v>
      </c>
      <c r="L250" s="3">
        <v>0</v>
      </c>
    </row>
    <row r="251" spans="1:12" s="3" customFormat="1" ht="14.25" customHeight="1">
      <c r="A251" s="128"/>
      <c r="B251" s="89" t="str">
        <f>"0x"&amp;DEC2HEX(D251,4)</f>
        <v>0x990A</v>
      </c>
      <c r="C251" s="89" t="str">
        <f>"0x"&amp;DEC2HEX(E251,4)</f>
        <v>0x9987</v>
      </c>
      <c r="D251" s="3">
        <f t="shared" si="49"/>
        <v>39178</v>
      </c>
      <c r="E251" s="3">
        <f t="shared" si="50"/>
        <v>39303</v>
      </c>
      <c r="F251" s="4" t="s">
        <v>3245</v>
      </c>
      <c r="G251" s="3" t="s">
        <v>541</v>
      </c>
      <c r="H251" s="3" t="s">
        <v>427</v>
      </c>
      <c r="I251" s="3">
        <v>126</v>
      </c>
      <c r="J251" s="129"/>
    </row>
    <row r="252" spans="1:12" s="3" customFormat="1" ht="12.75">
      <c r="A252" s="128"/>
      <c r="B252" s="3" t="str">
        <f t="shared" si="45"/>
        <v>0x9988</v>
      </c>
      <c r="C252" s="3" t="str">
        <f t="shared" si="45"/>
        <v>0x99C7</v>
      </c>
      <c r="D252" s="3">
        <f t="shared" si="49"/>
        <v>39304</v>
      </c>
      <c r="E252" s="3">
        <f t="shared" si="50"/>
        <v>39367</v>
      </c>
      <c r="F252" s="4" t="s">
        <v>3251</v>
      </c>
      <c r="G252" s="3" t="s">
        <v>639</v>
      </c>
      <c r="H252" s="3" t="s">
        <v>427</v>
      </c>
      <c r="I252" s="3">
        <v>64</v>
      </c>
      <c r="J252" s="130"/>
    </row>
    <row r="253" spans="1:12" s="3" customFormat="1" ht="12.75">
      <c r="A253" s="128"/>
      <c r="B253" s="89" t="str">
        <f>"0x"&amp;DEC2HEX(D253,4)</f>
        <v>0x99C8</v>
      </c>
      <c r="C253" s="89" t="str">
        <f>"0x"&amp;DEC2HEX(E253,4)</f>
        <v>0x9A45</v>
      </c>
      <c r="D253" s="3">
        <f t="shared" si="49"/>
        <v>39368</v>
      </c>
      <c r="E253" s="3">
        <f t="shared" si="50"/>
        <v>39493</v>
      </c>
      <c r="F253" s="4" t="s">
        <v>3246</v>
      </c>
      <c r="G253" s="3" t="s">
        <v>541</v>
      </c>
      <c r="H253" s="3" t="s">
        <v>427</v>
      </c>
      <c r="I253" s="3">
        <v>126</v>
      </c>
      <c r="J253" s="130"/>
    </row>
    <row r="254" spans="1:12" s="102" customFormat="1" ht="12.75">
      <c r="A254" s="128"/>
      <c r="B254" s="3" t="str">
        <f t="shared" si="45"/>
        <v>0x9A46</v>
      </c>
      <c r="C254" s="3" t="str">
        <f t="shared" si="45"/>
        <v>0x9A85</v>
      </c>
      <c r="D254" s="3">
        <f t="shared" si="49"/>
        <v>39494</v>
      </c>
      <c r="E254" s="3">
        <f t="shared" si="50"/>
        <v>39557</v>
      </c>
      <c r="F254" s="4" t="s">
        <v>3252</v>
      </c>
      <c r="G254" s="3" t="s">
        <v>639</v>
      </c>
      <c r="H254" s="3" t="s">
        <v>427</v>
      </c>
      <c r="I254" s="3">
        <v>64</v>
      </c>
      <c r="J254" s="129" t="s">
        <v>3287</v>
      </c>
    </row>
    <row r="255" spans="1:12" s="102" customFormat="1" ht="12.75">
      <c r="A255" s="128"/>
      <c r="B255" s="89" t="str">
        <f>"0x"&amp;DEC2HEX(D255,4)</f>
        <v>0x9A86</v>
      </c>
      <c r="C255" s="89" t="str">
        <f>"0x"&amp;DEC2HEX(E255,4)</f>
        <v>0x9B03</v>
      </c>
      <c r="D255" s="3">
        <f t="shared" si="49"/>
        <v>39558</v>
      </c>
      <c r="E255" s="3">
        <f t="shared" si="50"/>
        <v>39683</v>
      </c>
      <c r="F255" s="4" t="s">
        <v>3247</v>
      </c>
      <c r="G255" s="3" t="s">
        <v>541</v>
      </c>
      <c r="H255" s="3" t="s">
        <v>427</v>
      </c>
      <c r="I255" s="3">
        <v>126</v>
      </c>
      <c r="J255" s="131"/>
    </row>
    <row r="256" spans="1:12" s="102" customFormat="1" ht="12.75">
      <c r="A256" s="128"/>
      <c r="B256" s="3" t="str">
        <f t="shared" si="45"/>
        <v>0x9B04</v>
      </c>
      <c r="C256" s="3" t="str">
        <f t="shared" si="45"/>
        <v>0x9B43</v>
      </c>
      <c r="D256" s="3">
        <f t="shared" si="49"/>
        <v>39684</v>
      </c>
      <c r="E256" s="3">
        <f t="shared" si="50"/>
        <v>39747</v>
      </c>
      <c r="F256" s="4" t="s">
        <v>3253</v>
      </c>
      <c r="G256" s="3" t="s">
        <v>639</v>
      </c>
      <c r="H256" s="3" t="s">
        <v>427</v>
      </c>
      <c r="I256" s="3">
        <v>64</v>
      </c>
      <c r="J256" s="131"/>
    </row>
    <row r="257" spans="1:12" s="102" customFormat="1" ht="12.75">
      <c r="A257" s="128"/>
      <c r="B257" s="89" t="str">
        <f>"0x"&amp;DEC2HEX(D257,4)</f>
        <v>0x9B44</v>
      </c>
      <c r="C257" s="89" t="str">
        <f>"0x"&amp;DEC2HEX(E257,4)</f>
        <v>0x9BC1</v>
      </c>
      <c r="D257" s="3">
        <f t="shared" si="49"/>
        <v>39748</v>
      </c>
      <c r="E257" s="3">
        <f t="shared" si="50"/>
        <v>39873</v>
      </c>
      <c r="F257" s="4" t="s">
        <v>3248</v>
      </c>
      <c r="G257" s="3" t="s">
        <v>541</v>
      </c>
      <c r="H257" s="3" t="s">
        <v>427</v>
      </c>
      <c r="I257" s="3">
        <v>126</v>
      </c>
      <c r="J257" s="131"/>
    </row>
    <row r="258" spans="1:12" s="102" customFormat="1" ht="12.75">
      <c r="A258" s="128"/>
      <c r="B258" s="3" t="str">
        <f t="shared" si="45"/>
        <v>0x9BC2</v>
      </c>
      <c r="C258" s="3" t="str">
        <f t="shared" si="45"/>
        <v>0x9C01</v>
      </c>
      <c r="D258" s="3">
        <f t="shared" si="49"/>
        <v>39874</v>
      </c>
      <c r="E258" s="3">
        <f t="shared" si="50"/>
        <v>39937</v>
      </c>
      <c r="F258" s="4" t="s">
        <v>3254</v>
      </c>
      <c r="G258" s="3" t="s">
        <v>639</v>
      </c>
      <c r="H258" s="3" t="s">
        <v>427</v>
      </c>
      <c r="I258" s="3">
        <v>64</v>
      </c>
      <c r="J258" s="131"/>
    </row>
    <row r="259" spans="1:12" s="102" customFormat="1" ht="12.75">
      <c r="A259" s="128"/>
      <c r="B259" s="89" t="str">
        <f t="shared" ref="B259" si="51">"0x"&amp;DEC2HEX(D259,4)</f>
        <v>0x9C02</v>
      </c>
      <c r="C259" s="89" t="str">
        <f t="shared" ref="C259" si="52">"0x"&amp;DEC2HEX(E259,4)</f>
        <v>0x9C7F</v>
      </c>
      <c r="D259" s="3">
        <f t="shared" si="49"/>
        <v>39938</v>
      </c>
      <c r="E259" s="3">
        <f t="shared" si="50"/>
        <v>40063</v>
      </c>
      <c r="F259" s="4" t="s">
        <v>3249</v>
      </c>
      <c r="G259" s="3" t="s">
        <v>541</v>
      </c>
      <c r="H259" s="3" t="s">
        <v>427</v>
      </c>
      <c r="I259" s="3">
        <v>126</v>
      </c>
      <c r="J259" s="131"/>
    </row>
    <row r="260" spans="1:12" s="3" customFormat="1" ht="12.75">
      <c r="A260" s="93"/>
      <c r="F260" s="4"/>
    </row>
    <row r="261" spans="1:12" s="3" customFormat="1" ht="12.75">
      <c r="A261" s="128" t="s">
        <v>3145</v>
      </c>
      <c r="B261" s="3" t="str">
        <f t="shared" ref="B261:C272" si="53">"0x"&amp;DEC2HEX(D261,4)</f>
        <v>0x9C80</v>
      </c>
      <c r="C261" s="3" t="str">
        <f t="shared" si="53"/>
        <v>0x9CBF</v>
      </c>
      <c r="D261" s="3">
        <f>D259+I259</f>
        <v>40064</v>
      </c>
      <c r="E261" s="3">
        <f t="shared" ref="E261:E262" si="54">D261+I261-1</f>
        <v>40127</v>
      </c>
      <c r="F261" s="4" t="s">
        <v>3255</v>
      </c>
      <c r="G261" s="3" t="s">
        <v>639</v>
      </c>
      <c r="H261" s="3" t="s">
        <v>430</v>
      </c>
      <c r="I261" s="3">
        <v>64</v>
      </c>
      <c r="J261" s="129" t="s">
        <v>3287</v>
      </c>
    </row>
    <row r="262" spans="1:12" s="3" customFormat="1" ht="12.75">
      <c r="A262" s="128"/>
      <c r="B262" s="89" t="str">
        <f>"0x"&amp;DEC2HEX(D262,4)</f>
        <v>0x9CC0</v>
      </c>
      <c r="C262" s="89" t="str">
        <f>"0x"&amp;DEC2HEX(E262,4)</f>
        <v>0x9D3D</v>
      </c>
      <c r="D262" s="3">
        <f t="shared" ref="D262" si="55">D261+I261</f>
        <v>40128</v>
      </c>
      <c r="E262" s="3">
        <f t="shared" si="54"/>
        <v>40253</v>
      </c>
      <c r="F262" s="4" t="s">
        <v>3244</v>
      </c>
      <c r="G262" s="3" t="s">
        <v>541</v>
      </c>
      <c r="H262" s="3" t="s">
        <v>427</v>
      </c>
      <c r="I262" s="3">
        <v>126</v>
      </c>
      <c r="J262" s="130"/>
    </row>
    <row r="263" spans="1:12" s="3" customFormat="1" ht="12.75">
      <c r="A263" s="128"/>
      <c r="B263" s="3" t="str">
        <f t="shared" si="53"/>
        <v>0x9D3E</v>
      </c>
      <c r="C263" s="3" t="str">
        <f t="shared" si="53"/>
        <v>0x9D7D</v>
      </c>
      <c r="D263" s="3">
        <f t="shared" ref="D263:D272" si="56">D262+I262</f>
        <v>40254</v>
      </c>
      <c r="E263" s="3">
        <f t="shared" ref="E263:E272" si="57">D263+I263-1</f>
        <v>40317</v>
      </c>
      <c r="F263" s="4" t="s">
        <v>3250</v>
      </c>
      <c r="G263" s="3" t="s">
        <v>639</v>
      </c>
      <c r="H263" s="3" t="s">
        <v>427</v>
      </c>
      <c r="I263" s="3">
        <v>64</v>
      </c>
      <c r="J263" s="130"/>
      <c r="K263" s="3">
        <v>0</v>
      </c>
      <c r="L263" s="3">
        <v>0</v>
      </c>
    </row>
    <row r="264" spans="1:12" s="3" customFormat="1" ht="14.25" customHeight="1">
      <c r="A264" s="128"/>
      <c r="B264" s="89" t="str">
        <f>"0x"&amp;DEC2HEX(D264,4)</f>
        <v>0x9D7E</v>
      </c>
      <c r="C264" s="89" t="str">
        <f>"0x"&amp;DEC2HEX(E264,4)</f>
        <v>0x9DFB</v>
      </c>
      <c r="D264" s="3">
        <f t="shared" si="56"/>
        <v>40318</v>
      </c>
      <c r="E264" s="3">
        <f t="shared" si="57"/>
        <v>40443</v>
      </c>
      <c r="F264" s="4" t="s">
        <v>3245</v>
      </c>
      <c r="G264" s="3" t="s">
        <v>541</v>
      </c>
      <c r="H264" s="3" t="s">
        <v>427</v>
      </c>
      <c r="I264" s="3">
        <v>126</v>
      </c>
      <c r="J264" s="129"/>
    </row>
    <row r="265" spans="1:12" s="3" customFormat="1" ht="12.75">
      <c r="A265" s="128"/>
      <c r="B265" s="3" t="str">
        <f t="shared" si="53"/>
        <v>0x9DFC</v>
      </c>
      <c r="C265" s="3" t="str">
        <f t="shared" si="53"/>
        <v>0x9E3B</v>
      </c>
      <c r="D265" s="3">
        <f t="shared" si="56"/>
        <v>40444</v>
      </c>
      <c r="E265" s="3">
        <f t="shared" si="57"/>
        <v>40507</v>
      </c>
      <c r="F265" s="4" t="s">
        <v>3251</v>
      </c>
      <c r="G265" s="3" t="s">
        <v>639</v>
      </c>
      <c r="H265" s="3" t="s">
        <v>427</v>
      </c>
      <c r="I265" s="3">
        <v>64</v>
      </c>
      <c r="J265" s="130"/>
    </row>
    <row r="266" spans="1:12" s="3" customFormat="1" ht="12.75">
      <c r="A266" s="128"/>
      <c r="B266" s="89" t="str">
        <f>"0x"&amp;DEC2HEX(D266,4)</f>
        <v>0x9E3C</v>
      </c>
      <c r="C266" s="89" t="str">
        <f>"0x"&amp;DEC2HEX(E266,4)</f>
        <v>0x9EB9</v>
      </c>
      <c r="D266" s="3">
        <f t="shared" si="56"/>
        <v>40508</v>
      </c>
      <c r="E266" s="3">
        <f t="shared" si="57"/>
        <v>40633</v>
      </c>
      <c r="F266" s="4" t="s">
        <v>3246</v>
      </c>
      <c r="G266" s="3" t="s">
        <v>541</v>
      </c>
      <c r="H266" s="3" t="s">
        <v>427</v>
      </c>
      <c r="I266" s="3">
        <v>126</v>
      </c>
      <c r="J266" s="130"/>
    </row>
    <row r="267" spans="1:12" s="3" customFormat="1" ht="12.75">
      <c r="A267" s="128"/>
      <c r="B267" s="3" t="str">
        <f t="shared" si="53"/>
        <v>0x9EBA</v>
      </c>
      <c r="C267" s="3" t="str">
        <f t="shared" si="53"/>
        <v>0x9EF9</v>
      </c>
      <c r="D267" s="3">
        <f t="shared" si="56"/>
        <v>40634</v>
      </c>
      <c r="E267" s="3">
        <f t="shared" si="57"/>
        <v>40697</v>
      </c>
      <c r="F267" s="4" t="s">
        <v>3252</v>
      </c>
      <c r="G267" s="3" t="s">
        <v>639</v>
      </c>
      <c r="H267" s="3" t="s">
        <v>427</v>
      </c>
      <c r="I267" s="3">
        <v>64</v>
      </c>
    </row>
    <row r="268" spans="1:12" s="3" customFormat="1" ht="12.75">
      <c r="A268" s="128"/>
      <c r="B268" s="89" t="str">
        <f>"0x"&amp;DEC2HEX(D268,4)</f>
        <v>0x9EFA</v>
      </c>
      <c r="C268" s="89" t="str">
        <f>"0x"&amp;DEC2HEX(E268,4)</f>
        <v>0x9F77</v>
      </c>
      <c r="D268" s="3">
        <f t="shared" si="56"/>
        <v>40698</v>
      </c>
      <c r="E268" s="3">
        <f t="shared" si="57"/>
        <v>40823</v>
      </c>
      <c r="F268" s="4" t="s">
        <v>3247</v>
      </c>
      <c r="G268" s="3" t="s">
        <v>541</v>
      </c>
      <c r="H268" s="3" t="s">
        <v>427</v>
      </c>
      <c r="I268" s="3">
        <v>126</v>
      </c>
      <c r="J268" s="129"/>
    </row>
    <row r="269" spans="1:12" s="3" customFormat="1" ht="12.75">
      <c r="A269" s="128"/>
      <c r="B269" s="3" t="str">
        <f t="shared" si="53"/>
        <v>0x9F78</v>
      </c>
      <c r="C269" s="3" t="str">
        <f t="shared" si="53"/>
        <v>0x9FB7</v>
      </c>
      <c r="D269" s="3">
        <f t="shared" si="56"/>
        <v>40824</v>
      </c>
      <c r="E269" s="3">
        <f t="shared" si="57"/>
        <v>40887</v>
      </c>
      <c r="F269" s="4" t="s">
        <v>3253</v>
      </c>
      <c r="G269" s="3" t="s">
        <v>639</v>
      </c>
      <c r="H269" s="3" t="s">
        <v>427</v>
      </c>
      <c r="I269" s="3">
        <v>64</v>
      </c>
      <c r="J269" s="130"/>
    </row>
    <row r="270" spans="1:12" s="3" customFormat="1" ht="12.75">
      <c r="A270" s="128"/>
      <c r="B270" s="89" t="str">
        <f>"0x"&amp;DEC2HEX(D270,4)</f>
        <v>0x9FB8</v>
      </c>
      <c r="C270" s="89" t="str">
        <f>"0x"&amp;DEC2HEX(E270,4)</f>
        <v>0xA035</v>
      </c>
      <c r="D270" s="3">
        <f t="shared" si="56"/>
        <v>40888</v>
      </c>
      <c r="E270" s="3">
        <f t="shared" si="57"/>
        <v>41013</v>
      </c>
      <c r="F270" s="4" t="s">
        <v>3248</v>
      </c>
      <c r="G270" s="3" t="s">
        <v>541</v>
      </c>
      <c r="H270" s="3" t="s">
        <v>427</v>
      </c>
      <c r="I270" s="3">
        <v>126</v>
      </c>
      <c r="J270" s="130"/>
      <c r="K270" s="3">
        <v>0</v>
      </c>
      <c r="L270" s="3">
        <v>0</v>
      </c>
    </row>
    <row r="271" spans="1:12" s="3" customFormat="1" ht="14.25" customHeight="1">
      <c r="A271" s="128"/>
      <c r="B271" s="3" t="str">
        <f t="shared" si="53"/>
        <v>0xA036</v>
      </c>
      <c r="C271" s="3" t="str">
        <f t="shared" si="53"/>
        <v>0xA075</v>
      </c>
      <c r="D271" s="3">
        <f t="shared" si="56"/>
        <v>41014</v>
      </c>
      <c r="E271" s="3">
        <f t="shared" si="57"/>
        <v>41077</v>
      </c>
      <c r="F271" s="4" t="s">
        <v>3254</v>
      </c>
      <c r="G271" s="3" t="s">
        <v>639</v>
      </c>
      <c r="H271" s="3" t="s">
        <v>427</v>
      </c>
      <c r="I271" s="3">
        <v>64</v>
      </c>
      <c r="J271" s="129"/>
    </row>
    <row r="272" spans="1:12" s="3" customFormat="1" ht="14.25" customHeight="1">
      <c r="A272" s="128"/>
      <c r="B272" s="89" t="str">
        <f t="shared" si="53"/>
        <v>0xA076</v>
      </c>
      <c r="C272" s="89" t="str">
        <f t="shared" si="53"/>
        <v>0xA0F3</v>
      </c>
      <c r="D272" s="3">
        <f t="shared" si="56"/>
        <v>41078</v>
      </c>
      <c r="E272" s="3">
        <f t="shared" si="57"/>
        <v>41203</v>
      </c>
      <c r="F272" s="4" t="s">
        <v>3249</v>
      </c>
      <c r="G272" s="3" t="s">
        <v>541</v>
      </c>
      <c r="H272" s="3" t="s">
        <v>427</v>
      </c>
      <c r="I272" s="3">
        <v>126</v>
      </c>
      <c r="J272" s="129"/>
    </row>
    <row r="273" spans="1:12" s="3" customFormat="1" ht="12.75">
      <c r="F273" s="4"/>
      <c r="J273" s="130"/>
    </row>
    <row r="274" spans="1:12" s="3" customFormat="1" ht="12.75">
      <c r="A274" s="128" t="s">
        <v>3150</v>
      </c>
      <c r="B274" s="3" t="str">
        <f t="shared" ref="B274:C284" si="58">"0x"&amp;DEC2HEX(D274,4)</f>
        <v>0xA0F4</v>
      </c>
      <c r="C274" s="3" t="str">
        <f t="shared" si="58"/>
        <v>0xA133</v>
      </c>
      <c r="D274" s="3">
        <f>D272+I272</f>
        <v>41204</v>
      </c>
      <c r="E274" s="3">
        <f t="shared" ref="E274:E275" si="59">D274+I274-1</f>
        <v>41267</v>
      </c>
      <c r="F274" s="4" t="s">
        <v>3255</v>
      </c>
      <c r="G274" s="3" t="s">
        <v>639</v>
      </c>
      <c r="H274" s="3" t="s">
        <v>430</v>
      </c>
      <c r="I274" s="3">
        <v>64</v>
      </c>
      <c r="J274" s="130"/>
    </row>
    <row r="275" spans="1:12" s="3" customFormat="1" ht="12.75">
      <c r="A275" s="128"/>
      <c r="B275" s="89" t="str">
        <f>"0x"&amp;DEC2HEX(D275,4)</f>
        <v>0xA134</v>
      </c>
      <c r="C275" s="89" t="str">
        <f>"0x"&amp;DEC2HEX(E275,4)</f>
        <v>0xA1B1</v>
      </c>
      <c r="D275" s="3">
        <f t="shared" ref="D275" si="60">D274+I274</f>
        <v>41268</v>
      </c>
      <c r="E275" s="3">
        <f t="shared" si="59"/>
        <v>41393</v>
      </c>
      <c r="F275" s="4" t="s">
        <v>3244</v>
      </c>
      <c r="G275" s="3" t="s">
        <v>541</v>
      </c>
      <c r="H275" s="3" t="s">
        <v>427</v>
      </c>
      <c r="I275" s="3">
        <v>126</v>
      </c>
    </row>
    <row r="276" spans="1:12" s="3" customFormat="1" ht="12.75">
      <c r="A276" s="128"/>
      <c r="B276" s="3" t="str">
        <f t="shared" si="58"/>
        <v>0xA1B2</v>
      </c>
      <c r="C276" s="3" t="str">
        <f t="shared" si="58"/>
        <v>0xA1F1</v>
      </c>
      <c r="D276" s="3">
        <f t="shared" ref="D276:D283" si="61">D275+I275</f>
        <v>41394</v>
      </c>
      <c r="E276" s="3">
        <f t="shared" ref="E276:E283" si="62">D276+I276-1</f>
        <v>41457</v>
      </c>
      <c r="F276" s="4" t="s">
        <v>3250</v>
      </c>
      <c r="G276" s="3" t="s">
        <v>639</v>
      </c>
      <c r="H276" s="3" t="s">
        <v>427</v>
      </c>
      <c r="I276" s="3">
        <v>64</v>
      </c>
      <c r="J276" s="129"/>
    </row>
    <row r="277" spans="1:12" s="3" customFormat="1" ht="12.75">
      <c r="A277" s="128"/>
      <c r="B277" s="89" t="str">
        <f>"0x"&amp;DEC2HEX(D277,4)</f>
        <v>0xA1F2</v>
      </c>
      <c r="C277" s="89" t="str">
        <f>"0x"&amp;DEC2HEX(E277,4)</f>
        <v>0xA26F</v>
      </c>
      <c r="D277" s="3">
        <f t="shared" si="61"/>
        <v>41458</v>
      </c>
      <c r="E277" s="3">
        <f t="shared" si="62"/>
        <v>41583</v>
      </c>
      <c r="F277" s="4" t="s">
        <v>3245</v>
      </c>
      <c r="G277" s="3" t="s">
        <v>541</v>
      </c>
      <c r="H277" s="3" t="s">
        <v>427</v>
      </c>
      <c r="I277" s="3">
        <v>126</v>
      </c>
      <c r="J277" s="130"/>
    </row>
    <row r="278" spans="1:12" s="3" customFormat="1" ht="12.75">
      <c r="A278" s="128"/>
      <c r="B278" s="3" t="str">
        <f t="shared" si="58"/>
        <v>0xA270</v>
      </c>
      <c r="C278" s="3" t="str">
        <f t="shared" si="58"/>
        <v>0xA2AF</v>
      </c>
      <c r="D278" s="3">
        <f t="shared" si="61"/>
        <v>41584</v>
      </c>
      <c r="E278" s="3">
        <f t="shared" si="62"/>
        <v>41647</v>
      </c>
      <c r="F278" s="4" t="s">
        <v>3251</v>
      </c>
      <c r="G278" s="3" t="s">
        <v>639</v>
      </c>
      <c r="H278" s="3" t="s">
        <v>427</v>
      </c>
      <c r="I278" s="3">
        <v>64</v>
      </c>
      <c r="J278" s="130"/>
      <c r="K278" s="3">
        <v>0</v>
      </c>
      <c r="L278" s="3">
        <v>0</v>
      </c>
    </row>
    <row r="279" spans="1:12" s="3" customFormat="1" ht="14.25" customHeight="1">
      <c r="A279" s="128"/>
      <c r="B279" s="89" t="str">
        <f>"0x"&amp;DEC2HEX(D279,4)</f>
        <v>0xA2B0</v>
      </c>
      <c r="C279" s="89" t="str">
        <f>"0x"&amp;DEC2HEX(E279,4)</f>
        <v>0xA32D</v>
      </c>
      <c r="D279" s="3">
        <f t="shared" si="61"/>
        <v>41648</v>
      </c>
      <c r="E279" s="3">
        <f t="shared" si="62"/>
        <v>41773</v>
      </c>
      <c r="F279" s="4" t="s">
        <v>3246</v>
      </c>
      <c r="G279" s="3" t="s">
        <v>541</v>
      </c>
      <c r="H279" s="3" t="s">
        <v>427</v>
      </c>
      <c r="I279" s="3">
        <v>126</v>
      </c>
      <c r="J279" s="129"/>
    </row>
    <row r="280" spans="1:12" s="3" customFormat="1" ht="12.75">
      <c r="A280" s="128"/>
      <c r="B280" s="3" t="str">
        <f t="shared" si="58"/>
        <v>0xA32E</v>
      </c>
      <c r="C280" s="3" t="str">
        <f t="shared" si="58"/>
        <v>0xA36D</v>
      </c>
      <c r="D280" s="3">
        <f t="shared" si="61"/>
        <v>41774</v>
      </c>
      <c r="E280" s="3">
        <f t="shared" si="62"/>
        <v>41837</v>
      </c>
      <c r="F280" s="4" t="s">
        <v>3252</v>
      </c>
      <c r="G280" s="3" t="s">
        <v>639</v>
      </c>
      <c r="H280" s="3" t="s">
        <v>427</v>
      </c>
      <c r="I280" s="3">
        <v>64</v>
      </c>
      <c r="J280" s="130"/>
    </row>
    <row r="281" spans="1:12" s="3" customFormat="1" ht="12.75">
      <c r="A281" s="128"/>
      <c r="B281" s="89" t="str">
        <f>"0x"&amp;DEC2HEX(D281,4)</f>
        <v>0xA36E</v>
      </c>
      <c r="C281" s="89" t="str">
        <f>"0x"&amp;DEC2HEX(E281,4)</f>
        <v>0xA3EB</v>
      </c>
      <c r="D281" s="3">
        <f t="shared" si="61"/>
        <v>41838</v>
      </c>
      <c r="E281" s="3">
        <f t="shared" si="62"/>
        <v>41963</v>
      </c>
      <c r="F281" s="4" t="s">
        <v>3247</v>
      </c>
      <c r="G281" s="3" t="s">
        <v>541</v>
      </c>
      <c r="H281" s="3" t="s">
        <v>427</v>
      </c>
      <c r="I281" s="3">
        <v>126</v>
      </c>
      <c r="J281" s="130"/>
    </row>
    <row r="282" spans="1:12" s="3" customFormat="1" ht="12.75">
      <c r="A282" s="128"/>
      <c r="B282" s="3" t="str">
        <f t="shared" si="58"/>
        <v>0xA3EC</v>
      </c>
      <c r="C282" s="3" t="str">
        <f t="shared" si="58"/>
        <v>0xA42B</v>
      </c>
      <c r="D282" s="3">
        <f t="shared" si="61"/>
        <v>41964</v>
      </c>
      <c r="E282" s="3">
        <f t="shared" si="62"/>
        <v>42027</v>
      </c>
      <c r="F282" s="4" t="s">
        <v>3253</v>
      </c>
      <c r="G282" s="3" t="s">
        <v>639</v>
      </c>
      <c r="H282" s="3" t="s">
        <v>427</v>
      </c>
      <c r="I282" s="3">
        <v>64</v>
      </c>
    </row>
    <row r="283" spans="1:12" s="94" customFormat="1" ht="12.75">
      <c r="A283" s="128"/>
      <c r="B283" s="89" t="str">
        <f>"0x"&amp;DEC2HEX(D283,4)</f>
        <v>0xA42C</v>
      </c>
      <c r="C283" s="89" t="str">
        <f>"0x"&amp;DEC2HEX(E283,4)</f>
        <v>0xA4A9</v>
      </c>
      <c r="D283" s="3">
        <f t="shared" si="61"/>
        <v>42028</v>
      </c>
      <c r="E283" s="3">
        <f t="shared" si="62"/>
        <v>42153</v>
      </c>
      <c r="F283" s="4" t="s">
        <v>3248</v>
      </c>
      <c r="G283" s="3" t="s">
        <v>541</v>
      </c>
      <c r="H283" s="3" t="s">
        <v>427</v>
      </c>
      <c r="I283" s="3">
        <v>126</v>
      </c>
    </row>
    <row r="284" spans="1:12" s="3" customFormat="1" ht="12.75">
      <c r="A284" s="128"/>
      <c r="B284" s="3" t="str">
        <f t="shared" si="58"/>
        <v>0xA4AA</v>
      </c>
      <c r="C284" s="3" t="str">
        <f t="shared" si="58"/>
        <v>0xA4E9</v>
      </c>
      <c r="D284" s="3">
        <f t="shared" ref="D284:D285" si="63">D283+I283</f>
        <v>42154</v>
      </c>
      <c r="E284" s="3">
        <f t="shared" ref="E284:E285" si="64">D284+I284-1</f>
        <v>42217</v>
      </c>
      <c r="F284" s="4" t="s">
        <v>3254</v>
      </c>
      <c r="G284" s="3" t="s">
        <v>639</v>
      </c>
      <c r="H284" s="3" t="s">
        <v>427</v>
      </c>
      <c r="I284" s="3">
        <v>64</v>
      </c>
      <c r="J284" s="129" t="s">
        <v>3287</v>
      </c>
    </row>
    <row r="285" spans="1:12" s="3" customFormat="1" ht="12.75">
      <c r="A285" s="128"/>
      <c r="B285" s="89" t="str">
        <f t="shared" ref="B285" si="65">"0x"&amp;DEC2HEX(D285,4)</f>
        <v>0xA4EA</v>
      </c>
      <c r="C285" s="89" t="str">
        <f t="shared" ref="C285" si="66">"0x"&amp;DEC2HEX(E285,4)</f>
        <v>0xA567</v>
      </c>
      <c r="D285" s="3">
        <f t="shared" si="63"/>
        <v>42218</v>
      </c>
      <c r="E285" s="3">
        <f t="shared" si="64"/>
        <v>42343</v>
      </c>
      <c r="F285" s="4" t="s">
        <v>3249</v>
      </c>
      <c r="G285" s="3" t="s">
        <v>541</v>
      </c>
      <c r="H285" s="3" t="s">
        <v>427</v>
      </c>
      <c r="I285" s="3">
        <v>126</v>
      </c>
      <c r="J285" s="130"/>
    </row>
    <row r="286" spans="1:12" s="3" customFormat="1" ht="12.75">
      <c r="F286" s="4"/>
      <c r="J286" s="130"/>
    </row>
    <row r="287" spans="1:12" s="3" customFormat="1" ht="12.75">
      <c r="A287" s="128" t="s">
        <v>3148</v>
      </c>
      <c r="B287" s="3" t="str">
        <f t="shared" ref="B287:C298" si="67">"0x"&amp;DEC2HEX(D287,4)</f>
        <v>0xA568</v>
      </c>
      <c r="C287" s="3" t="str">
        <f t="shared" si="67"/>
        <v>0xA5A7</v>
      </c>
      <c r="D287" s="3">
        <f>D285+I285</f>
        <v>42344</v>
      </c>
      <c r="E287" s="3">
        <f t="shared" ref="E287:E288" si="68">D287+I287-1</f>
        <v>42407</v>
      </c>
      <c r="F287" s="4" t="s">
        <v>3255</v>
      </c>
      <c r="G287" s="3" t="s">
        <v>639</v>
      </c>
      <c r="H287" s="3" t="s">
        <v>430</v>
      </c>
      <c r="I287" s="3">
        <v>64</v>
      </c>
      <c r="J287" s="130"/>
    </row>
    <row r="288" spans="1:12" s="3" customFormat="1" ht="12.75">
      <c r="A288" s="128"/>
      <c r="B288" s="89" t="str">
        <f>"0x"&amp;DEC2HEX(D288,4)</f>
        <v>0xA5A8</v>
      </c>
      <c r="C288" s="89" t="str">
        <f>"0x"&amp;DEC2HEX(E288,4)</f>
        <v>0xA625</v>
      </c>
      <c r="D288" s="3">
        <f t="shared" ref="D288" si="69">D287+I287</f>
        <v>42408</v>
      </c>
      <c r="E288" s="3">
        <f t="shared" si="68"/>
        <v>42533</v>
      </c>
      <c r="F288" s="4" t="s">
        <v>3244</v>
      </c>
      <c r="G288" s="3" t="s">
        <v>541</v>
      </c>
      <c r="H288" s="3" t="s">
        <v>427</v>
      </c>
      <c r="I288" s="3">
        <v>126</v>
      </c>
      <c r="J288" s="130"/>
    </row>
    <row r="289" spans="1:10" s="3" customFormat="1" ht="12.75">
      <c r="A289" s="128"/>
      <c r="B289" s="3" t="str">
        <f t="shared" si="67"/>
        <v>0xA626</v>
      </c>
      <c r="C289" s="3" t="str">
        <f t="shared" si="67"/>
        <v>0xA665</v>
      </c>
      <c r="D289" s="3">
        <f t="shared" ref="D289:D298" si="70">D288+I288</f>
        <v>42534</v>
      </c>
      <c r="E289" s="3">
        <f t="shared" ref="E289:E298" si="71">D289+I289-1</f>
        <v>42597</v>
      </c>
      <c r="F289" s="4" t="s">
        <v>3250</v>
      </c>
      <c r="G289" s="3" t="s">
        <v>639</v>
      </c>
      <c r="H289" s="3" t="s">
        <v>427</v>
      </c>
      <c r="I289" s="3">
        <v>64</v>
      </c>
      <c r="J289" s="130"/>
    </row>
    <row r="290" spans="1:10" s="3" customFormat="1" ht="15" customHeight="1">
      <c r="A290" s="128"/>
      <c r="B290" s="89" t="str">
        <f>"0x"&amp;DEC2HEX(D290,4)</f>
        <v>0xA666</v>
      </c>
      <c r="C290" s="89" t="str">
        <f>"0x"&amp;DEC2HEX(E290,4)</f>
        <v>0xA6E3</v>
      </c>
      <c r="D290" s="3">
        <f t="shared" si="70"/>
        <v>42598</v>
      </c>
      <c r="E290" s="3">
        <f t="shared" si="71"/>
        <v>42723</v>
      </c>
      <c r="F290" s="4" t="s">
        <v>3245</v>
      </c>
      <c r="G290" s="3" t="s">
        <v>541</v>
      </c>
      <c r="H290" s="3" t="s">
        <v>427</v>
      </c>
      <c r="I290" s="3">
        <v>126</v>
      </c>
    </row>
    <row r="291" spans="1:10" s="3" customFormat="1" ht="12.75">
      <c r="A291" s="128"/>
      <c r="B291" s="3" t="str">
        <f t="shared" si="67"/>
        <v>0xA6E4</v>
      </c>
      <c r="C291" s="3" t="str">
        <f t="shared" si="67"/>
        <v>0xA723</v>
      </c>
      <c r="D291" s="3">
        <f t="shared" si="70"/>
        <v>42724</v>
      </c>
      <c r="E291" s="3">
        <f t="shared" si="71"/>
        <v>42787</v>
      </c>
      <c r="F291" s="4" t="s">
        <v>3251</v>
      </c>
      <c r="G291" s="3" t="s">
        <v>639</v>
      </c>
      <c r="H291" s="3" t="s">
        <v>427</v>
      </c>
      <c r="I291" s="3">
        <v>64</v>
      </c>
      <c r="J291" s="129" t="s">
        <v>3287</v>
      </c>
    </row>
    <row r="292" spans="1:10" s="3" customFormat="1" ht="12.75">
      <c r="A292" s="128"/>
      <c r="B292" s="89" t="str">
        <f>"0x"&amp;DEC2HEX(D292,4)</f>
        <v>0xA724</v>
      </c>
      <c r="C292" s="89" t="str">
        <f>"0x"&amp;DEC2HEX(E292,4)</f>
        <v>0xA7A1</v>
      </c>
      <c r="D292" s="3">
        <f t="shared" si="70"/>
        <v>42788</v>
      </c>
      <c r="E292" s="3">
        <f t="shared" si="71"/>
        <v>42913</v>
      </c>
      <c r="F292" s="4" t="s">
        <v>3246</v>
      </c>
      <c r="G292" s="3" t="s">
        <v>541</v>
      </c>
      <c r="H292" s="3" t="s">
        <v>427</v>
      </c>
      <c r="I292" s="3">
        <v>126</v>
      </c>
      <c r="J292" s="130"/>
    </row>
    <row r="293" spans="1:10" s="3" customFormat="1" ht="12.75">
      <c r="A293" s="128"/>
      <c r="B293" s="3" t="str">
        <f t="shared" si="67"/>
        <v>0xA7A2</v>
      </c>
      <c r="C293" s="3" t="str">
        <f t="shared" si="67"/>
        <v>0xA7E1</v>
      </c>
      <c r="D293" s="3">
        <f t="shared" si="70"/>
        <v>42914</v>
      </c>
      <c r="E293" s="3">
        <f t="shared" si="71"/>
        <v>42977</v>
      </c>
      <c r="F293" s="4" t="s">
        <v>3252</v>
      </c>
      <c r="G293" s="3" t="s">
        <v>639</v>
      </c>
      <c r="H293" s="3" t="s">
        <v>427</v>
      </c>
      <c r="I293" s="3">
        <v>64</v>
      </c>
      <c r="J293" s="130"/>
    </row>
    <row r="294" spans="1:10" s="3" customFormat="1" ht="12.75">
      <c r="A294" s="128"/>
      <c r="B294" s="89" t="str">
        <f>"0x"&amp;DEC2HEX(D294,4)</f>
        <v>0xA7E2</v>
      </c>
      <c r="C294" s="89" t="str">
        <f>"0x"&amp;DEC2HEX(E294,4)</f>
        <v>0xA85F</v>
      </c>
      <c r="D294" s="3">
        <f t="shared" si="70"/>
        <v>42978</v>
      </c>
      <c r="E294" s="3">
        <f t="shared" si="71"/>
        <v>43103</v>
      </c>
      <c r="F294" s="4" t="s">
        <v>3247</v>
      </c>
      <c r="G294" s="3" t="s">
        <v>541</v>
      </c>
      <c r="H294" s="3" t="s">
        <v>427</v>
      </c>
      <c r="I294" s="3">
        <v>126</v>
      </c>
      <c r="J294" s="130"/>
    </row>
    <row r="295" spans="1:10" s="3" customFormat="1" ht="15" customHeight="1">
      <c r="A295" s="128"/>
      <c r="B295" s="3" t="str">
        <f t="shared" si="67"/>
        <v>0xA860</v>
      </c>
      <c r="C295" s="3" t="str">
        <f t="shared" si="67"/>
        <v>0xA89F</v>
      </c>
      <c r="D295" s="3">
        <f t="shared" si="70"/>
        <v>43104</v>
      </c>
      <c r="E295" s="3">
        <f t="shared" si="71"/>
        <v>43167</v>
      </c>
      <c r="F295" s="4" t="s">
        <v>3253</v>
      </c>
      <c r="G295" s="3" t="s">
        <v>639</v>
      </c>
      <c r="H295" s="3" t="s">
        <v>427</v>
      </c>
      <c r="I295" s="3">
        <v>64</v>
      </c>
      <c r="J295" s="130"/>
    </row>
    <row r="296" spans="1:10" s="3" customFormat="1" ht="12.75">
      <c r="A296" s="128"/>
      <c r="B296" s="89" t="str">
        <f>"0x"&amp;DEC2HEX(D296,4)</f>
        <v>0xA8A0</v>
      </c>
      <c r="C296" s="89" t="str">
        <f>"0x"&amp;DEC2HEX(E296,4)</f>
        <v>0xA91D</v>
      </c>
      <c r="D296" s="3">
        <f t="shared" si="70"/>
        <v>43168</v>
      </c>
      <c r="E296" s="3">
        <f t="shared" si="71"/>
        <v>43293</v>
      </c>
      <c r="F296" s="4" t="s">
        <v>3248</v>
      </c>
      <c r="G296" s="3" t="s">
        <v>541</v>
      </c>
      <c r="H296" s="3" t="s">
        <v>427</v>
      </c>
      <c r="I296" s="3">
        <v>126</v>
      </c>
      <c r="J296" s="130"/>
    </row>
    <row r="297" spans="1:10" s="3" customFormat="1" ht="15" customHeight="1">
      <c r="A297" s="128"/>
      <c r="B297" s="3" t="str">
        <f t="shared" si="67"/>
        <v>0xA91E</v>
      </c>
      <c r="C297" s="3" t="str">
        <f t="shared" si="67"/>
        <v>0xA95D</v>
      </c>
      <c r="D297" s="3">
        <f t="shared" si="70"/>
        <v>43294</v>
      </c>
      <c r="E297" s="3">
        <f t="shared" si="71"/>
        <v>43357</v>
      </c>
      <c r="F297" s="4" t="s">
        <v>3254</v>
      </c>
      <c r="G297" s="3" t="s">
        <v>639</v>
      </c>
      <c r="H297" s="3" t="s">
        <v>427</v>
      </c>
      <c r="I297" s="3">
        <v>64</v>
      </c>
    </row>
    <row r="298" spans="1:10" s="3" customFormat="1" ht="15" customHeight="1">
      <c r="A298" s="128"/>
      <c r="B298" s="89" t="str">
        <f t="shared" si="67"/>
        <v>0xA95E</v>
      </c>
      <c r="C298" s="89" t="str">
        <f t="shared" si="67"/>
        <v>0xA9DB</v>
      </c>
      <c r="D298" s="3">
        <f t="shared" si="70"/>
        <v>43358</v>
      </c>
      <c r="E298" s="3">
        <f t="shared" si="71"/>
        <v>43483</v>
      </c>
      <c r="F298" s="4" t="s">
        <v>3249</v>
      </c>
      <c r="G298" s="3" t="s">
        <v>541</v>
      </c>
      <c r="H298" s="3" t="s">
        <v>427</v>
      </c>
      <c r="I298" s="3">
        <v>126</v>
      </c>
      <c r="J298" s="129"/>
    </row>
    <row r="299" spans="1:10" s="3" customFormat="1">
      <c r="A299"/>
      <c r="F299" s="4"/>
      <c r="J299" s="130"/>
    </row>
    <row r="300" spans="1:10" s="3" customFormat="1">
      <c r="A300"/>
      <c r="B300" s="94"/>
      <c r="C300" s="94"/>
      <c r="D300" s="94"/>
      <c r="E300" s="94"/>
      <c r="F300" s="95"/>
      <c r="G300" s="94"/>
      <c r="H300" s="94"/>
      <c r="I300" s="94"/>
      <c r="J300" s="130"/>
    </row>
    <row r="301" spans="1:10" s="3" customFormat="1">
      <c r="A301"/>
      <c r="B301"/>
      <c r="C301"/>
      <c r="D301"/>
      <c r="E301"/>
      <c r="F301"/>
      <c r="G301"/>
      <c r="H301"/>
      <c r="I301"/>
      <c r="J301" s="130"/>
    </row>
    <row r="302" spans="1:10" s="3" customFormat="1">
      <c r="A302"/>
      <c r="F302" s="4"/>
      <c r="J302" s="130"/>
    </row>
    <row r="303" spans="1:10" s="3" customFormat="1" ht="12.75">
      <c r="A303" s="128" t="s">
        <v>3221</v>
      </c>
      <c r="B303" s="3" t="str">
        <f t="shared" ref="B303:B304" si="72">"0x"&amp;DEC2HEX(D303,4)</f>
        <v>0xA9DD</v>
      </c>
      <c r="C303" s="3" t="str">
        <f>"0x"&amp;DEC2HEX(E303,4)</f>
        <v>0xA9E0</v>
      </c>
      <c r="D303" s="3">
        <v>43485</v>
      </c>
      <c r="E303" s="3">
        <f>D303+I303-1</f>
        <v>43488</v>
      </c>
      <c r="F303" s="4" t="s">
        <v>3093</v>
      </c>
      <c r="G303" s="3" t="s">
        <v>3094</v>
      </c>
      <c r="H303" s="3" t="s">
        <v>427</v>
      </c>
      <c r="I303" s="3">
        <v>4</v>
      </c>
      <c r="J303" s="130"/>
    </row>
    <row r="304" spans="1:10" s="3" customFormat="1" ht="15" customHeight="1">
      <c r="A304" s="128"/>
      <c r="B304" s="3" t="str">
        <f t="shared" si="72"/>
        <v>0xA9E1</v>
      </c>
      <c r="D304" s="3">
        <f t="shared" ref="D304:D305" si="73">D303+I303</f>
        <v>43489</v>
      </c>
      <c r="F304" s="4" t="s">
        <v>3097</v>
      </c>
      <c r="G304" s="3" t="s">
        <v>802</v>
      </c>
      <c r="H304" s="3" t="s">
        <v>427</v>
      </c>
      <c r="I304" s="3">
        <v>1</v>
      </c>
    </row>
    <row r="305" spans="1:10" s="3" customFormat="1" ht="15" customHeight="1">
      <c r="A305" s="128"/>
      <c r="B305" s="3" t="str">
        <f>"0x"&amp;DEC2HEX(D305,4)</f>
        <v>0xA9E2</v>
      </c>
      <c r="C305" s="3" t="str">
        <f>"0x"&amp;DEC2HEX(E305,4)</f>
        <v>0xA9E3</v>
      </c>
      <c r="D305" s="3">
        <f t="shared" si="73"/>
        <v>43490</v>
      </c>
      <c r="E305" s="3">
        <f t="shared" ref="E305" si="74">D305+I305-1</f>
        <v>43491</v>
      </c>
      <c r="F305" s="4" t="s">
        <v>2680</v>
      </c>
      <c r="G305" s="3" t="s">
        <v>1157</v>
      </c>
      <c r="H305" s="3" t="s">
        <v>427</v>
      </c>
      <c r="I305" s="3">
        <v>2</v>
      </c>
      <c r="J305" s="129"/>
    </row>
    <row r="306" spans="1:10" s="3" customFormat="1">
      <c r="A306"/>
      <c r="B306"/>
      <c r="C306"/>
      <c r="D306"/>
      <c r="E306"/>
      <c r="F306"/>
      <c r="G306"/>
      <c r="H306"/>
      <c r="I306"/>
      <c r="J306" s="130"/>
    </row>
    <row r="307" spans="1:10" s="3" customFormat="1">
      <c r="A307"/>
      <c r="B307"/>
      <c r="C307"/>
      <c r="D307"/>
      <c r="E307"/>
      <c r="F307"/>
      <c r="G307"/>
      <c r="H307"/>
      <c r="I307"/>
      <c r="J307" s="130"/>
    </row>
    <row r="308" spans="1:10" s="3" customFormat="1">
      <c r="A308"/>
      <c r="B308"/>
      <c r="C308"/>
      <c r="D308"/>
      <c r="E308"/>
      <c r="F308"/>
      <c r="G308"/>
      <c r="H308"/>
      <c r="I308"/>
      <c r="J308" s="130"/>
    </row>
    <row r="309" spans="1:10" s="3" customFormat="1">
      <c r="A309"/>
      <c r="B309"/>
      <c r="C309"/>
      <c r="D309"/>
      <c r="E309"/>
      <c r="F309"/>
      <c r="G309"/>
      <c r="H309"/>
      <c r="I309"/>
      <c r="J309" s="130"/>
    </row>
    <row r="310" spans="1:10" s="3" customFormat="1">
      <c r="A310"/>
      <c r="B310"/>
      <c r="C310"/>
      <c r="D310"/>
      <c r="E310"/>
      <c r="F310"/>
      <c r="G310"/>
      <c r="H310"/>
      <c r="I310"/>
      <c r="J310" s="130"/>
    </row>
    <row r="312" spans="1:10" s="3" customFormat="1">
      <c r="A312"/>
      <c r="B312"/>
      <c r="C312"/>
      <c r="D312"/>
      <c r="E312"/>
      <c r="F312"/>
      <c r="G312"/>
      <c r="H312"/>
      <c r="I312"/>
    </row>
    <row r="313" spans="1:10" s="3" customFormat="1">
      <c r="A313"/>
      <c r="B313"/>
      <c r="C313"/>
      <c r="D313"/>
      <c r="E313"/>
      <c r="F313"/>
      <c r="G313"/>
      <c r="H313"/>
      <c r="I313"/>
    </row>
    <row r="314" spans="1:10" s="3" customFormat="1">
      <c r="A314"/>
      <c r="B314"/>
      <c r="C314"/>
      <c r="D314"/>
      <c r="E314"/>
      <c r="F314"/>
      <c r="G314"/>
      <c r="H314"/>
      <c r="I314"/>
    </row>
    <row r="315" spans="1:10" s="3" customFormat="1">
      <c r="A315"/>
      <c r="B315"/>
      <c r="C315"/>
      <c r="D315"/>
      <c r="E315"/>
      <c r="F315"/>
      <c r="G315"/>
      <c r="H315"/>
      <c r="I315"/>
    </row>
  </sheetData>
  <mergeCells count="18">
    <mergeCell ref="J279:J281"/>
    <mergeCell ref="A274:A285"/>
    <mergeCell ref="J305:J310"/>
    <mergeCell ref="J284:J289"/>
    <mergeCell ref="J291:J296"/>
    <mergeCell ref="J298:J303"/>
    <mergeCell ref="A287:A298"/>
    <mergeCell ref="A303:A305"/>
    <mergeCell ref="A261:A272"/>
    <mergeCell ref="A248:A259"/>
    <mergeCell ref="J268:J270"/>
    <mergeCell ref="J271:J274"/>
    <mergeCell ref="J276:J278"/>
    <mergeCell ref="J248:J250"/>
    <mergeCell ref="J251:J253"/>
    <mergeCell ref="J261:J263"/>
    <mergeCell ref="J264:J266"/>
    <mergeCell ref="J254:J259"/>
  </mergeCells>
  <phoneticPr fontId="27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03D1B-6A00-471A-9446-8E2EA04F5ACC}">
  <dimension ref="A1:L73"/>
  <sheetViews>
    <sheetView topLeftCell="A18" zoomScaleNormal="100" workbookViewId="0">
      <selection activeCell="F7" sqref="F7"/>
    </sheetView>
  </sheetViews>
  <sheetFormatPr defaultRowHeight="15"/>
  <cols>
    <col min="1" max="1" width="34.5703125" style="72" customWidth="1"/>
    <col min="2" max="5" width="9.140625" style="56"/>
    <col min="6" max="6" width="43.42578125" style="56" customWidth="1"/>
    <col min="7" max="9" width="9.140625" style="56"/>
    <col min="10" max="10" width="26.42578125" style="56" customWidth="1"/>
    <col min="11" max="11" width="23.85546875" style="56" customWidth="1"/>
    <col min="12" max="16384" width="9.140625" style="56"/>
  </cols>
  <sheetData>
    <row r="1" spans="1:12" s="88" customFormat="1">
      <c r="A1" s="87" t="s">
        <v>3151</v>
      </c>
      <c r="B1" s="87" t="s">
        <v>2626</v>
      </c>
      <c r="C1" s="87" t="s">
        <v>2627</v>
      </c>
      <c r="D1" s="87" t="s">
        <v>2628</v>
      </c>
      <c r="E1" s="87" t="s">
        <v>2629</v>
      </c>
      <c r="F1" s="87" t="s">
        <v>418</v>
      </c>
      <c r="G1" s="87" t="s">
        <v>2630</v>
      </c>
      <c r="H1" s="87" t="s">
        <v>2631</v>
      </c>
      <c r="I1" s="87" t="s">
        <v>2632</v>
      </c>
      <c r="J1" s="87" t="s">
        <v>422</v>
      </c>
      <c r="K1" s="87" t="s">
        <v>480</v>
      </c>
      <c r="L1" s="87" t="s">
        <v>481</v>
      </c>
    </row>
    <row r="2" spans="1:12">
      <c r="A2" s="72" t="s">
        <v>3152</v>
      </c>
      <c r="C2" s="72"/>
      <c r="D2" s="72"/>
      <c r="E2" s="72"/>
      <c r="F2" s="72"/>
      <c r="G2" s="72"/>
      <c r="H2" s="72"/>
      <c r="I2" s="72"/>
      <c r="J2" s="72"/>
      <c r="K2" s="72"/>
      <c r="L2" s="72"/>
    </row>
    <row r="3" spans="1:12">
      <c r="B3" s="3" t="str">
        <f>"0x"&amp;DEC2HEX(D3,4)</f>
        <v>0xAF65</v>
      </c>
      <c r="C3" s="3"/>
      <c r="D3" s="3">
        <v>44901</v>
      </c>
      <c r="E3" s="3"/>
      <c r="F3" s="4" t="s">
        <v>3220</v>
      </c>
      <c r="G3" s="3" t="s">
        <v>1842</v>
      </c>
      <c r="H3" s="3" t="s">
        <v>3153</v>
      </c>
      <c r="I3" s="3">
        <v>1</v>
      </c>
      <c r="J3" s="3" t="s">
        <v>904</v>
      </c>
      <c r="K3" s="3"/>
      <c r="L3" s="3"/>
    </row>
    <row r="4" spans="1:12">
      <c r="B4" s="3" t="str">
        <f>"0x"&amp;DEC2HEX(D4,4)</f>
        <v>0xAF66</v>
      </c>
      <c r="C4" s="3"/>
      <c r="D4" s="3">
        <v>44902</v>
      </c>
      <c r="E4" s="3"/>
      <c r="F4" s="4" t="s">
        <v>1841</v>
      </c>
      <c r="G4" s="3" t="s">
        <v>1842</v>
      </c>
      <c r="H4" s="3" t="s">
        <v>3153</v>
      </c>
      <c r="I4" s="3">
        <v>1</v>
      </c>
      <c r="J4" s="89" t="s">
        <v>3229</v>
      </c>
      <c r="K4" s="3">
        <v>400</v>
      </c>
      <c r="L4" s="3"/>
    </row>
    <row r="5" spans="1:12">
      <c r="B5" s="3" t="str">
        <f>"0x"&amp;DEC2HEX(D5,4)</f>
        <v>0xAF67</v>
      </c>
      <c r="C5" s="3"/>
      <c r="D5" s="3">
        <f t="shared" ref="D5:D12" si="0">D4+I4</f>
        <v>44903</v>
      </c>
      <c r="E5" s="3"/>
      <c r="F5" s="4" t="s">
        <v>1848</v>
      </c>
      <c r="G5" s="3" t="s">
        <v>474</v>
      </c>
      <c r="H5" s="3" t="s">
        <v>471</v>
      </c>
      <c r="I5" s="3">
        <v>1</v>
      </c>
      <c r="J5" s="89" t="s">
        <v>3288</v>
      </c>
      <c r="K5" s="3" t="s">
        <v>3230</v>
      </c>
      <c r="L5" s="3"/>
    </row>
    <row r="6" spans="1:12" ht="38.25">
      <c r="B6" s="3" t="str">
        <f>"0x"&amp;DEC2HEX(D6,4)</f>
        <v>0xAF68</v>
      </c>
      <c r="C6" s="3"/>
      <c r="D6" s="3">
        <f t="shared" si="0"/>
        <v>44904</v>
      </c>
      <c r="E6" s="3"/>
      <c r="F6" s="4" t="s">
        <v>3154</v>
      </c>
      <c r="G6" s="3" t="s">
        <v>474</v>
      </c>
      <c r="H6" s="3" t="s">
        <v>471</v>
      </c>
      <c r="I6" s="72">
        <v>1</v>
      </c>
      <c r="J6" s="4" t="s">
        <v>3233</v>
      </c>
      <c r="K6" s="3"/>
      <c r="L6" s="3"/>
    </row>
    <row r="7" spans="1:12">
      <c r="B7" s="3" t="str">
        <f t="shared" ref="B7:B14" si="1">"0x"&amp;DEC2HEX(D7,4)</f>
        <v>0xAF69</v>
      </c>
      <c r="C7" s="3"/>
      <c r="D7" s="3">
        <f>D6+I6</f>
        <v>44905</v>
      </c>
      <c r="E7" s="3"/>
      <c r="F7" s="4" t="s">
        <v>3155</v>
      </c>
      <c r="G7" s="3" t="s">
        <v>474</v>
      </c>
      <c r="H7" s="3" t="s">
        <v>471</v>
      </c>
      <c r="I7" s="3">
        <v>1</v>
      </c>
      <c r="J7" s="3" t="s">
        <v>904</v>
      </c>
      <c r="K7" s="3">
        <v>0</v>
      </c>
      <c r="L7" s="3"/>
    </row>
    <row r="8" spans="1:12">
      <c r="B8" s="3" t="str">
        <f t="shared" si="1"/>
        <v>0xAF6A</v>
      </c>
      <c r="C8" s="3"/>
      <c r="D8" s="3">
        <f t="shared" si="0"/>
        <v>44906</v>
      </c>
      <c r="E8" s="3"/>
      <c r="F8" s="4" t="s">
        <v>1844</v>
      </c>
      <c r="G8" s="3" t="s">
        <v>474</v>
      </c>
      <c r="H8" s="3" t="s">
        <v>471</v>
      </c>
      <c r="I8" s="3">
        <v>1</v>
      </c>
      <c r="J8" s="90" t="s">
        <v>3156</v>
      </c>
      <c r="K8" s="3">
        <v>90</v>
      </c>
      <c r="L8" s="3"/>
    </row>
    <row r="9" spans="1:12">
      <c r="B9" s="3"/>
      <c r="C9" s="3"/>
      <c r="D9" s="3">
        <f t="shared" si="0"/>
        <v>44907</v>
      </c>
      <c r="E9" s="3"/>
      <c r="F9" s="4" t="s">
        <v>3157</v>
      </c>
      <c r="G9" s="3" t="s">
        <v>474</v>
      </c>
      <c r="H9" s="3" t="s">
        <v>471</v>
      </c>
      <c r="I9" s="3">
        <v>1</v>
      </c>
      <c r="J9" s="91" t="s">
        <v>3158</v>
      </c>
      <c r="K9" s="3">
        <v>2</v>
      </c>
      <c r="L9" s="3"/>
    </row>
    <row r="10" spans="1:12">
      <c r="B10" s="3" t="str">
        <f t="shared" si="1"/>
        <v>0xAF6C</v>
      </c>
      <c r="C10" s="3"/>
      <c r="D10" s="3">
        <f t="shared" si="0"/>
        <v>44908</v>
      </c>
      <c r="E10" s="3"/>
      <c r="F10" s="4" t="s">
        <v>3159</v>
      </c>
      <c r="G10" s="3" t="s">
        <v>474</v>
      </c>
      <c r="H10" s="3" t="s">
        <v>471</v>
      </c>
      <c r="I10" s="3">
        <v>1</v>
      </c>
      <c r="J10" s="3" t="s">
        <v>904</v>
      </c>
      <c r="K10" s="3">
        <v>0</v>
      </c>
      <c r="L10" s="3"/>
    </row>
    <row r="11" spans="1:12" ht="25.5">
      <c r="B11" s="3" t="str">
        <f t="shared" si="1"/>
        <v>0xAF6D</v>
      </c>
      <c r="C11" s="3"/>
      <c r="D11" s="3">
        <f t="shared" si="0"/>
        <v>44909</v>
      </c>
      <c r="E11" s="3"/>
      <c r="F11" s="4" t="s">
        <v>3160</v>
      </c>
      <c r="G11" s="3" t="s">
        <v>474</v>
      </c>
      <c r="H11" s="3" t="s">
        <v>471</v>
      </c>
      <c r="I11" s="3">
        <v>1</v>
      </c>
      <c r="J11" s="4" t="s">
        <v>3161</v>
      </c>
      <c r="K11" s="3"/>
      <c r="L11" s="3"/>
    </row>
    <row r="12" spans="1:12" ht="76.5">
      <c r="B12" s="3" t="str">
        <f t="shared" si="1"/>
        <v>0xAF6E</v>
      </c>
      <c r="C12" s="3"/>
      <c r="D12" s="3">
        <f t="shared" si="0"/>
        <v>44910</v>
      </c>
      <c r="E12" s="3"/>
      <c r="F12" s="4" t="s">
        <v>3162</v>
      </c>
      <c r="G12" s="3" t="s">
        <v>474</v>
      </c>
      <c r="H12" s="3" t="s">
        <v>471</v>
      </c>
      <c r="I12" s="3">
        <v>1</v>
      </c>
      <c r="J12" s="4" t="s">
        <v>3240</v>
      </c>
      <c r="K12" s="3"/>
      <c r="L12" s="3"/>
    </row>
    <row r="13" spans="1:12">
      <c r="B13" s="3" t="str">
        <f t="shared" si="1"/>
        <v>0xAF6F</v>
      </c>
      <c r="C13" s="3"/>
      <c r="D13" s="3">
        <f>D12+I12</f>
        <v>44911</v>
      </c>
      <c r="E13" s="3"/>
      <c r="F13" s="4" t="s">
        <v>3163</v>
      </c>
      <c r="G13" s="3" t="s">
        <v>474</v>
      </c>
      <c r="H13" s="3" t="s">
        <v>471</v>
      </c>
      <c r="I13" s="3">
        <v>1</v>
      </c>
      <c r="J13" s="3" t="s">
        <v>904</v>
      </c>
      <c r="K13" s="3">
        <v>0</v>
      </c>
      <c r="L13" s="3"/>
    </row>
    <row r="14" spans="1:12">
      <c r="B14" s="3" t="str">
        <f t="shared" si="1"/>
        <v>0xAF70</v>
      </c>
      <c r="C14" s="3"/>
      <c r="D14" s="3">
        <f t="shared" ref="D14:D48" si="2">D13+I13</f>
        <v>44912</v>
      </c>
      <c r="E14" s="3"/>
      <c r="F14" s="4" t="s">
        <v>1847</v>
      </c>
      <c r="G14" s="3" t="s">
        <v>474</v>
      </c>
      <c r="H14" s="3" t="s">
        <v>471</v>
      </c>
      <c r="I14" s="3">
        <v>1</v>
      </c>
      <c r="J14" s="89" t="s">
        <v>3164</v>
      </c>
      <c r="K14" s="3">
        <v>120</v>
      </c>
      <c r="L14" s="3"/>
    </row>
    <row r="15" spans="1:12">
      <c r="B15" s="3"/>
      <c r="C15" s="3"/>
      <c r="D15" s="3">
        <f t="shared" si="2"/>
        <v>44913</v>
      </c>
      <c r="E15" s="3"/>
      <c r="F15" s="4" t="s">
        <v>3165</v>
      </c>
      <c r="G15" s="3" t="s">
        <v>474</v>
      </c>
      <c r="H15" s="3" t="s">
        <v>471</v>
      </c>
      <c r="I15" s="3">
        <v>1</v>
      </c>
      <c r="J15" s="89" t="s">
        <v>3158</v>
      </c>
      <c r="K15" s="3"/>
      <c r="L15" s="3"/>
    </row>
    <row r="16" spans="1:12">
      <c r="B16" s="3" t="str">
        <f t="shared" ref="B16:B48" si="3">"0x"&amp;DEC2HEX(D16,4)</f>
        <v>0xAF72</v>
      </c>
      <c r="C16" s="3"/>
      <c r="D16" s="3">
        <f t="shared" si="2"/>
        <v>44914</v>
      </c>
      <c r="E16" s="3"/>
      <c r="F16" s="4" t="s">
        <v>3166</v>
      </c>
      <c r="G16" s="3" t="s">
        <v>474</v>
      </c>
      <c r="H16" s="3" t="s">
        <v>471</v>
      </c>
      <c r="I16" s="3">
        <v>1</v>
      </c>
      <c r="J16" s="3" t="s">
        <v>904</v>
      </c>
      <c r="K16" s="3">
        <v>0</v>
      </c>
      <c r="L16" s="3"/>
    </row>
    <row r="17" spans="2:12" ht="25.5">
      <c r="B17" s="3" t="str">
        <f t="shared" si="3"/>
        <v>0xAF73</v>
      </c>
      <c r="C17" s="3"/>
      <c r="D17" s="3">
        <f t="shared" si="2"/>
        <v>44915</v>
      </c>
      <c r="E17" s="3"/>
      <c r="F17" s="4" t="s">
        <v>3167</v>
      </c>
      <c r="G17" s="3" t="s">
        <v>474</v>
      </c>
      <c r="H17" s="3" t="s">
        <v>471</v>
      </c>
      <c r="I17" s="3">
        <v>1</v>
      </c>
      <c r="J17" s="4" t="s">
        <v>3161</v>
      </c>
      <c r="K17" s="3"/>
      <c r="L17" s="3"/>
    </row>
    <row r="18" spans="2:12" ht="76.5">
      <c r="B18" s="3" t="str">
        <f t="shared" si="3"/>
        <v>0xAF74</v>
      </c>
      <c r="C18" s="3"/>
      <c r="D18" s="3">
        <f t="shared" si="2"/>
        <v>44916</v>
      </c>
      <c r="E18" s="3"/>
      <c r="F18" s="4" t="s">
        <v>1860</v>
      </c>
      <c r="G18" s="3" t="s">
        <v>474</v>
      </c>
      <c r="H18" s="3" t="s">
        <v>471</v>
      </c>
      <c r="I18" s="3">
        <v>1</v>
      </c>
      <c r="J18" s="4" t="s">
        <v>3240</v>
      </c>
      <c r="K18" s="3"/>
      <c r="L18" s="3"/>
    </row>
    <row r="19" spans="2:12">
      <c r="B19" s="3" t="str">
        <f t="shared" si="3"/>
        <v>0xAF75</v>
      </c>
      <c r="C19" s="3"/>
      <c r="D19" s="3">
        <f t="shared" si="2"/>
        <v>44917</v>
      </c>
      <c r="E19" s="3"/>
      <c r="F19" s="4" t="s">
        <v>3168</v>
      </c>
      <c r="G19" s="3" t="s">
        <v>474</v>
      </c>
      <c r="H19" s="3" t="s">
        <v>471</v>
      </c>
      <c r="I19" s="3">
        <v>1</v>
      </c>
      <c r="J19" s="3" t="s">
        <v>904</v>
      </c>
      <c r="K19" s="3">
        <v>0</v>
      </c>
      <c r="L19" s="3"/>
    </row>
    <row r="20" spans="2:12">
      <c r="B20" s="3" t="str">
        <f t="shared" si="3"/>
        <v>0xAF76</v>
      </c>
      <c r="C20" s="3"/>
      <c r="D20" s="3">
        <f t="shared" si="2"/>
        <v>44918</v>
      </c>
      <c r="E20" s="3"/>
      <c r="F20" s="4" t="s">
        <v>3169</v>
      </c>
      <c r="G20" s="3" t="s">
        <v>474</v>
      </c>
      <c r="H20" s="3" t="s">
        <v>471</v>
      </c>
      <c r="I20" s="3">
        <v>1</v>
      </c>
      <c r="J20" s="89" t="s">
        <v>3170</v>
      </c>
      <c r="K20" s="3">
        <v>10</v>
      </c>
      <c r="L20" s="3"/>
    </row>
    <row r="21" spans="2:12">
      <c r="B21" s="3" t="str">
        <f t="shared" si="3"/>
        <v>0xAF77</v>
      </c>
      <c r="C21" s="3"/>
      <c r="D21" s="3">
        <f t="shared" si="2"/>
        <v>44919</v>
      </c>
      <c r="E21" s="3"/>
      <c r="F21" s="4" t="s">
        <v>3171</v>
      </c>
      <c r="G21" s="3" t="s">
        <v>474</v>
      </c>
      <c r="H21" s="3" t="s">
        <v>471</v>
      </c>
      <c r="I21" s="3">
        <v>1</v>
      </c>
      <c r="J21" s="89" t="s">
        <v>3158</v>
      </c>
      <c r="K21" s="3">
        <v>2</v>
      </c>
      <c r="L21" s="3"/>
    </row>
    <row r="22" spans="2:12">
      <c r="B22" s="3" t="str">
        <f t="shared" si="3"/>
        <v>0xAF78</v>
      </c>
      <c r="C22" s="3"/>
      <c r="D22" s="3">
        <f t="shared" si="2"/>
        <v>44920</v>
      </c>
      <c r="E22" s="3"/>
      <c r="F22" s="4" t="s">
        <v>3172</v>
      </c>
      <c r="G22" s="3" t="s">
        <v>474</v>
      </c>
      <c r="H22" s="3" t="s">
        <v>471</v>
      </c>
      <c r="I22" s="3">
        <v>1</v>
      </c>
      <c r="J22" s="3" t="s">
        <v>904</v>
      </c>
      <c r="K22" s="3">
        <v>0</v>
      </c>
      <c r="L22" s="3"/>
    </row>
    <row r="23" spans="2:12" ht="25.5">
      <c r="B23" s="3" t="str">
        <f t="shared" si="3"/>
        <v>0xAF79</v>
      </c>
      <c r="C23" s="3"/>
      <c r="D23" s="3">
        <f t="shared" si="2"/>
        <v>44921</v>
      </c>
      <c r="E23" s="3"/>
      <c r="F23" s="4" t="s">
        <v>3173</v>
      </c>
      <c r="G23" s="3" t="s">
        <v>474</v>
      </c>
      <c r="H23" s="3" t="s">
        <v>471</v>
      </c>
      <c r="I23" s="3">
        <v>1</v>
      </c>
      <c r="J23" s="4" t="s">
        <v>3161</v>
      </c>
      <c r="K23" s="3"/>
      <c r="L23" s="3"/>
    </row>
    <row r="24" spans="2:12" ht="76.5">
      <c r="B24" s="3" t="str">
        <f t="shared" si="3"/>
        <v>0xAF7A</v>
      </c>
      <c r="C24" s="3"/>
      <c r="D24" s="3">
        <f t="shared" si="2"/>
        <v>44922</v>
      </c>
      <c r="E24" s="3"/>
      <c r="F24" s="4" t="s">
        <v>3174</v>
      </c>
      <c r="G24" s="3" t="s">
        <v>474</v>
      </c>
      <c r="H24" s="3" t="s">
        <v>471</v>
      </c>
      <c r="I24" s="3">
        <v>1</v>
      </c>
      <c r="J24" s="4" t="s">
        <v>3240</v>
      </c>
      <c r="K24" s="3"/>
      <c r="L24" s="3"/>
    </row>
    <row r="25" spans="2:12">
      <c r="B25" s="3" t="str">
        <f t="shared" si="3"/>
        <v>0xAF7B</v>
      </c>
      <c r="C25" s="3"/>
      <c r="D25" s="3">
        <f t="shared" si="2"/>
        <v>44923</v>
      </c>
      <c r="E25" s="3"/>
      <c r="F25" s="4" t="s">
        <v>3175</v>
      </c>
      <c r="G25" s="3" t="s">
        <v>474</v>
      </c>
      <c r="H25" s="3" t="s">
        <v>471</v>
      </c>
      <c r="I25" s="3">
        <v>1</v>
      </c>
      <c r="J25" s="3" t="s">
        <v>904</v>
      </c>
      <c r="K25" s="3">
        <v>0</v>
      </c>
      <c r="L25" s="3"/>
    </row>
    <row r="26" spans="2:12">
      <c r="B26" s="3" t="str">
        <f t="shared" si="3"/>
        <v>0xAF7C</v>
      </c>
      <c r="C26" s="3"/>
      <c r="D26" s="3">
        <f t="shared" si="2"/>
        <v>44924</v>
      </c>
      <c r="E26" s="3"/>
      <c r="F26" s="4" t="s">
        <v>3176</v>
      </c>
      <c r="G26" s="3" t="s">
        <v>474</v>
      </c>
      <c r="H26" s="3" t="s">
        <v>471</v>
      </c>
      <c r="I26" s="3">
        <v>1</v>
      </c>
      <c r="J26" s="89" t="s">
        <v>3177</v>
      </c>
      <c r="K26" s="3">
        <v>5</v>
      </c>
      <c r="L26" s="3"/>
    </row>
    <row r="27" spans="2:12">
      <c r="B27" s="3" t="str">
        <f t="shared" si="3"/>
        <v>0xAF7D</v>
      </c>
      <c r="C27" s="3"/>
      <c r="D27" s="3">
        <f t="shared" si="2"/>
        <v>44925</v>
      </c>
      <c r="E27" s="3"/>
      <c r="F27" s="4" t="s">
        <v>3178</v>
      </c>
      <c r="G27" s="3" t="s">
        <v>474</v>
      </c>
      <c r="H27" s="3" t="s">
        <v>471</v>
      </c>
      <c r="I27" s="3">
        <v>1</v>
      </c>
      <c r="J27" s="89" t="s">
        <v>3158</v>
      </c>
      <c r="K27" s="3">
        <v>2</v>
      </c>
      <c r="L27" s="3"/>
    </row>
    <row r="28" spans="2:12">
      <c r="B28" s="3" t="str">
        <f t="shared" si="3"/>
        <v>0xAF7E</v>
      </c>
      <c r="C28" s="3"/>
      <c r="D28" s="3">
        <f t="shared" si="2"/>
        <v>44926</v>
      </c>
      <c r="E28" s="3"/>
      <c r="F28" s="4" t="s">
        <v>3179</v>
      </c>
      <c r="G28" s="3" t="s">
        <v>474</v>
      </c>
      <c r="H28" s="3" t="s">
        <v>471</v>
      </c>
      <c r="I28" s="3">
        <v>1</v>
      </c>
      <c r="J28" s="3" t="s">
        <v>904</v>
      </c>
      <c r="K28" s="3">
        <v>0</v>
      </c>
      <c r="L28" s="3"/>
    </row>
    <row r="29" spans="2:12" ht="25.5">
      <c r="B29" s="3" t="str">
        <f t="shared" si="3"/>
        <v>0xAF7F</v>
      </c>
      <c r="C29" s="3"/>
      <c r="D29" s="3">
        <f t="shared" si="2"/>
        <v>44927</v>
      </c>
      <c r="E29" s="3"/>
      <c r="F29" s="4" t="s">
        <v>3180</v>
      </c>
      <c r="G29" s="3" t="s">
        <v>474</v>
      </c>
      <c r="H29" s="3" t="s">
        <v>471</v>
      </c>
      <c r="I29" s="3">
        <v>1</v>
      </c>
      <c r="J29" s="4" t="s">
        <v>3161</v>
      </c>
      <c r="K29" s="3"/>
      <c r="L29" s="3"/>
    </row>
    <row r="30" spans="2:12" ht="76.5">
      <c r="B30" s="3" t="str">
        <f t="shared" si="3"/>
        <v>0xAF80</v>
      </c>
      <c r="C30" s="3"/>
      <c r="D30" s="3">
        <f t="shared" si="2"/>
        <v>44928</v>
      </c>
      <c r="E30" s="3"/>
      <c r="F30" s="4" t="s">
        <v>3181</v>
      </c>
      <c r="G30" s="3" t="s">
        <v>474</v>
      </c>
      <c r="H30" s="3" t="s">
        <v>471</v>
      </c>
      <c r="I30" s="3">
        <v>1</v>
      </c>
      <c r="J30" s="4" t="s">
        <v>3240</v>
      </c>
      <c r="K30" s="3"/>
      <c r="L30" s="3"/>
    </row>
    <row r="31" spans="2:12">
      <c r="B31" s="3" t="str">
        <f t="shared" si="3"/>
        <v>0xAF81</v>
      </c>
      <c r="C31" s="3"/>
      <c r="D31" s="3">
        <f t="shared" si="2"/>
        <v>44929</v>
      </c>
      <c r="E31" s="3"/>
      <c r="F31" s="4" t="s">
        <v>3182</v>
      </c>
      <c r="G31" s="3" t="s">
        <v>474</v>
      </c>
      <c r="H31" s="3" t="s">
        <v>471</v>
      </c>
      <c r="I31" s="3">
        <v>1</v>
      </c>
      <c r="J31" s="3" t="s">
        <v>904</v>
      </c>
      <c r="K31" s="3">
        <v>0</v>
      </c>
      <c r="L31" s="3"/>
    </row>
    <row r="32" spans="2:12">
      <c r="B32" s="3" t="str">
        <f t="shared" si="3"/>
        <v>0xAF82</v>
      </c>
      <c r="C32" s="3"/>
      <c r="D32" s="3">
        <f t="shared" si="2"/>
        <v>44930</v>
      </c>
      <c r="E32" s="3"/>
      <c r="F32" s="4" t="s">
        <v>3183</v>
      </c>
      <c r="G32" s="3" t="s">
        <v>474</v>
      </c>
      <c r="H32" s="3" t="s">
        <v>471</v>
      </c>
      <c r="I32" s="3">
        <v>1</v>
      </c>
      <c r="J32" s="89" t="s">
        <v>3156</v>
      </c>
      <c r="K32" s="3">
        <v>90</v>
      </c>
      <c r="L32" s="3"/>
    </row>
    <row r="33" spans="2:12">
      <c r="B33" s="3" t="str">
        <f t="shared" si="3"/>
        <v>0xAF83</v>
      </c>
      <c r="C33" s="3"/>
      <c r="D33" s="3">
        <f t="shared" si="2"/>
        <v>44931</v>
      </c>
      <c r="E33" s="3"/>
      <c r="F33" s="4" t="s">
        <v>3184</v>
      </c>
      <c r="G33" s="3" t="s">
        <v>474</v>
      </c>
      <c r="H33" s="3" t="s">
        <v>471</v>
      </c>
      <c r="I33" s="3">
        <v>1</v>
      </c>
      <c r="J33" s="89" t="s">
        <v>3158</v>
      </c>
      <c r="K33" s="3">
        <v>2</v>
      </c>
      <c r="L33" s="3"/>
    </row>
    <row r="34" spans="2:12">
      <c r="B34" s="3" t="str">
        <f t="shared" si="3"/>
        <v>0xAF84</v>
      </c>
      <c r="C34" s="3"/>
      <c r="D34" s="3">
        <f t="shared" si="2"/>
        <v>44932</v>
      </c>
      <c r="E34" s="3"/>
      <c r="F34" s="4" t="s">
        <v>3185</v>
      </c>
      <c r="G34" s="3" t="s">
        <v>474</v>
      </c>
      <c r="H34" s="3" t="s">
        <v>471</v>
      </c>
      <c r="I34" s="3">
        <v>1</v>
      </c>
      <c r="J34" s="3" t="s">
        <v>904</v>
      </c>
      <c r="K34" s="3">
        <v>0</v>
      </c>
      <c r="L34" s="3"/>
    </row>
    <row r="35" spans="2:12" ht="25.5">
      <c r="B35" s="3" t="str">
        <f t="shared" si="3"/>
        <v>0xAF85</v>
      </c>
      <c r="C35" s="3"/>
      <c r="D35" s="3">
        <f t="shared" si="2"/>
        <v>44933</v>
      </c>
      <c r="E35" s="3"/>
      <c r="F35" s="4" t="s">
        <v>3186</v>
      </c>
      <c r="G35" s="3" t="s">
        <v>474</v>
      </c>
      <c r="H35" s="3" t="s">
        <v>471</v>
      </c>
      <c r="I35" s="3">
        <v>1</v>
      </c>
      <c r="J35" s="4" t="s">
        <v>3161</v>
      </c>
      <c r="K35" s="3"/>
      <c r="L35" s="3"/>
    </row>
    <row r="36" spans="2:12" ht="76.5">
      <c r="B36" s="3" t="str">
        <f t="shared" si="3"/>
        <v>0xAF86</v>
      </c>
      <c r="C36" s="3"/>
      <c r="D36" s="3">
        <f t="shared" si="2"/>
        <v>44934</v>
      </c>
      <c r="E36" s="3"/>
      <c r="F36" s="4" t="s">
        <v>3187</v>
      </c>
      <c r="G36" s="3" t="s">
        <v>474</v>
      </c>
      <c r="H36" s="3" t="s">
        <v>471</v>
      </c>
      <c r="I36" s="3">
        <v>1</v>
      </c>
      <c r="J36" s="4" t="s">
        <v>3240</v>
      </c>
      <c r="K36" s="3"/>
      <c r="L36" s="3"/>
    </row>
    <row r="37" spans="2:12">
      <c r="B37" s="3" t="str">
        <f t="shared" si="3"/>
        <v>0xAF87</v>
      </c>
      <c r="C37" s="3"/>
      <c r="D37" s="3">
        <f t="shared" si="2"/>
        <v>44935</v>
      </c>
      <c r="E37" s="3"/>
      <c r="F37" s="4" t="s">
        <v>3188</v>
      </c>
      <c r="G37" s="3" t="s">
        <v>474</v>
      </c>
      <c r="H37" s="3" t="s">
        <v>471</v>
      </c>
      <c r="I37" s="3">
        <v>1</v>
      </c>
      <c r="J37" s="3" t="s">
        <v>904</v>
      </c>
      <c r="K37" s="3">
        <v>0</v>
      </c>
      <c r="L37" s="3"/>
    </row>
    <row r="38" spans="2:12">
      <c r="B38" s="3" t="str">
        <f t="shared" si="3"/>
        <v>0xAF88</v>
      </c>
      <c r="C38" s="3"/>
      <c r="D38" s="3">
        <f t="shared" si="2"/>
        <v>44936</v>
      </c>
      <c r="E38" s="3"/>
      <c r="F38" s="4" t="s">
        <v>3189</v>
      </c>
      <c r="G38" s="3" t="s">
        <v>474</v>
      </c>
      <c r="H38" s="3" t="s">
        <v>471</v>
      </c>
      <c r="I38" s="3">
        <v>1</v>
      </c>
      <c r="J38" s="89" t="s">
        <v>3164</v>
      </c>
      <c r="K38" s="3">
        <v>110</v>
      </c>
      <c r="L38" s="3"/>
    </row>
    <row r="39" spans="2:12">
      <c r="B39" s="3" t="str">
        <f t="shared" si="3"/>
        <v>0xAF89</v>
      </c>
      <c r="C39" s="3"/>
      <c r="D39" s="3">
        <f t="shared" si="2"/>
        <v>44937</v>
      </c>
      <c r="E39" s="3"/>
      <c r="F39" s="4" t="s">
        <v>3190</v>
      </c>
      <c r="G39" s="3" t="s">
        <v>474</v>
      </c>
      <c r="H39" s="3" t="s">
        <v>471</v>
      </c>
      <c r="I39" s="3">
        <v>1</v>
      </c>
      <c r="J39" s="89" t="s">
        <v>3158</v>
      </c>
      <c r="K39" s="3">
        <v>2</v>
      </c>
      <c r="L39" s="3"/>
    </row>
    <row r="40" spans="2:12">
      <c r="B40" s="3" t="str">
        <f t="shared" si="3"/>
        <v>0xAF8A</v>
      </c>
      <c r="C40" s="3"/>
      <c r="D40" s="3">
        <f t="shared" si="2"/>
        <v>44938</v>
      </c>
      <c r="E40" s="3"/>
      <c r="F40" s="4" t="s">
        <v>3191</v>
      </c>
      <c r="G40" s="3" t="s">
        <v>474</v>
      </c>
      <c r="H40" s="3" t="s">
        <v>471</v>
      </c>
      <c r="I40" s="3">
        <v>1</v>
      </c>
      <c r="J40" s="3" t="s">
        <v>904</v>
      </c>
      <c r="K40" s="3">
        <v>0</v>
      </c>
      <c r="L40" s="3"/>
    </row>
    <row r="41" spans="2:12" ht="25.5">
      <c r="B41" s="3" t="str">
        <f t="shared" si="3"/>
        <v>0xAF8B</v>
      </c>
      <c r="C41" s="3"/>
      <c r="D41" s="3">
        <f t="shared" si="2"/>
        <v>44939</v>
      </c>
      <c r="E41" s="3"/>
      <c r="F41" s="4" t="s">
        <v>3192</v>
      </c>
      <c r="G41" s="3" t="s">
        <v>474</v>
      </c>
      <c r="H41" s="3" t="s">
        <v>471</v>
      </c>
      <c r="I41" s="3">
        <v>1</v>
      </c>
      <c r="J41" s="4" t="s">
        <v>3161</v>
      </c>
      <c r="K41" s="3"/>
      <c r="L41" s="3"/>
    </row>
    <row r="42" spans="2:12" ht="76.5">
      <c r="B42" s="3" t="str">
        <f t="shared" si="3"/>
        <v>0xAF8C</v>
      </c>
      <c r="C42" s="3"/>
      <c r="D42" s="3">
        <f t="shared" si="2"/>
        <v>44940</v>
      </c>
      <c r="E42" s="3"/>
      <c r="F42" s="4" t="s">
        <v>3193</v>
      </c>
      <c r="G42" s="3" t="s">
        <v>474</v>
      </c>
      <c r="H42" s="3" t="s">
        <v>471</v>
      </c>
      <c r="I42" s="3">
        <v>1</v>
      </c>
      <c r="J42" s="4" t="s">
        <v>3240</v>
      </c>
      <c r="K42" s="3"/>
      <c r="L42" s="3"/>
    </row>
    <row r="43" spans="2:12">
      <c r="B43" s="3" t="str">
        <f t="shared" si="3"/>
        <v>0xAF8D</v>
      </c>
      <c r="C43" s="3"/>
      <c r="D43" s="3">
        <f t="shared" si="2"/>
        <v>44941</v>
      </c>
      <c r="E43" s="3"/>
      <c r="F43" s="4" t="s">
        <v>3194</v>
      </c>
      <c r="G43" s="3" t="s">
        <v>474</v>
      </c>
      <c r="H43" s="3" t="s">
        <v>471</v>
      </c>
      <c r="I43" s="3">
        <v>1</v>
      </c>
      <c r="J43" s="3" t="s">
        <v>904</v>
      </c>
      <c r="K43" s="3">
        <v>0</v>
      </c>
      <c r="L43" s="3"/>
    </row>
    <row r="44" spans="2:12">
      <c r="B44" s="3" t="str">
        <f t="shared" si="3"/>
        <v>0xAF8E</v>
      </c>
      <c r="C44" s="3"/>
      <c r="D44" s="3">
        <f t="shared" si="2"/>
        <v>44942</v>
      </c>
      <c r="E44" s="3"/>
      <c r="F44" s="4" t="s">
        <v>3195</v>
      </c>
      <c r="G44" s="3" t="s">
        <v>474</v>
      </c>
      <c r="H44" s="3" t="s">
        <v>471</v>
      </c>
      <c r="I44" s="3">
        <v>1</v>
      </c>
      <c r="J44" s="89" t="s">
        <v>3177</v>
      </c>
      <c r="K44" s="3">
        <v>5</v>
      </c>
      <c r="L44" s="3"/>
    </row>
    <row r="45" spans="2:12">
      <c r="B45" s="3" t="str">
        <f t="shared" si="3"/>
        <v>0xAF8F</v>
      </c>
      <c r="C45" s="3"/>
      <c r="D45" s="3">
        <f t="shared" si="2"/>
        <v>44943</v>
      </c>
      <c r="E45" s="3"/>
      <c r="F45" s="4" t="s">
        <v>3196</v>
      </c>
      <c r="G45" s="3" t="s">
        <v>474</v>
      </c>
      <c r="H45" s="3" t="s">
        <v>471</v>
      </c>
      <c r="I45" s="3">
        <v>1</v>
      </c>
      <c r="J45" s="89" t="s">
        <v>3158</v>
      </c>
      <c r="K45" s="3">
        <v>2</v>
      </c>
      <c r="L45" s="3"/>
    </row>
    <row r="46" spans="2:12">
      <c r="B46" s="3" t="str">
        <f t="shared" si="3"/>
        <v>0xAF90</v>
      </c>
      <c r="C46" s="3"/>
      <c r="D46" s="3">
        <f t="shared" si="2"/>
        <v>44944</v>
      </c>
      <c r="E46" s="3"/>
      <c r="F46" s="4" t="s">
        <v>3197</v>
      </c>
      <c r="G46" s="3" t="s">
        <v>474</v>
      </c>
      <c r="H46" s="3" t="s">
        <v>471</v>
      </c>
      <c r="I46" s="3">
        <v>1</v>
      </c>
      <c r="J46" s="3" t="s">
        <v>904</v>
      </c>
      <c r="K46" s="3">
        <v>0</v>
      </c>
      <c r="L46" s="3"/>
    </row>
    <row r="47" spans="2:12" ht="25.5">
      <c r="B47" s="3" t="str">
        <f t="shared" si="3"/>
        <v>0xAF91</v>
      </c>
      <c r="C47" s="3"/>
      <c r="D47" s="3">
        <f t="shared" si="2"/>
        <v>44945</v>
      </c>
      <c r="E47" s="3"/>
      <c r="F47" s="4" t="s">
        <v>3198</v>
      </c>
      <c r="G47" s="3" t="s">
        <v>474</v>
      </c>
      <c r="H47" s="3" t="s">
        <v>471</v>
      </c>
      <c r="I47" s="3">
        <v>1</v>
      </c>
      <c r="J47" s="4" t="s">
        <v>3161</v>
      </c>
      <c r="K47" s="3"/>
      <c r="L47" s="3"/>
    </row>
    <row r="48" spans="2:12" ht="76.5">
      <c r="B48" s="3" t="str">
        <f t="shared" si="3"/>
        <v>0xAF92</v>
      </c>
      <c r="C48" s="3"/>
      <c r="D48" s="3">
        <f t="shared" si="2"/>
        <v>44946</v>
      </c>
      <c r="E48" s="3"/>
      <c r="F48" s="4" t="s">
        <v>3199</v>
      </c>
      <c r="G48" s="3" t="s">
        <v>474</v>
      </c>
      <c r="H48" s="3" t="s">
        <v>471</v>
      </c>
      <c r="I48" s="3">
        <v>1</v>
      </c>
      <c r="J48" s="4" t="s">
        <v>3240</v>
      </c>
      <c r="K48" s="3"/>
      <c r="L48" s="3"/>
    </row>
    <row r="49" spans="1:12">
      <c r="B49" s="3"/>
      <c r="C49" s="3"/>
      <c r="D49" s="3"/>
      <c r="E49" s="3"/>
      <c r="F49" s="3"/>
      <c r="G49" s="3"/>
      <c r="H49" s="3"/>
      <c r="I49" s="3">
        <f>SUM(I4:I48)</f>
        <v>45</v>
      </c>
      <c r="J49" s="3"/>
      <c r="K49" s="3"/>
      <c r="L49" s="3"/>
    </row>
    <row r="50" spans="1:12">
      <c r="A50" s="72" t="s">
        <v>3200</v>
      </c>
      <c r="B50" s="132"/>
      <c r="C50" s="132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B51" s="3" t="str">
        <f t="shared" ref="B51:C66" si="4">"0x"&amp;DEC2HEX(D51,4)</f>
        <v>0xAF96</v>
      </c>
      <c r="C51" s="3"/>
      <c r="D51" s="3">
        <v>44950</v>
      </c>
      <c r="E51" s="3"/>
      <c r="F51" s="3" t="s">
        <v>1865</v>
      </c>
      <c r="G51" s="3" t="s">
        <v>474</v>
      </c>
      <c r="H51" s="3" t="s">
        <v>1163</v>
      </c>
      <c r="I51" s="3">
        <v>1</v>
      </c>
      <c r="J51" s="3"/>
      <c r="K51" s="3"/>
      <c r="L51" s="3"/>
    </row>
    <row r="52" spans="1:12">
      <c r="B52" s="3" t="str">
        <f t="shared" si="4"/>
        <v>0xAF97</v>
      </c>
      <c r="C52" s="3"/>
      <c r="D52" s="3">
        <f t="shared" ref="D52:D71" si="5">D51+I51</f>
        <v>44951</v>
      </c>
      <c r="E52" s="3"/>
      <c r="F52" s="3" t="s">
        <v>1866</v>
      </c>
      <c r="G52" s="3" t="s">
        <v>474</v>
      </c>
      <c r="H52" s="3" t="s">
        <v>471</v>
      </c>
      <c r="I52" s="3">
        <v>1</v>
      </c>
      <c r="J52" s="3"/>
      <c r="K52" s="3"/>
      <c r="L52" s="3"/>
    </row>
    <row r="53" spans="1:12">
      <c r="B53" s="3" t="str">
        <f t="shared" si="4"/>
        <v>0xAF98</v>
      </c>
      <c r="C53" s="3"/>
      <c r="D53" s="3">
        <f t="shared" si="5"/>
        <v>44952</v>
      </c>
      <c r="E53" s="3"/>
      <c r="F53" s="3" t="s">
        <v>1867</v>
      </c>
      <c r="G53" s="3" t="s">
        <v>474</v>
      </c>
      <c r="H53" s="3" t="s">
        <v>471</v>
      </c>
      <c r="I53" s="3">
        <v>1</v>
      </c>
      <c r="J53" s="3"/>
      <c r="K53" s="3"/>
      <c r="L53" s="3"/>
    </row>
    <row r="54" spans="1:12">
      <c r="B54" s="3" t="str">
        <f t="shared" si="4"/>
        <v>0xAF99</v>
      </c>
      <c r="C54" s="3"/>
      <c r="D54" s="3">
        <f t="shared" si="5"/>
        <v>44953</v>
      </c>
      <c r="E54" s="3"/>
      <c r="F54" s="86" t="s">
        <v>3201</v>
      </c>
      <c r="G54" s="86" t="s">
        <v>1151</v>
      </c>
      <c r="H54" s="86" t="s">
        <v>427</v>
      </c>
      <c r="I54" s="46">
        <v>2</v>
      </c>
      <c r="J54" s="3"/>
      <c r="K54" s="3"/>
      <c r="L54" s="3"/>
    </row>
    <row r="55" spans="1:12">
      <c r="B55" s="3" t="str">
        <f t="shared" si="4"/>
        <v>0xAF9B</v>
      </c>
      <c r="C55" s="3"/>
      <c r="D55" s="3">
        <f t="shared" si="5"/>
        <v>44955</v>
      </c>
      <c r="E55" s="3"/>
      <c r="F55" s="86" t="s">
        <v>3202</v>
      </c>
      <c r="G55" s="86" t="s">
        <v>639</v>
      </c>
      <c r="H55" s="86" t="s">
        <v>427</v>
      </c>
      <c r="I55" s="46">
        <v>1</v>
      </c>
      <c r="J55" s="3"/>
      <c r="K55" s="3"/>
      <c r="L55" s="3"/>
    </row>
    <row r="56" spans="1:12" ht="69" customHeight="1">
      <c r="B56" s="3" t="str">
        <f t="shared" si="4"/>
        <v>0xAF9C</v>
      </c>
      <c r="C56" s="3"/>
      <c r="D56" s="3">
        <f t="shared" si="5"/>
        <v>44956</v>
      </c>
      <c r="E56" s="3"/>
      <c r="F56" s="86" t="s">
        <v>3203</v>
      </c>
      <c r="G56" s="86" t="s">
        <v>639</v>
      </c>
      <c r="H56" s="86" t="s">
        <v>427</v>
      </c>
      <c r="I56" s="46">
        <v>1</v>
      </c>
      <c r="J56" s="4" t="s">
        <v>3234</v>
      </c>
      <c r="K56" s="3"/>
      <c r="L56" s="3"/>
    </row>
    <row r="57" spans="1:12">
      <c r="B57" s="3" t="str">
        <f t="shared" si="4"/>
        <v>0xAF9D</v>
      </c>
      <c r="C57" s="3" t="str">
        <f>"0x"&amp;DEC2HEX(E57,4)</f>
        <v>0xAF9E</v>
      </c>
      <c r="D57" s="3">
        <f t="shared" si="5"/>
        <v>44957</v>
      </c>
      <c r="E57" s="3">
        <f>D57+I57-1</f>
        <v>44958</v>
      </c>
      <c r="F57" s="86" t="s">
        <v>3204</v>
      </c>
      <c r="G57" s="86" t="s">
        <v>2837</v>
      </c>
      <c r="H57" s="86" t="s">
        <v>427</v>
      </c>
      <c r="I57" s="46">
        <v>2</v>
      </c>
      <c r="J57" s="3"/>
      <c r="K57" s="3"/>
      <c r="L57" s="3"/>
    </row>
    <row r="58" spans="1:12">
      <c r="B58" s="3" t="str">
        <f t="shared" si="4"/>
        <v>0xAF9F</v>
      </c>
      <c r="C58" s="3" t="str">
        <f t="shared" si="4"/>
        <v>0xAFA0</v>
      </c>
      <c r="D58" s="3">
        <f t="shared" si="5"/>
        <v>44959</v>
      </c>
      <c r="E58" s="3">
        <f t="shared" ref="E58:E62" si="6">D58+I58-1</f>
        <v>44960</v>
      </c>
      <c r="F58" s="86" t="s">
        <v>3205</v>
      </c>
      <c r="G58" s="86" t="s">
        <v>2837</v>
      </c>
      <c r="H58" s="86" t="s">
        <v>427</v>
      </c>
      <c r="I58" s="46">
        <v>2</v>
      </c>
      <c r="J58" s="3"/>
      <c r="K58" s="3"/>
      <c r="L58" s="3"/>
    </row>
    <row r="59" spans="1:12">
      <c r="B59" s="3" t="str">
        <f t="shared" si="4"/>
        <v>0xAFA1</v>
      </c>
      <c r="C59" s="3" t="str">
        <f t="shared" si="4"/>
        <v>0xAFA2</v>
      </c>
      <c r="D59" s="3">
        <f t="shared" si="5"/>
        <v>44961</v>
      </c>
      <c r="E59" s="3">
        <f t="shared" si="6"/>
        <v>44962</v>
      </c>
      <c r="F59" s="86" t="s">
        <v>3206</v>
      </c>
      <c r="G59" s="86" t="s">
        <v>2837</v>
      </c>
      <c r="H59" s="86" t="s">
        <v>427</v>
      </c>
      <c r="I59" s="46">
        <v>2</v>
      </c>
      <c r="J59" s="3"/>
      <c r="K59" s="3"/>
      <c r="L59" s="3"/>
    </row>
    <row r="60" spans="1:12">
      <c r="B60" s="3" t="str">
        <f t="shared" si="4"/>
        <v>0xAFA3</v>
      </c>
      <c r="C60" s="3" t="str">
        <f t="shared" si="4"/>
        <v>0xAFA4</v>
      </c>
      <c r="D60" s="3">
        <f t="shared" si="5"/>
        <v>44963</v>
      </c>
      <c r="E60" s="3">
        <f t="shared" si="6"/>
        <v>44964</v>
      </c>
      <c r="F60" s="86" t="s">
        <v>3207</v>
      </c>
      <c r="G60" s="86" t="s">
        <v>1151</v>
      </c>
      <c r="H60" s="86" t="s">
        <v>427</v>
      </c>
      <c r="I60" s="46">
        <v>2</v>
      </c>
      <c r="J60" s="3"/>
      <c r="K60" s="3"/>
      <c r="L60" s="3"/>
    </row>
    <row r="61" spans="1:12">
      <c r="B61" s="3" t="str">
        <f t="shared" si="4"/>
        <v>0xAFA5</v>
      </c>
      <c r="C61" s="3" t="str">
        <f t="shared" si="4"/>
        <v>0xAFA6</v>
      </c>
      <c r="D61" s="3">
        <f t="shared" si="5"/>
        <v>44965</v>
      </c>
      <c r="E61" s="3">
        <f t="shared" si="6"/>
        <v>44966</v>
      </c>
      <c r="F61" s="86" t="s">
        <v>3208</v>
      </c>
      <c r="G61" s="86" t="s">
        <v>1151</v>
      </c>
      <c r="H61" s="86" t="s">
        <v>427</v>
      </c>
      <c r="I61" s="46">
        <v>2</v>
      </c>
      <c r="J61" s="3"/>
      <c r="K61" s="3"/>
      <c r="L61" s="3"/>
    </row>
    <row r="62" spans="1:12">
      <c r="B62" s="3" t="str">
        <f t="shared" si="4"/>
        <v>0xAFA7</v>
      </c>
      <c r="C62" s="3" t="str">
        <f t="shared" si="4"/>
        <v>0xAFA8</v>
      </c>
      <c r="D62" s="3">
        <f t="shared" si="5"/>
        <v>44967</v>
      </c>
      <c r="E62" s="3">
        <f t="shared" si="6"/>
        <v>44968</v>
      </c>
      <c r="F62" s="86" t="s">
        <v>3209</v>
      </c>
      <c r="G62" s="86" t="s">
        <v>1151</v>
      </c>
      <c r="H62" s="86" t="s">
        <v>427</v>
      </c>
      <c r="I62" s="46">
        <v>2</v>
      </c>
      <c r="J62" s="3"/>
      <c r="K62" s="3"/>
      <c r="L62" s="3"/>
    </row>
    <row r="63" spans="1:12">
      <c r="B63" s="3"/>
      <c r="C63" s="3"/>
      <c r="D63" s="3"/>
      <c r="E63" s="3"/>
      <c r="F63" s="3"/>
      <c r="G63" s="3"/>
      <c r="H63" s="3"/>
      <c r="I63" s="3">
        <f>SUM(I51:I62)</f>
        <v>19</v>
      </c>
      <c r="J63" s="3"/>
      <c r="K63" s="3"/>
      <c r="L63" s="3"/>
    </row>
    <row r="64" spans="1:12"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 t="str">
        <f t="shared" si="4"/>
        <v>0xAFA9</v>
      </c>
      <c r="C66" s="3" t="str">
        <f t="shared" si="4"/>
        <v>0xAFB8</v>
      </c>
      <c r="D66" s="3">
        <f>D62+I62</f>
        <v>44969</v>
      </c>
      <c r="E66" s="3">
        <f t="shared" ref="E66:E71" si="7">D66+I66-1</f>
        <v>44984</v>
      </c>
      <c r="F66" s="3" t="s">
        <v>1876</v>
      </c>
      <c r="G66" s="3"/>
      <c r="H66" s="3" t="s">
        <v>427</v>
      </c>
      <c r="I66" s="3">
        <v>16</v>
      </c>
      <c r="J66" s="3"/>
      <c r="K66" s="3"/>
      <c r="L66" s="3"/>
    </row>
    <row r="67" spans="1:12">
      <c r="A67" s="3"/>
      <c r="B67" s="3" t="str">
        <f t="shared" ref="B67:C71" si="8">"0x"&amp;DEC2HEX(D67,4)</f>
        <v>0xAFB9</v>
      </c>
      <c r="C67" s="3" t="str">
        <f t="shared" si="8"/>
        <v>0xAFC8</v>
      </c>
      <c r="D67" s="3">
        <f t="shared" si="5"/>
        <v>44985</v>
      </c>
      <c r="E67" s="3">
        <f t="shared" si="7"/>
        <v>45000</v>
      </c>
      <c r="F67" s="3" t="s">
        <v>1877</v>
      </c>
      <c r="G67" s="3"/>
      <c r="H67" s="3" t="s">
        <v>427</v>
      </c>
      <c r="I67" s="3">
        <v>16</v>
      </c>
      <c r="J67" s="3"/>
      <c r="K67" s="3"/>
      <c r="L67" s="3"/>
    </row>
    <row r="68" spans="1:12">
      <c r="A68" s="3"/>
      <c r="B68" s="3" t="str">
        <f t="shared" si="8"/>
        <v>0xAFC9</v>
      </c>
      <c r="C68" s="3" t="str">
        <f t="shared" si="8"/>
        <v>0xAFD8</v>
      </c>
      <c r="D68" s="3">
        <f t="shared" si="5"/>
        <v>45001</v>
      </c>
      <c r="E68" s="3">
        <f t="shared" si="7"/>
        <v>45016</v>
      </c>
      <c r="F68" s="3" t="s">
        <v>1878</v>
      </c>
      <c r="G68" s="3"/>
      <c r="H68" s="3" t="s">
        <v>427</v>
      </c>
      <c r="I68" s="3">
        <v>16</v>
      </c>
      <c r="J68" s="3"/>
      <c r="K68" s="3"/>
      <c r="L68" s="3"/>
    </row>
    <row r="69" spans="1:12">
      <c r="A69" s="3"/>
      <c r="B69" s="3" t="str">
        <f t="shared" si="8"/>
        <v>0xAFD9</v>
      </c>
      <c r="C69" s="3" t="str">
        <f t="shared" si="8"/>
        <v>0xAFE8</v>
      </c>
      <c r="D69" s="3">
        <f t="shared" si="5"/>
        <v>45017</v>
      </c>
      <c r="E69" s="3">
        <f t="shared" si="7"/>
        <v>45032</v>
      </c>
      <c r="F69" s="3" t="s">
        <v>1879</v>
      </c>
      <c r="G69" s="3"/>
      <c r="H69" s="3" t="s">
        <v>427</v>
      </c>
      <c r="I69" s="3">
        <v>16</v>
      </c>
      <c r="J69" s="3"/>
      <c r="K69" s="3"/>
      <c r="L69" s="3"/>
    </row>
    <row r="70" spans="1:12">
      <c r="A70" s="3"/>
      <c r="B70" s="3" t="str">
        <f t="shared" si="8"/>
        <v>0xAFE9</v>
      </c>
      <c r="C70" s="3" t="str">
        <f t="shared" si="8"/>
        <v>0xAFF8</v>
      </c>
      <c r="D70" s="3">
        <f t="shared" si="5"/>
        <v>45033</v>
      </c>
      <c r="E70" s="3">
        <f t="shared" si="7"/>
        <v>45048</v>
      </c>
      <c r="F70" s="3" t="s">
        <v>1880</v>
      </c>
      <c r="G70" s="3"/>
      <c r="H70" s="3" t="s">
        <v>427</v>
      </c>
      <c r="I70" s="3">
        <v>16</v>
      </c>
      <c r="J70" s="3"/>
      <c r="K70" s="3"/>
      <c r="L70" s="3"/>
    </row>
    <row r="71" spans="1:12">
      <c r="A71" s="3"/>
      <c r="B71" s="3" t="str">
        <f t="shared" si="8"/>
        <v>0xAFF9</v>
      </c>
      <c r="C71" s="3" t="str">
        <f t="shared" si="8"/>
        <v>0xB008</v>
      </c>
      <c r="D71" s="3">
        <f t="shared" si="5"/>
        <v>45049</v>
      </c>
      <c r="E71" s="3">
        <f t="shared" si="7"/>
        <v>45064</v>
      </c>
      <c r="F71" s="3" t="s">
        <v>1881</v>
      </c>
      <c r="G71" s="3"/>
      <c r="H71" s="3" t="s">
        <v>427</v>
      </c>
      <c r="I71" s="3">
        <v>16</v>
      </c>
      <c r="J71" s="3"/>
      <c r="K71" s="3"/>
      <c r="L71" s="3"/>
    </row>
    <row r="72" spans="1:12">
      <c r="B72" s="3"/>
      <c r="C72" s="3"/>
      <c r="D72" s="3"/>
      <c r="E72" s="3"/>
      <c r="F72" s="3"/>
      <c r="G72" s="3"/>
      <c r="H72" s="3"/>
      <c r="I72" s="3">
        <f>SUM(I66:I71)</f>
        <v>96</v>
      </c>
      <c r="J72" s="3"/>
      <c r="K72" s="3"/>
      <c r="L72" s="3"/>
    </row>
    <row r="73" spans="1:12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</sheetData>
  <mergeCells count="1">
    <mergeCell ref="B50:C50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97"/>
  <sheetViews>
    <sheetView zoomScaleNormal="100" workbookViewId="0">
      <pane ySplit="1" topLeftCell="A87" activePane="bottomLeft" state="frozen"/>
      <selection pane="bottomLeft" activeCell="A96" sqref="A96"/>
    </sheetView>
  </sheetViews>
  <sheetFormatPr defaultColWidth="9" defaultRowHeight="12.75"/>
  <cols>
    <col min="1" max="1" width="31.42578125" style="6" customWidth="1"/>
    <col min="2" max="2" width="12.42578125" style="1" customWidth="1"/>
    <col min="3" max="4" width="9" style="1"/>
    <col min="5" max="5" width="10.85546875" style="1" customWidth="1"/>
    <col min="6" max="6" width="77.42578125" style="1" customWidth="1"/>
    <col min="7" max="7" width="29" style="1" customWidth="1"/>
    <col min="8" max="9" width="9" style="1"/>
    <col min="10" max="10" width="17.140625" style="1" customWidth="1"/>
    <col min="11" max="11" width="13.42578125" style="1" customWidth="1"/>
    <col min="12" max="12" width="14.5703125" style="1" customWidth="1"/>
    <col min="13" max="13" width="13.28515625" style="1" customWidth="1"/>
    <col min="14" max="16384" width="9" style="1"/>
  </cols>
  <sheetData>
    <row r="1" spans="1:13" s="5" customFormat="1" ht="25.5">
      <c r="A1" s="5" t="s">
        <v>27</v>
      </c>
      <c r="B1" s="5" t="s">
        <v>414</v>
      </c>
      <c r="C1" s="5" t="s">
        <v>415</v>
      </c>
      <c r="D1" s="5" t="s">
        <v>416</v>
      </c>
      <c r="E1" s="5" t="s">
        <v>417</v>
      </c>
      <c r="F1" s="5" t="s">
        <v>418</v>
      </c>
      <c r="G1" s="5" t="s">
        <v>419</v>
      </c>
      <c r="H1" s="5" t="s">
        <v>421</v>
      </c>
      <c r="I1" s="5" t="s">
        <v>420</v>
      </c>
      <c r="J1" s="5" t="s">
        <v>422</v>
      </c>
      <c r="K1" s="5" t="s">
        <v>480</v>
      </c>
      <c r="L1" s="5" t="s">
        <v>481</v>
      </c>
      <c r="M1" s="5" t="s">
        <v>1908</v>
      </c>
    </row>
    <row r="2" spans="1:13">
      <c r="A2" s="6" t="s">
        <v>1909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</row>
    <row r="3" spans="1:13" ht="25.5">
      <c r="A3" s="6" t="s">
        <v>1910</v>
      </c>
      <c r="B3" s="1" t="str">
        <f t="shared" ref="B3:B34" si="0">"0x"&amp;DEC2HEX(D3,4)</f>
        <v>0xF3FE</v>
      </c>
      <c r="D3" s="1">
        <v>62462</v>
      </c>
      <c r="F3" s="1" t="s">
        <v>1911</v>
      </c>
      <c r="G3" s="1" t="s">
        <v>474</v>
      </c>
      <c r="H3" s="1" t="s">
        <v>471</v>
      </c>
      <c r="I3" s="1">
        <v>1</v>
      </c>
      <c r="M3" s="1" t="s">
        <v>1912</v>
      </c>
    </row>
    <row r="4" spans="1:13">
      <c r="B4" s="1" t="str">
        <f t="shared" si="0"/>
        <v>0xF3FF</v>
      </c>
      <c r="D4" s="1">
        <v>62463</v>
      </c>
      <c r="F4" s="1" t="s">
        <v>1913</v>
      </c>
      <c r="I4" s="1">
        <v>1</v>
      </c>
      <c r="M4" s="1" t="s">
        <v>1914</v>
      </c>
    </row>
    <row r="5" spans="1:13">
      <c r="B5" s="1" t="str">
        <f t="shared" si="0"/>
        <v>0xF400</v>
      </c>
      <c r="D5" s="1">
        <v>62464</v>
      </c>
      <c r="F5" s="1" t="s">
        <v>1915</v>
      </c>
      <c r="G5" s="1" t="s">
        <v>474</v>
      </c>
      <c r="H5" s="1" t="s">
        <v>471</v>
      </c>
      <c r="I5" s="1">
        <v>1</v>
      </c>
    </row>
    <row r="6" spans="1:13">
      <c r="B6" s="1" t="str">
        <f t="shared" si="0"/>
        <v>0xF401</v>
      </c>
      <c r="D6" s="1">
        <v>62465</v>
      </c>
      <c r="F6" s="1" t="s">
        <v>1916</v>
      </c>
      <c r="G6" s="1" t="s">
        <v>474</v>
      </c>
      <c r="H6" s="1" t="s">
        <v>471</v>
      </c>
      <c r="I6" s="1">
        <v>1</v>
      </c>
    </row>
    <row r="7" spans="1:13">
      <c r="B7" s="1" t="str">
        <f t="shared" si="0"/>
        <v>0xF402</v>
      </c>
      <c r="D7" s="1">
        <v>62466</v>
      </c>
      <c r="F7" s="1" t="s">
        <v>1917</v>
      </c>
      <c r="G7" s="1" t="s">
        <v>474</v>
      </c>
      <c r="H7" s="1" t="s">
        <v>471</v>
      </c>
      <c r="I7" s="1">
        <v>1</v>
      </c>
    </row>
    <row r="8" spans="1:13">
      <c r="B8" s="1" t="str">
        <f t="shared" si="0"/>
        <v>0xF403</v>
      </c>
      <c r="D8" s="1">
        <v>62467</v>
      </c>
      <c r="F8" s="1" t="s">
        <v>1918</v>
      </c>
      <c r="G8" s="1" t="s">
        <v>474</v>
      </c>
      <c r="H8" s="1" t="s">
        <v>471</v>
      </c>
      <c r="I8" s="1">
        <v>1</v>
      </c>
    </row>
    <row r="9" spans="1:13">
      <c r="B9" s="1" t="str">
        <f t="shared" si="0"/>
        <v>0xF404</v>
      </c>
      <c r="D9" s="1">
        <v>62468</v>
      </c>
      <c r="F9" s="1" t="s">
        <v>1919</v>
      </c>
      <c r="G9" s="1" t="s">
        <v>474</v>
      </c>
      <c r="H9" s="1" t="s">
        <v>471</v>
      </c>
      <c r="I9" s="1">
        <v>1</v>
      </c>
    </row>
    <row r="10" spans="1:13">
      <c r="B10" s="1" t="str">
        <f t="shared" si="0"/>
        <v>0xF405</v>
      </c>
      <c r="D10" s="1">
        <v>62469</v>
      </c>
      <c r="F10" s="1" t="s">
        <v>1920</v>
      </c>
      <c r="G10" s="1" t="s">
        <v>474</v>
      </c>
      <c r="H10" s="1" t="s">
        <v>471</v>
      </c>
      <c r="I10" s="1">
        <v>1</v>
      </c>
    </row>
    <row r="11" spans="1:13">
      <c r="B11" s="1" t="str">
        <f t="shared" si="0"/>
        <v>0xF406</v>
      </c>
      <c r="D11" s="1">
        <v>62470</v>
      </c>
      <c r="F11" s="1" t="s">
        <v>1921</v>
      </c>
      <c r="G11" s="1" t="s">
        <v>474</v>
      </c>
      <c r="H11" s="1" t="s">
        <v>471</v>
      </c>
      <c r="I11" s="1">
        <v>1</v>
      </c>
    </row>
    <row r="12" spans="1:13">
      <c r="B12" s="1" t="str">
        <f t="shared" si="0"/>
        <v>0xF407</v>
      </c>
      <c r="D12" s="1">
        <v>62471</v>
      </c>
      <c r="F12" s="1" t="s">
        <v>1922</v>
      </c>
      <c r="G12" s="1" t="s">
        <v>474</v>
      </c>
      <c r="H12" s="1" t="s">
        <v>471</v>
      </c>
      <c r="I12" s="1">
        <v>1</v>
      </c>
    </row>
    <row r="13" spans="1:13">
      <c r="B13" s="1" t="str">
        <f t="shared" si="0"/>
        <v>0xF408</v>
      </c>
      <c r="D13" s="1">
        <v>62472</v>
      </c>
      <c r="F13" s="1" t="s">
        <v>1923</v>
      </c>
      <c r="G13" s="1" t="s">
        <v>474</v>
      </c>
      <c r="H13" s="1" t="s">
        <v>471</v>
      </c>
      <c r="I13" s="1">
        <v>1</v>
      </c>
    </row>
    <row r="14" spans="1:13">
      <c r="B14" s="1" t="str">
        <f t="shared" si="0"/>
        <v>0xF409</v>
      </c>
      <c r="D14" s="1">
        <v>62473</v>
      </c>
      <c r="F14" s="1" t="s">
        <v>1924</v>
      </c>
      <c r="G14" s="1" t="s">
        <v>474</v>
      </c>
      <c r="H14" s="1" t="s">
        <v>471</v>
      </c>
      <c r="I14" s="1">
        <v>1</v>
      </c>
    </row>
    <row r="15" spans="1:13">
      <c r="B15" s="1" t="str">
        <f t="shared" si="0"/>
        <v>0xF40A</v>
      </c>
      <c r="D15" s="1">
        <v>62474</v>
      </c>
      <c r="F15" s="1" t="s">
        <v>1925</v>
      </c>
      <c r="G15" s="1" t="s">
        <v>474</v>
      </c>
      <c r="H15" s="1" t="s">
        <v>471</v>
      </c>
      <c r="I15" s="1">
        <v>1</v>
      </c>
    </row>
    <row r="16" spans="1:13">
      <c r="B16" s="1" t="str">
        <f t="shared" si="0"/>
        <v>0xF40B</v>
      </c>
      <c r="D16" s="1">
        <v>62475</v>
      </c>
      <c r="F16" s="1" t="s">
        <v>1926</v>
      </c>
      <c r="G16" s="1" t="s">
        <v>474</v>
      </c>
      <c r="H16" s="1" t="s">
        <v>471</v>
      </c>
      <c r="I16" s="1">
        <v>1</v>
      </c>
    </row>
    <row r="17" spans="2:9">
      <c r="B17" s="1" t="str">
        <f t="shared" si="0"/>
        <v>0xF40C</v>
      </c>
      <c r="D17" s="1">
        <v>62476</v>
      </c>
      <c r="F17" s="1" t="s">
        <v>1927</v>
      </c>
      <c r="G17" s="1" t="s">
        <v>474</v>
      </c>
      <c r="H17" s="1" t="s">
        <v>471</v>
      </c>
      <c r="I17" s="1">
        <v>1</v>
      </c>
    </row>
    <row r="18" spans="2:9">
      <c r="B18" s="1" t="str">
        <f t="shared" si="0"/>
        <v>0xF40D</v>
      </c>
      <c r="D18" s="1">
        <v>62477</v>
      </c>
      <c r="F18" s="1" t="s">
        <v>1928</v>
      </c>
      <c r="G18" s="1" t="s">
        <v>474</v>
      </c>
      <c r="H18" s="1" t="s">
        <v>471</v>
      </c>
      <c r="I18" s="1">
        <v>1</v>
      </c>
    </row>
    <row r="19" spans="2:9">
      <c r="B19" s="1" t="str">
        <f t="shared" si="0"/>
        <v>0xF40E</v>
      </c>
      <c r="D19" s="1">
        <v>62478</v>
      </c>
      <c r="F19" s="1" t="s">
        <v>1929</v>
      </c>
      <c r="G19" s="1" t="s">
        <v>474</v>
      </c>
      <c r="H19" s="1" t="s">
        <v>471</v>
      </c>
      <c r="I19" s="1">
        <v>1</v>
      </c>
    </row>
    <row r="20" spans="2:9" ht="25.5">
      <c r="B20" s="1" t="str">
        <f t="shared" si="0"/>
        <v>0xF420</v>
      </c>
      <c r="C20" s="1" t="str">
        <f t="shared" ref="C20:C51" si="1">"0x"&amp;DEC2HEX(E20,4)</f>
        <v>0xF422</v>
      </c>
      <c r="D20" s="1">
        <v>62496</v>
      </c>
      <c r="E20" s="1">
        <f t="shared" ref="E20:E51" si="2">D20+I20-1</f>
        <v>62498</v>
      </c>
      <c r="F20" s="1" t="s">
        <v>1930</v>
      </c>
      <c r="H20" s="1" t="s">
        <v>471</v>
      </c>
      <c r="I20" s="1">
        <v>3</v>
      </c>
    </row>
    <row r="21" spans="2:9" ht="25.5">
      <c r="B21" s="1" t="str">
        <f t="shared" si="0"/>
        <v>0xF423</v>
      </c>
      <c r="C21" s="1" t="str">
        <f t="shared" si="1"/>
        <v>0xF425</v>
      </c>
      <c r="D21" s="1">
        <f t="shared" ref="D21:D52" si="3">D20+I20</f>
        <v>62499</v>
      </c>
      <c r="E21" s="1">
        <f t="shared" si="2"/>
        <v>62501</v>
      </c>
      <c r="F21" s="1" t="s">
        <v>1931</v>
      </c>
      <c r="H21" s="1" t="s">
        <v>471</v>
      </c>
      <c r="I21" s="1">
        <v>3</v>
      </c>
    </row>
    <row r="22" spans="2:9" ht="25.5">
      <c r="B22" s="1" t="str">
        <f t="shared" si="0"/>
        <v>0xF426</v>
      </c>
      <c r="C22" s="1" t="str">
        <f t="shared" si="1"/>
        <v>0xF428</v>
      </c>
      <c r="D22" s="1">
        <f t="shared" si="3"/>
        <v>62502</v>
      </c>
      <c r="E22" s="1">
        <f t="shared" si="2"/>
        <v>62504</v>
      </c>
      <c r="F22" s="1" t="s">
        <v>1932</v>
      </c>
      <c r="H22" s="1" t="s">
        <v>471</v>
      </c>
      <c r="I22" s="1">
        <v>3</v>
      </c>
    </row>
    <row r="23" spans="2:9" ht="25.5">
      <c r="B23" s="1" t="str">
        <f t="shared" si="0"/>
        <v>0xF429</v>
      </c>
      <c r="C23" s="1" t="str">
        <f t="shared" si="1"/>
        <v>0xF42B</v>
      </c>
      <c r="D23" s="1">
        <f t="shared" si="3"/>
        <v>62505</v>
      </c>
      <c r="E23" s="1">
        <f t="shared" si="2"/>
        <v>62507</v>
      </c>
      <c r="F23" s="1" t="s">
        <v>1933</v>
      </c>
      <c r="H23" s="1" t="s">
        <v>471</v>
      </c>
      <c r="I23" s="1">
        <v>3</v>
      </c>
    </row>
    <row r="24" spans="2:9" ht="25.5">
      <c r="B24" s="1" t="str">
        <f t="shared" si="0"/>
        <v>0xF42C</v>
      </c>
      <c r="C24" s="1" t="str">
        <f t="shared" si="1"/>
        <v>0xF42E</v>
      </c>
      <c r="D24" s="1">
        <f t="shared" si="3"/>
        <v>62508</v>
      </c>
      <c r="E24" s="1">
        <f t="shared" si="2"/>
        <v>62510</v>
      </c>
      <c r="F24" s="1" t="s">
        <v>1934</v>
      </c>
      <c r="H24" s="1" t="s">
        <v>471</v>
      </c>
      <c r="I24" s="1">
        <v>3</v>
      </c>
    </row>
    <row r="25" spans="2:9" ht="25.5">
      <c r="B25" s="1" t="str">
        <f t="shared" si="0"/>
        <v>0xF42F</v>
      </c>
      <c r="C25" s="1" t="str">
        <f t="shared" si="1"/>
        <v>0xF431</v>
      </c>
      <c r="D25" s="1">
        <f t="shared" si="3"/>
        <v>62511</v>
      </c>
      <c r="E25" s="1">
        <f t="shared" si="2"/>
        <v>62513</v>
      </c>
      <c r="F25" s="1" t="s">
        <v>1935</v>
      </c>
      <c r="H25" s="1" t="s">
        <v>471</v>
      </c>
      <c r="I25" s="1">
        <v>3</v>
      </c>
    </row>
    <row r="26" spans="2:9" ht="25.5">
      <c r="B26" s="1" t="str">
        <f t="shared" si="0"/>
        <v>0xF432</v>
      </c>
      <c r="C26" s="1" t="str">
        <f t="shared" si="1"/>
        <v>0xF434</v>
      </c>
      <c r="D26" s="1">
        <f t="shared" si="3"/>
        <v>62514</v>
      </c>
      <c r="E26" s="1">
        <f t="shared" si="2"/>
        <v>62516</v>
      </c>
      <c r="F26" s="1" t="s">
        <v>1936</v>
      </c>
      <c r="H26" s="1" t="s">
        <v>471</v>
      </c>
      <c r="I26" s="1">
        <v>3</v>
      </c>
    </row>
    <row r="27" spans="2:9" ht="25.5">
      <c r="B27" s="1" t="str">
        <f t="shared" si="0"/>
        <v>0xF435</v>
      </c>
      <c r="C27" s="1" t="str">
        <f t="shared" si="1"/>
        <v>0xF437</v>
      </c>
      <c r="D27" s="1">
        <f t="shared" si="3"/>
        <v>62517</v>
      </c>
      <c r="E27" s="1">
        <f t="shared" si="2"/>
        <v>62519</v>
      </c>
      <c r="F27" s="1" t="s">
        <v>1937</v>
      </c>
      <c r="H27" s="1" t="s">
        <v>471</v>
      </c>
      <c r="I27" s="1">
        <v>3</v>
      </c>
    </row>
    <row r="28" spans="2:9" ht="25.5">
      <c r="B28" s="1" t="str">
        <f t="shared" si="0"/>
        <v>0xF438</v>
      </c>
      <c r="C28" s="1" t="str">
        <f t="shared" si="1"/>
        <v>0xF43A</v>
      </c>
      <c r="D28" s="1">
        <f t="shared" si="3"/>
        <v>62520</v>
      </c>
      <c r="E28" s="1">
        <f t="shared" si="2"/>
        <v>62522</v>
      </c>
      <c r="F28" s="1" t="s">
        <v>1938</v>
      </c>
      <c r="H28" s="1" t="s">
        <v>471</v>
      </c>
      <c r="I28" s="1">
        <v>3</v>
      </c>
    </row>
    <row r="29" spans="2:9" ht="25.5">
      <c r="B29" s="1" t="str">
        <f t="shared" si="0"/>
        <v>0xF43B</v>
      </c>
      <c r="C29" s="1" t="str">
        <f t="shared" si="1"/>
        <v>0xF43D</v>
      </c>
      <c r="D29" s="1">
        <f t="shared" si="3"/>
        <v>62523</v>
      </c>
      <c r="E29" s="1">
        <f t="shared" si="2"/>
        <v>62525</v>
      </c>
      <c r="F29" s="1" t="s">
        <v>1939</v>
      </c>
      <c r="H29" s="1" t="s">
        <v>471</v>
      </c>
      <c r="I29" s="1">
        <v>3</v>
      </c>
    </row>
    <row r="30" spans="2:9" ht="25.5">
      <c r="B30" s="1" t="str">
        <f t="shared" si="0"/>
        <v>0xF43E</v>
      </c>
      <c r="C30" s="1" t="str">
        <f t="shared" si="1"/>
        <v>0xF440</v>
      </c>
      <c r="D30" s="1">
        <f t="shared" si="3"/>
        <v>62526</v>
      </c>
      <c r="E30" s="1">
        <f t="shared" si="2"/>
        <v>62528</v>
      </c>
      <c r="F30" s="1" t="s">
        <v>1940</v>
      </c>
      <c r="H30" s="1" t="s">
        <v>471</v>
      </c>
      <c r="I30" s="1">
        <v>3</v>
      </c>
    </row>
    <row r="31" spans="2:9" ht="25.5">
      <c r="B31" s="1" t="str">
        <f t="shared" si="0"/>
        <v>0xF441</v>
      </c>
      <c r="C31" s="1" t="str">
        <f t="shared" si="1"/>
        <v>0xF443</v>
      </c>
      <c r="D31" s="1">
        <f t="shared" si="3"/>
        <v>62529</v>
      </c>
      <c r="E31" s="1">
        <f t="shared" si="2"/>
        <v>62531</v>
      </c>
      <c r="F31" s="1" t="s">
        <v>1941</v>
      </c>
      <c r="H31" s="1" t="s">
        <v>471</v>
      </c>
      <c r="I31" s="1">
        <v>3</v>
      </c>
    </row>
    <row r="32" spans="2:9">
      <c r="B32" s="1" t="str">
        <f t="shared" si="0"/>
        <v>0xF444</v>
      </c>
      <c r="C32" s="1" t="str">
        <f t="shared" si="1"/>
        <v>0xF446</v>
      </c>
      <c r="D32" s="1">
        <f t="shared" si="3"/>
        <v>62532</v>
      </c>
      <c r="E32" s="1">
        <f t="shared" si="2"/>
        <v>62534</v>
      </c>
      <c r="F32" s="1" t="s">
        <v>1942</v>
      </c>
      <c r="H32" s="1" t="s">
        <v>471</v>
      </c>
      <c r="I32" s="1">
        <v>3</v>
      </c>
    </row>
    <row r="33" spans="2:9">
      <c r="B33" s="1" t="str">
        <f t="shared" si="0"/>
        <v>0xF447</v>
      </c>
      <c r="C33" s="1" t="str">
        <f t="shared" si="1"/>
        <v>0xF449</v>
      </c>
      <c r="D33" s="1">
        <f t="shared" si="3"/>
        <v>62535</v>
      </c>
      <c r="E33" s="1">
        <f t="shared" si="2"/>
        <v>62537</v>
      </c>
      <c r="F33" s="1" t="s">
        <v>1943</v>
      </c>
      <c r="H33" s="1" t="s">
        <v>471</v>
      </c>
      <c r="I33" s="1">
        <v>3</v>
      </c>
    </row>
    <row r="34" spans="2:9">
      <c r="B34" s="1" t="str">
        <f t="shared" si="0"/>
        <v>0xF44A</v>
      </c>
      <c r="C34" s="1" t="str">
        <f t="shared" si="1"/>
        <v>0xF44C</v>
      </c>
      <c r="D34" s="1">
        <f t="shared" si="3"/>
        <v>62538</v>
      </c>
      <c r="E34" s="1">
        <f t="shared" si="2"/>
        <v>62540</v>
      </c>
      <c r="F34" s="1" t="s">
        <v>1944</v>
      </c>
      <c r="H34" s="1" t="s">
        <v>471</v>
      </c>
      <c r="I34" s="1">
        <v>3</v>
      </c>
    </row>
    <row r="35" spans="2:9">
      <c r="B35" s="1" t="str">
        <f t="shared" ref="B35:B66" si="4">"0x"&amp;DEC2HEX(D35,4)</f>
        <v>0xF44D</v>
      </c>
      <c r="C35" s="1" t="str">
        <f t="shared" si="1"/>
        <v>0xF44F</v>
      </c>
      <c r="D35" s="1">
        <f t="shared" si="3"/>
        <v>62541</v>
      </c>
      <c r="E35" s="1">
        <f t="shared" si="2"/>
        <v>62543</v>
      </c>
      <c r="F35" s="1" t="s">
        <v>1945</v>
      </c>
      <c r="H35" s="1" t="s">
        <v>471</v>
      </c>
      <c r="I35" s="1">
        <v>3</v>
      </c>
    </row>
    <row r="36" spans="2:9">
      <c r="B36" s="1" t="str">
        <f t="shared" si="4"/>
        <v>0xF450</v>
      </c>
      <c r="C36" s="1" t="str">
        <f t="shared" si="1"/>
        <v>0xF452</v>
      </c>
      <c r="D36" s="1">
        <f t="shared" si="3"/>
        <v>62544</v>
      </c>
      <c r="E36" s="1">
        <f t="shared" si="2"/>
        <v>62546</v>
      </c>
      <c r="F36" s="1" t="s">
        <v>1946</v>
      </c>
      <c r="H36" s="1" t="s">
        <v>471</v>
      </c>
      <c r="I36" s="1">
        <v>3</v>
      </c>
    </row>
    <row r="37" spans="2:9">
      <c r="B37" s="1" t="str">
        <f t="shared" si="4"/>
        <v>0xF453</v>
      </c>
      <c r="C37" s="1" t="str">
        <f t="shared" si="1"/>
        <v>0xF455</v>
      </c>
      <c r="D37" s="1">
        <f t="shared" si="3"/>
        <v>62547</v>
      </c>
      <c r="E37" s="1">
        <f t="shared" si="2"/>
        <v>62549</v>
      </c>
      <c r="F37" s="1" t="s">
        <v>1947</v>
      </c>
      <c r="H37" s="1" t="s">
        <v>471</v>
      </c>
      <c r="I37" s="1">
        <v>3</v>
      </c>
    </row>
    <row r="38" spans="2:9">
      <c r="B38" s="1" t="str">
        <f t="shared" si="4"/>
        <v>0xF456</v>
      </c>
      <c r="C38" s="1" t="str">
        <f t="shared" si="1"/>
        <v>0xF458</v>
      </c>
      <c r="D38" s="1">
        <f t="shared" si="3"/>
        <v>62550</v>
      </c>
      <c r="E38" s="1">
        <f t="shared" si="2"/>
        <v>62552</v>
      </c>
      <c r="F38" s="1" t="s">
        <v>1948</v>
      </c>
      <c r="H38" s="1" t="s">
        <v>471</v>
      </c>
      <c r="I38" s="1">
        <v>3</v>
      </c>
    </row>
    <row r="39" spans="2:9">
      <c r="B39" s="1" t="str">
        <f t="shared" si="4"/>
        <v>0xF459</v>
      </c>
      <c r="C39" s="1" t="str">
        <f t="shared" si="1"/>
        <v>0xF45B</v>
      </c>
      <c r="D39" s="1">
        <f t="shared" si="3"/>
        <v>62553</v>
      </c>
      <c r="E39" s="1">
        <f t="shared" si="2"/>
        <v>62555</v>
      </c>
      <c r="F39" s="1" t="s">
        <v>1949</v>
      </c>
      <c r="H39" s="1" t="s">
        <v>471</v>
      </c>
      <c r="I39" s="1">
        <v>3</v>
      </c>
    </row>
    <row r="40" spans="2:9">
      <c r="B40" s="1" t="str">
        <f t="shared" si="4"/>
        <v>0xF45C</v>
      </c>
      <c r="C40" s="1" t="str">
        <f t="shared" si="1"/>
        <v>0xF45E</v>
      </c>
      <c r="D40" s="1">
        <f t="shared" si="3"/>
        <v>62556</v>
      </c>
      <c r="E40" s="1">
        <f t="shared" si="2"/>
        <v>62558</v>
      </c>
      <c r="F40" s="1" t="s">
        <v>1950</v>
      </c>
      <c r="H40" s="1" t="s">
        <v>471</v>
      </c>
      <c r="I40" s="1">
        <v>3</v>
      </c>
    </row>
    <row r="41" spans="2:9">
      <c r="B41" s="1" t="str">
        <f t="shared" si="4"/>
        <v>0xF45F</v>
      </c>
      <c r="C41" s="1" t="str">
        <f t="shared" si="1"/>
        <v>0xF461</v>
      </c>
      <c r="D41" s="1">
        <f t="shared" si="3"/>
        <v>62559</v>
      </c>
      <c r="E41" s="1">
        <f t="shared" si="2"/>
        <v>62561</v>
      </c>
      <c r="F41" s="1" t="s">
        <v>1951</v>
      </c>
      <c r="H41" s="1" t="s">
        <v>471</v>
      </c>
      <c r="I41" s="1">
        <v>3</v>
      </c>
    </row>
    <row r="42" spans="2:9">
      <c r="B42" s="1" t="str">
        <f t="shared" si="4"/>
        <v>0xF462</v>
      </c>
      <c r="C42" s="1" t="str">
        <f t="shared" si="1"/>
        <v>0xF464</v>
      </c>
      <c r="D42" s="1">
        <f t="shared" si="3"/>
        <v>62562</v>
      </c>
      <c r="E42" s="1">
        <f t="shared" si="2"/>
        <v>62564</v>
      </c>
      <c r="F42" s="1" t="s">
        <v>1952</v>
      </c>
      <c r="H42" s="1" t="s">
        <v>471</v>
      </c>
      <c r="I42" s="1">
        <v>3</v>
      </c>
    </row>
    <row r="43" spans="2:9">
      <c r="B43" s="1" t="str">
        <f t="shared" si="4"/>
        <v>0xF465</v>
      </c>
      <c r="C43" s="1" t="str">
        <f t="shared" si="1"/>
        <v>0xF467</v>
      </c>
      <c r="D43" s="1">
        <f t="shared" si="3"/>
        <v>62565</v>
      </c>
      <c r="E43" s="1">
        <f t="shared" si="2"/>
        <v>62567</v>
      </c>
      <c r="F43" s="1" t="s">
        <v>1953</v>
      </c>
      <c r="H43" s="1" t="s">
        <v>471</v>
      </c>
      <c r="I43" s="1">
        <v>3</v>
      </c>
    </row>
    <row r="44" spans="2:9">
      <c r="B44" s="1" t="str">
        <f t="shared" si="4"/>
        <v>0xF468</v>
      </c>
      <c r="C44" s="1" t="str">
        <f t="shared" si="1"/>
        <v>0xF46A</v>
      </c>
      <c r="D44" s="1">
        <f t="shared" si="3"/>
        <v>62568</v>
      </c>
      <c r="E44" s="1">
        <f t="shared" si="2"/>
        <v>62570</v>
      </c>
      <c r="F44" s="1" t="s">
        <v>1954</v>
      </c>
      <c r="H44" s="1" t="s">
        <v>471</v>
      </c>
      <c r="I44" s="1">
        <v>3</v>
      </c>
    </row>
    <row r="45" spans="2:9">
      <c r="B45" s="1" t="str">
        <f t="shared" si="4"/>
        <v>0xF46B</v>
      </c>
      <c r="C45" s="1" t="str">
        <f t="shared" si="1"/>
        <v>0xF46D</v>
      </c>
      <c r="D45" s="1">
        <f t="shared" si="3"/>
        <v>62571</v>
      </c>
      <c r="E45" s="1">
        <f t="shared" si="2"/>
        <v>62573</v>
      </c>
      <c r="F45" s="1" t="s">
        <v>1955</v>
      </c>
      <c r="H45" s="1" t="s">
        <v>471</v>
      </c>
      <c r="I45" s="1">
        <v>3</v>
      </c>
    </row>
    <row r="46" spans="2:9" ht="25.5">
      <c r="B46" s="1" t="str">
        <f t="shared" si="4"/>
        <v>0xF46E</v>
      </c>
      <c r="C46" s="1" t="str">
        <f t="shared" si="1"/>
        <v>0xF497</v>
      </c>
      <c r="D46" s="1">
        <f t="shared" si="3"/>
        <v>62574</v>
      </c>
      <c r="E46" s="1">
        <f t="shared" si="2"/>
        <v>62615</v>
      </c>
      <c r="F46" s="1" t="s">
        <v>1956</v>
      </c>
      <c r="H46" s="1" t="s">
        <v>471</v>
      </c>
      <c r="I46" s="1">
        <v>42</v>
      </c>
    </row>
    <row r="47" spans="2:9" ht="25.5">
      <c r="B47" s="1" t="str">
        <f t="shared" si="4"/>
        <v>0xF498</v>
      </c>
      <c r="C47" s="1" t="str">
        <f t="shared" si="1"/>
        <v>0xF4C1</v>
      </c>
      <c r="D47" s="1">
        <f t="shared" si="3"/>
        <v>62616</v>
      </c>
      <c r="E47" s="1">
        <f t="shared" si="2"/>
        <v>62657</v>
      </c>
      <c r="F47" s="1" t="s">
        <v>1957</v>
      </c>
      <c r="H47" s="1" t="s">
        <v>471</v>
      </c>
      <c r="I47" s="1">
        <v>42</v>
      </c>
    </row>
    <row r="48" spans="2:9" ht="25.5">
      <c r="B48" s="1" t="str">
        <f t="shared" si="4"/>
        <v>0xF4C2</v>
      </c>
      <c r="C48" s="1" t="str">
        <f t="shared" si="1"/>
        <v>0xF4EB</v>
      </c>
      <c r="D48" s="1">
        <f t="shared" si="3"/>
        <v>62658</v>
      </c>
      <c r="E48" s="1">
        <f t="shared" si="2"/>
        <v>62699</v>
      </c>
      <c r="F48" s="1" t="s">
        <v>1958</v>
      </c>
      <c r="H48" s="1" t="s">
        <v>471</v>
      </c>
      <c r="I48" s="1">
        <v>42</v>
      </c>
    </row>
    <row r="49" spans="2:9" ht="25.5">
      <c r="B49" s="1" t="str">
        <f t="shared" si="4"/>
        <v>0xF4EC</v>
      </c>
      <c r="C49" s="1" t="str">
        <f t="shared" si="1"/>
        <v>0xF515</v>
      </c>
      <c r="D49" s="1">
        <f t="shared" si="3"/>
        <v>62700</v>
      </c>
      <c r="E49" s="1">
        <f t="shared" si="2"/>
        <v>62741</v>
      </c>
      <c r="F49" s="1" t="s">
        <v>1959</v>
      </c>
      <c r="H49" s="1" t="s">
        <v>471</v>
      </c>
      <c r="I49" s="1">
        <v>42</v>
      </c>
    </row>
    <row r="50" spans="2:9" ht="25.5">
      <c r="B50" s="1" t="str">
        <f t="shared" si="4"/>
        <v>0xF516</v>
      </c>
      <c r="C50" s="1" t="str">
        <f t="shared" si="1"/>
        <v>0xF53F</v>
      </c>
      <c r="D50" s="1">
        <f t="shared" si="3"/>
        <v>62742</v>
      </c>
      <c r="E50" s="1">
        <f t="shared" si="2"/>
        <v>62783</v>
      </c>
      <c r="F50" s="1" t="s">
        <v>1960</v>
      </c>
      <c r="H50" s="1" t="s">
        <v>471</v>
      </c>
      <c r="I50" s="1">
        <v>42</v>
      </c>
    </row>
    <row r="51" spans="2:9" ht="25.5">
      <c r="B51" s="1" t="str">
        <f t="shared" si="4"/>
        <v>0xF540</v>
      </c>
      <c r="C51" s="1" t="str">
        <f t="shared" si="1"/>
        <v>0xF569</v>
      </c>
      <c r="D51" s="1">
        <f t="shared" si="3"/>
        <v>62784</v>
      </c>
      <c r="E51" s="1">
        <f t="shared" si="2"/>
        <v>62825</v>
      </c>
      <c r="F51" s="1" t="s">
        <v>1961</v>
      </c>
      <c r="H51" s="1" t="s">
        <v>471</v>
      </c>
      <c r="I51" s="1">
        <v>42</v>
      </c>
    </row>
    <row r="52" spans="2:9" ht="25.5">
      <c r="B52" s="1" t="str">
        <f t="shared" si="4"/>
        <v>0xF56A</v>
      </c>
      <c r="C52" s="1" t="str">
        <f t="shared" ref="C52:C88" si="5">"0x"&amp;DEC2HEX(E52,4)</f>
        <v>0xF593</v>
      </c>
      <c r="D52" s="1">
        <f t="shared" si="3"/>
        <v>62826</v>
      </c>
      <c r="E52" s="1">
        <f t="shared" ref="E52:E83" si="6">D52+I52-1</f>
        <v>62867</v>
      </c>
      <c r="F52" s="1" t="s">
        <v>1962</v>
      </c>
      <c r="H52" s="1" t="s">
        <v>471</v>
      </c>
      <c r="I52" s="1">
        <v>42</v>
      </c>
    </row>
    <row r="53" spans="2:9" ht="25.5">
      <c r="B53" s="1" t="str">
        <f t="shared" si="4"/>
        <v>0xF594</v>
      </c>
      <c r="C53" s="1" t="str">
        <f t="shared" si="5"/>
        <v>0xF5BD</v>
      </c>
      <c r="D53" s="1">
        <f t="shared" ref="D53:D84" si="7">D52+I52</f>
        <v>62868</v>
      </c>
      <c r="E53" s="1">
        <f t="shared" si="6"/>
        <v>62909</v>
      </c>
      <c r="F53" s="1" t="s">
        <v>1963</v>
      </c>
      <c r="H53" s="1" t="s">
        <v>471</v>
      </c>
      <c r="I53" s="1">
        <v>42</v>
      </c>
    </row>
    <row r="54" spans="2:9" ht="25.5">
      <c r="B54" s="1" t="str">
        <f t="shared" si="4"/>
        <v>0xF5BE</v>
      </c>
      <c r="C54" s="1" t="str">
        <f t="shared" si="5"/>
        <v>0xF5E7</v>
      </c>
      <c r="D54" s="1">
        <f t="shared" si="7"/>
        <v>62910</v>
      </c>
      <c r="E54" s="1">
        <f t="shared" si="6"/>
        <v>62951</v>
      </c>
      <c r="F54" s="1" t="s">
        <v>1964</v>
      </c>
      <c r="H54" s="1" t="s">
        <v>471</v>
      </c>
      <c r="I54" s="1">
        <v>42</v>
      </c>
    </row>
    <row r="55" spans="2:9" ht="25.5">
      <c r="B55" s="1" t="str">
        <f t="shared" si="4"/>
        <v>0xF5E8</v>
      </c>
      <c r="C55" s="1" t="str">
        <f t="shared" si="5"/>
        <v>0xF611</v>
      </c>
      <c r="D55" s="1">
        <f t="shared" si="7"/>
        <v>62952</v>
      </c>
      <c r="E55" s="1">
        <f t="shared" si="6"/>
        <v>62993</v>
      </c>
      <c r="F55" s="1" t="s">
        <v>1965</v>
      </c>
      <c r="H55" s="1" t="s">
        <v>471</v>
      </c>
      <c r="I55" s="1">
        <v>42</v>
      </c>
    </row>
    <row r="56" spans="2:9" ht="25.5">
      <c r="B56" s="1" t="str">
        <f t="shared" si="4"/>
        <v>0xF612</v>
      </c>
      <c r="C56" s="1" t="str">
        <f t="shared" si="5"/>
        <v>0xF63B</v>
      </c>
      <c r="D56" s="1">
        <f t="shared" si="7"/>
        <v>62994</v>
      </c>
      <c r="E56" s="1">
        <f t="shared" si="6"/>
        <v>63035</v>
      </c>
      <c r="F56" s="1" t="s">
        <v>1966</v>
      </c>
      <c r="H56" s="1" t="s">
        <v>471</v>
      </c>
      <c r="I56" s="1">
        <v>42</v>
      </c>
    </row>
    <row r="57" spans="2:9" ht="25.5">
      <c r="B57" s="1" t="str">
        <f t="shared" si="4"/>
        <v>0xF63C</v>
      </c>
      <c r="C57" s="1" t="str">
        <f t="shared" si="5"/>
        <v>0xF665</v>
      </c>
      <c r="D57" s="1">
        <f t="shared" si="7"/>
        <v>63036</v>
      </c>
      <c r="E57" s="1">
        <f t="shared" si="6"/>
        <v>63077</v>
      </c>
      <c r="F57" s="1" t="s">
        <v>1967</v>
      </c>
      <c r="H57" s="1" t="s">
        <v>471</v>
      </c>
      <c r="I57" s="1">
        <v>42</v>
      </c>
    </row>
    <row r="58" spans="2:9" ht="25.5">
      <c r="B58" s="1" t="str">
        <f t="shared" si="4"/>
        <v>0xF666</v>
      </c>
      <c r="C58" s="1" t="str">
        <f t="shared" si="5"/>
        <v>0xF68F</v>
      </c>
      <c r="D58" s="1">
        <f t="shared" si="7"/>
        <v>63078</v>
      </c>
      <c r="E58" s="1">
        <f t="shared" si="6"/>
        <v>63119</v>
      </c>
      <c r="F58" s="1" t="s">
        <v>1968</v>
      </c>
      <c r="H58" s="1" t="s">
        <v>471</v>
      </c>
      <c r="I58" s="1">
        <v>42</v>
      </c>
    </row>
    <row r="59" spans="2:9">
      <c r="B59" s="1" t="str">
        <f t="shared" si="4"/>
        <v>0xF690</v>
      </c>
      <c r="C59" s="1" t="str">
        <f t="shared" si="5"/>
        <v>0xF692</v>
      </c>
      <c r="D59" s="1">
        <f t="shared" si="7"/>
        <v>63120</v>
      </c>
      <c r="E59" s="1">
        <f t="shared" si="6"/>
        <v>63122</v>
      </c>
      <c r="F59" s="1" t="s">
        <v>1969</v>
      </c>
      <c r="H59" s="1" t="s">
        <v>471</v>
      </c>
      <c r="I59" s="1">
        <v>3</v>
      </c>
    </row>
    <row r="60" spans="2:9">
      <c r="B60" s="1" t="str">
        <f t="shared" si="4"/>
        <v>0xF693</v>
      </c>
      <c r="C60" s="1" t="str">
        <f t="shared" si="5"/>
        <v>0xF695</v>
      </c>
      <c r="D60" s="1">
        <f t="shared" si="7"/>
        <v>63123</v>
      </c>
      <c r="E60" s="1">
        <f t="shared" si="6"/>
        <v>63125</v>
      </c>
      <c r="F60" s="1" t="s">
        <v>1970</v>
      </c>
      <c r="H60" s="1" t="s">
        <v>471</v>
      </c>
      <c r="I60" s="1">
        <v>3</v>
      </c>
    </row>
    <row r="61" spans="2:9">
      <c r="B61" s="1" t="str">
        <f t="shared" si="4"/>
        <v>0xF696</v>
      </c>
      <c r="C61" s="1" t="str">
        <f t="shared" si="5"/>
        <v>0xF698</v>
      </c>
      <c r="D61" s="1">
        <f t="shared" si="7"/>
        <v>63126</v>
      </c>
      <c r="E61" s="1">
        <f t="shared" si="6"/>
        <v>63128</v>
      </c>
      <c r="F61" s="1" t="s">
        <v>1971</v>
      </c>
      <c r="H61" s="1" t="s">
        <v>471</v>
      </c>
      <c r="I61" s="1">
        <v>3</v>
      </c>
    </row>
    <row r="62" spans="2:9">
      <c r="B62" s="1" t="str">
        <f t="shared" si="4"/>
        <v>0xF699</v>
      </c>
      <c r="C62" s="1" t="str">
        <f t="shared" si="5"/>
        <v>0xF69B</v>
      </c>
      <c r="D62" s="1">
        <f t="shared" si="7"/>
        <v>63129</v>
      </c>
      <c r="E62" s="1">
        <f t="shared" si="6"/>
        <v>63131</v>
      </c>
      <c r="F62" s="1" t="s">
        <v>1972</v>
      </c>
      <c r="H62" s="1" t="s">
        <v>471</v>
      </c>
      <c r="I62" s="1">
        <v>3</v>
      </c>
    </row>
    <row r="63" spans="2:9">
      <c r="B63" s="1" t="str">
        <f t="shared" si="4"/>
        <v>0xF69C</v>
      </c>
      <c r="C63" s="1" t="str">
        <f t="shared" si="5"/>
        <v>0xF69E</v>
      </c>
      <c r="D63" s="1">
        <f t="shared" si="7"/>
        <v>63132</v>
      </c>
      <c r="E63" s="1">
        <f t="shared" si="6"/>
        <v>63134</v>
      </c>
      <c r="F63" s="1" t="s">
        <v>1973</v>
      </c>
      <c r="H63" s="1" t="s">
        <v>471</v>
      </c>
      <c r="I63" s="1">
        <v>3</v>
      </c>
    </row>
    <row r="64" spans="2:9">
      <c r="B64" s="1" t="str">
        <f t="shared" si="4"/>
        <v>0xF69F</v>
      </c>
      <c r="C64" s="1" t="str">
        <f t="shared" si="5"/>
        <v>0xF6A1</v>
      </c>
      <c r="D64" s="1">
        <f t="shared" si="7"/>
        <v>63135</v>
      </c>
      <c r="E64" s="1">
        <f t="shared" si="6"/>
        <v>63137</v>
      </c>
      <c r="F64" s="1" t="s">
        <v>1974</v>
      </c>
      <c r="H64" s="1" t="s">
        <v>471</v>
      </c>
      <c r="I64" s="1">
        <v>3</v>
      </c>
    </row>
    <row r="65" spans="2:9">
      <c r="B65" s="1" t="str">
        <f t="shared" si="4"/>
        <v>0xF6A2</v>
      </c>
      <c r="C65" s="1" t="str">
        <f t="shared" si="5"/>
        <v>0xF6A4</v>
      </c>
      <c r="D65" s="1">
        <f t="shared" si="7"/>
        <v>63138</v>
      </c>
      <c r="E65" s="1">
        <f t="shared" si="6"/>
        <v>63140</v>
      </c>
      <c r="F65" s="1" t="s">
        <v>1975</v>
      </c>
      <c r="H65" s="1" t="s">
        <v>471</v>
      </c>
      <c r="I65" s="1">
        <v>3</v>
      </c>
    </row>
    <row r="66" spans="2:9">
      <c r="B66" s="1" t="str">
        <f t="shared" si="4"/>
        <v>0xF6A5</v>
      </c>
      <c r="C66" s="1" t="str">
        <f t="shared" si="5"/>
        <v>0xF6A7</v>
      </c>
      <c r="D66" s="1">
        <f t="shared" si="7"/>
        <v>63141</v>
      </c>
      <c r="E66" s="1">
        <f t="shared" si="6"/>
        <v>63143</v>
      </c>
      <c r="F66" s="1" t="s">
        <v>1976</v>
      </c>
      <c r="H66" s="1" t="s">
        <v>471</v>
      </c>
      <c r="I66" s="1">
        <v>3</v>
      </c>
    </row>
    <row r="67" spans="2:9">
      <c r="B67" s="1" t="str">
        <f t="shared" ref="B67:B91" si="8">"0x"&amp;DEC2HEX(D67,4)</f>
        <v>0xF6A8</v>
      </c>
      <c r="C67" s="1" t="str">
        <f t="shared" si="5"/>
        <v>0xF6AA</v>
      </c>
      <c r="D67" s="1">
        <f t="shared" si="7"/>
        <v>63144</v>
      </c>
      <c r="E67" s="1">
        <f t="shared" si="6"/>
        <v>63146</v>
      </c>
      <c r="F67" s="1" t="s">
        <v>1977</v>
      </c>
      <c r="H67" s="1" t="s">
        <v>471</v>
      </c>
      <c r="I67" s="1">
        <v>3</v>
      </c>
    </row>
    <row r="68" spans="2:9">
      <c r="B68" s="1" t="str">
        <f t="shared" si="8"/>
        <v>0xF6AB</v>
      </c>
      <c r="C68" s="1" t="str">
        <f t="shared" si="5"/>
        <v>0xF6AD</v>
      </c>
      <c r="D68" s="1">
        <f t="shared" si="7"/>
        <v>63147</v>
      </c>
      <c r="E68" s="1">
        <f t="shared" si="6"/>
        <v>63149</v>
      </c>
      <c r="F68" s="1" t="s">
        <v>1978</v>
      </c>
      <c r="H68" s="1" t="s">
        <v>471</v>
      </c>
      <c r="I68" s="1">
        <v>3</v>
      </c>
    </row>
    <row r="69" spans="2:9">
      <c r="B69" s="1" t="str">
        <f t="shared" si="8"/>
        <v>0xF6AE</v>
      </c>
      <c r="C69" s="1" t="str">
        <f t="shared" si="5"/>
        <v>0xF6B0</v>
      </c>
      <c r="D69" s="1">
        <f t="shared" si="7"/>
        <v>63150</v>
      </c>
      <c r="E69" s="1">
        <f t="shared" si="6"/>
        <v>63152</v>
      </c>
      <c r="F69" s="1" t="s">
        <v>1979</v>
      </c>
      <c r="H69" s="1" t="s">
        <v>471</v>
      </c>
      <c r="I69" s="1">
        <v>3</v>
      </c>
    </row>
    <row r="70" spans="2:9">
      <c r="B70" s="1" t="str">
        <f t="shared" si="8"/>
        <v>0xF6B1</v>
      </c>
      <c r="C70" s="1" t="str">
        <f t="shared" si="5"/>
        <v>0xF6B3</v>
      </c>
      <c r="D70" s="1">
        <f t="shared" si="7"/>
        <v>63153</v>
      </c>
      <c r="E70" s="1">
        <f t="shared" si="6"/>
        <v>63155</v>
      </c>
      <c r="F70" s="1" t="s">
        <v>1980</v>
      </c>
      <c r="H70" s="1" t="s">
        <v>471</v>
      </c>
      <c r="I70" s="1">
        <v>3</v>
      </c>
    </row>
    <row r="71" spans="2:9">
      <c r="B71" s="1" t="str">
        <f t="shared" si="8"/>
        <v>0xF6B4</v>
      </c>
      <c r="C71" s="1" t="str">
        <f t="shared" si="5"/>
        <v>0xF6B6</v>
      </c>
      <c r="D71" s="1">
        <f t="shared" si="7"/>
        <v>63156</v>
      </c>
      <c r="E71" s="1">
        <f t="shared" si="6"/>
        <v>63158</v>
      </c>
      <c r="F71" s="1" t="s">
        <v>1981</v>
      </c>
      <c r="H71" s="1" t="s">
        <v>471</v>
      </c>
      <c r="I71" s="1">
        <v>3</v>
      </c>
    </row>
    <row r="72" spans="2:9">
      <c r="B72" s="1" t="str">
        <f t="shared" si="8"/>
        <v>0xF6B7</v>
      </c>
      <c r="C72" s="1" t="str">
        <f t="shared" si="5"/>
        <v>0xF6B9</v>
      </c>
      <c r="D72" s="1">
        <f t="shared" si="7"/>
        <v>63159</v>
      </c>
      <c r="E72" s="1">
        <f t="shared" si="6"/>
        <v>63161</v>
      </c>
      <c r="F72" s="1" t="s">
        <v>1982</v>
      </c>
      <c r="H72" s="1" t="s">
        <v>471</v>
      </c>
      <c r="I72" s="1">
        <v>3</v>
      </c>
    </row>
    <row r="73" spans="2:9">
      <c r="B73" s="1" t="str">
        <f t="shared" si="8"/>
        <v>0xF6BA</v>
      </c>
      <c r="C73" s="1" t="str">
        <f t="shared" si="5"/>
        <v>0xF6BC</v>
      </c>
      <c r="D73" s="1">
        <f t="shared" si="7"/>
        <v>63162</v>
      </c>
      <c r="E73" s="1">
        <f t="shared" si="6"/>
        <v>63164</v>
      </c>
      <c r="F73" s="1" t="s">
        <v>1983</v>
      </c>
      <c r="H73" s="1" t="s">
        <v>471</v>
      </c>
      <c r="I73" s="1">
        <v>3</v>
      </c>
    </row>
    <row r="74" spans="2:9">
      <c r="B74" s="1" t="str">
        <f t="shared" si="8"/>
        <v>0xF6BD</v>
      </c>
      <c r="C74" s="1" t="str">
        <f t="shared" si="5"/>
        <v>0xF6BF</v>
      </c>
      <c r="D74" s="1">
        <f t="shared" si="7"/>
        <v>63165</v>
      </c>
      <c r="E74" s="1">
        <f t="shared" si="6"/>
        <v>63167</v>
      </c>
      <c r="F74" s="1" t="s">
        <v>1984</v>
      </c>
      <c r="H74" s="1" t="s">
        <v>471</v>
      </c>
      <c r="I74" s="1">
        <v>3</v>
      </c>
    </row>
    <row r="75" spans="2:9">
      <c r="B75" s="1" t="str">
        <f t="shared" si="8"/>
        <v>0xF6C0</v>
      </c>
      <c r="C75" s="1" t="str">
        <f t="shared" si="5"/>
        <v>0xF6C2</v>
      </c>
      <c r="D75" s="1">
        <f t="shared" si="7"/>
        <v>63168</v>
      </c>
      <c r="E75" s="1">
        <f t="shared" si="6"/>
        <v>63170</v>
      </c>
      <c r="F75" s="1" t="s">
        <v>1985</v>
      </c>
      <c r="H75" s="1" t="s">
        <v>471</v>
      </c>
      <c r="I75" s="1">
        <v>3</v>
      </c>
    </row>
    <row r="76" spans="2:9">
      <c r="B76" s="1" t="str">
        <f t="shared" si="8"/>
        <v>0xF6C3</v>
      </c>
      <c r="C76" s="1" t="str">
        <f t="shared" si="5"/>
        <v>0xF6C5</v>
      </c>
      <c r="D76" s="1">
        <f t="shared" si="7"/>
        <v>63171</v>
      </c>
      <c r="E76" s="1">
        <f t="shared" si="6"/>
        <v>63173</v>
      </c>
      <c r="F76" s="1" t="s">
        <v>1986</v>
      </c>
      <c r="H76" s="1" t="s">
        <v>471</v>
      </c>
      <c r="I76" s="1">
        <v>3</v>
      </c>
    </row>
    <row r="77" spans="2:9">
      <c r="B77" s="1" t="str">
        <f t="shared" si="8"/>
        <v>0xF6C6</v>
      </c>
      <c r="C77" s="1" t="str">
        <f t="shared" si="5"/>
        <v>0xF6C8</v>
      </c>
      <c r="D77" s="1">
        <f t="shared" si="7"/>
        <v>63174</v>
      </c>
      <c r="E77" s="1">
        <f t="shared" si="6"/>
        <v>63176</v>
      </c>
      <c r="F77" s="1" t="s">
        <v>1987</v>
      </c>
      <c r="H77" s="1" t="s">
        <v>471</v>
      </c>
      <c r="I77" s="1">
        <v>3</v>
      </c>
    </row>
    <row r="78" spans="2:9">
      <c r="B78" s="1" t="str">
        <f t="shared" si="8"/>
        <v>0xF6C9</v>
      </c>
      <c r="C78" s="1" t="str">
        <f t="shared" si="5"/>
        <v>0xF6CB</v>
      </c>
      <c r="D78" s="1">
        <f t="shared" si="7"/>
        <v>63177</v>
      </c>
      <c r="E78" s="1">
        <f t="shared" si="6"/>
        <v>63179</v>
      </c>
      <c r="F78" s="1" t="s">
        <v>1988</v>
      </c>
      <c r="H78" s="1" t="s">
        <v>471</v>
      </c>
      <c r="I78" s="1">
        <v>3</v>
      </c>
    </row>
    <row r="79" spans="2:9">
      <c r="B79" s="1" t="str">
        <f t="shared" si="8"/>
        <v>0xF6CC</v>
      </c>
      <c r="C79" s="1" t="str">
        <f t="shared" si="5"/>
        <v>0xF6CE</v>
      </c>
      <c r="D79" s="1">
        <f t="shared" si="7"/>
        <v>63180</v>
      </c>
      <c r="E79" s="1">
        <f t="shared" si="6"/>
        <v>63182</v>
      </c>
      <c r="F79" s="1" t="s">
        <v>1989</v>
      </c>
      <c r="H79" s="1" t="s">
        <v>471</v>
      </c>
      <c r="I79" s="1">
        <v>3</v>
      </c>
    </row>
    <row r="80" spans="2:9">
      <c r="B80" s="1" t="str">
        <f t="shared" si="8"/>
        <v>0xF6CF</v>
      </c>
      <c r="C80" s="1" t="str">
        <f t="shared" si="5"/>
        <v>0xF6D1</v>
      </c>
      <c r="D80" s="1">
        <f t="shared" si="7"/>
        <v>63183</v>
      </c>
      <c r="E80" s="1">
        <f t="shared" si="6"/>
        <v>63185</v>
      </c>
      <c r="F80" s="1" t="s">
        <v>1990</v>
      </c>
      <c r="H80" s="1" t="s">
        <v>471</v>
      </c>
      <c r="I80" s="1">
        <v>3</v>
      </c>
    </row>
    <row r="81" spans="1:10">
      <c r="B81" s="1" t="str">
        <f t="shared" si="8"/>
        <v>0xF6D2</v>
      </c>
      <c r="C81" s="1" t="str">
        <f t="shared" si="5"/>
        <v>0xF6D4</v>
      </c>
      <c r="D81" s="1">
        <f t="shared" si="7"/>
        <v>63186</v>
      </c>
      <c r="E81" s="1">
        <f t="shared" si="6"/>
        <v>63188</v>
      </c>
      <c r="F81" s="1" t="s">
        <v>1991</v>
      </c>
      <c r="H81" s="1" t="s">
        <v>471</v>
      </c>
      <c r="I81" s="1">
        <v>3</v>
      </c>
    </row>
    <row r="82" spans="1:10">
      <c r="B82" s="1" t="str">
        <f t="shared" si="8"/>
        <v>0xF6D5</v>
      </c>
      <c r="C82" s="1" t="str">
        <f t="shared" si="5"/>
        <v>0xF6D7</v>
      </c>
      <c r="D82" s="1">
        <f t="shared" si="7"/>
        <v>63189</v>
      </c>
      <c r="E82" s="1">
        <f t="shared" si="6"/>
        <v>63191</v>
      </c>
      <c r="F82" s="1" t="s">
        <v>1992</v>
      </c>
      <c r="H82" s="1" t="s">
        <v>471</v>
      </c>
      <c r="I82" s="1">
        <v>3</v>
      </c>
    </row>
    <row r="83" spans="1:10">
      <c r="B83" s="1" t="str">
        <f t="shared" si="8"/>
        <v>0xF6D8</v>
      </c>
      <c r="C83" s="1" t="str">
        <f t="shared" si="5"/>
        <v>0xF6DA</v>
      </c>
      <c r="D83" s="1">
        <f t="shared" si="7"/>
        <v>63192</v>
      </c>
      <c r="E83" s="1">
        <f t="shared" si="6"/>
        <v>63194</v>
      </c>
      <c r="F83" s="1" t="s">
        <v>1993</v>
      </c>
      <c r="H83" s="1" t="s">
        <v>471</v>
      </c>
      <c r="I83" s="1">
        <v>3</v>
      </c>
    </row>
    <row r="84" spans="1:10">
      <c r="B84" s="1" t="str">
        <f t="shared" si="8"/>
        <v>0xF6DB</v>
      </c>
      <c r="C84" s="1" t="str">
        <f t="shared" si="5"/>
        <v>0xF6DD</v>
      </c>
      <c r="D84" s="1">
        <f t="shared" si="7"/>
        <v>63195</v>
      </c>
      <c r="E84" s="1">
        <f>D84+I84-1</f>
        <v>63197</v>
      </c>
      <c r="F84" s="1" t="s">
        <v>1994</v>
      </c>
      <c r="H84" s="1" t="s">
        <v>471</v>
      </c>
      <c r="I84" s="1">
        <v>3</v>
      </c>
    </row>
    <row r="85" spans="1:10">
      <c r="B85" s="1" t="str">
        <f t="shared" si="8"/>
        <v>0xF6DE</v>
      </c>
      <c r="C85" s="1" t="str">
        <f t="shared" si="5"/>
        <v>0xF6E0</v>
      </c>
      <c r="D85" s="1">
        <f t="shared" ref="D85:D91" si="9">D84+I84</f>
        <v>63198</v>
      </c>
      <c r="E85" s="1">
        <f>D85+I85-1</f>
        <v>63200</v>
      </c>
      <c r="F85" s="1" t="s">
        <v>1995</v>
      </c>
      <c r="H85" s="1" t="s">
        <v>471</v>
      </c>
      <c r="I85" s="1">
        <v>3</v>
      </c>
    </row>
    <row r="86" spans="1:10">
      <c r="B86" s="1" t="str">
        <f t="shared" si="8"/>
        <v>0xF6E1</v>
      </c>
      <c r="C86" s="1" t="str">
        <f t="shared" si="5"/>
        <v>0xF6E3</v>
      </c>
      <c r="D86" s="1">
        <f t="shared" si="9"/>
        <v>63201</v>
      </c>
      <c r="E86" s="1">
        <f>D86+I86-1</f>
        <v>63203</v>
      </c>
      <c r="F86" s="1" t="s">
        <v>1996</v>
      </c>
      <c r="H86" s="1" t="s">
        <v>471</v>
      </c>
      <c r="I86" s="1">
        <v>3</v>
      </c>
    </row>
    <row r="87" spans="1:10">
      <c r="B87" s="1" t="str">
        <f t="shared" si="8"/>
        <v>0xF6E4</v>
      </c>
      <c r="C87" s="1" t="str">
        <f t="shared" si="5"/>
        <v>0xF6E6</v>
      </c>
      <c r="D87" s="1">
        <f t="shared" si="9"/>
        <v>63204</v>
      </c>
      <c r="E87" s="1">
        <f>D87+I87-1</f>
        <v>63206</v>
      </c>
      <c r="F87" s="1" t="s">
        <v>1997</v>
      </c>
      <c r="H87" s="1" t="s">
        <v>471</v>
      </c>
      <c r="I87" s="1">
        <v>3</v>
      </c>
    </row>
    <row r="88" spans="1:10">
      <c r="B88" s="1" t="str">
        <f t="shared" si="8"/>
        <v>0xF6E7</v>
      </c>
      <c r="C88" s="1" t="str">
        <f t="shared" si="5"/>
        <v>0xF6E9</v>
      </c>
      <c r="D88" s="1">
        <f t="shared" si="9"/>
        <v>63207</v>
      </c>
      <c r="E88" s="1">
        <f>D88+I88-1</f>
        <v>63209</v>
      </c>
      <c r="F88" s="1" t="s">
        <v>1998</v>
      </c>
      <c r="H88" s="1" t="s">
        <v>471</v>
      </c>
      <c r="I88" s="1">
        <v>3</v>
      </c>
    </row>
    <row r="89" spans="1:10">
      <c r="B89" s="1" t="str">
        <f t="shared" si="8"/>
        <v>0xF6EA</v>
      </c>
      <c r="D89" s="1">
        <f t="shared" si="9"/>
        <v>63210</v>
      </c>
      <c r="F89" s="1" t="s">
        <v>1999</v>
      </c>
      <c r="H89" s="1" t="s">
        <v>471</v>
      </c>
      <c r="I89" s="1">
        <v>1</v>
      </c>
    </row>
    <row r="90" spans="1:10">
      <c r="B90" s="1" t="str">
        <f t="shared" si="8"/>
        <v>0xF6EB</v>
      </c>
      <c r="D90" s="1">
        <f t="shared" si="9"/>
        <v>63211</v>
      </c>
      <c r="F90" s="1" t="s">
        <v>2000</v>
      </c>
      <c r="H90" s="1" t="s">
        <v>471</v>
      </c>
      <c r="I90" s="1">
        <v>1</v>
      </c>
    </row>
    <row r="91" spans="1:10">
      <c r="B91" s="1" t="str">
        <f t="shared" si="8"/>
        <v>0xF6EC</v>
      </c>
      <c r="D91" s="1">
        <f t="shared" si="9"/>
        <v>63212</v>
      </c>
      <c r="F91" s="1" t="s">
        <v>2001</v>
      </c>
      <c r="H91" s="1" t="s">
        <v>471</v>
      </c>
      <c r="I91" s="1">
        <v>1</v>
      </c>
    </row>
    <row r="93" spans="1:10" ht="25.5">
      <c r="A93" s="6" t="s">
        <v>2002</v>
      </c>
      <c r="B93" s="116"/>
      <c r="C93" s="116"/>
      <c r="D93" s="116"/>
      <c r="E93" s="116"/>
      <c r="F93" s="116"/>
      <c r="G93" s="116"/>
      <c r="H93" s="116"/>
      <c r="I93" s="116"/>
      <c r="J93" s="116"/>
    </row>
    <row r="94" spans="1:10">
      <c r="A94" s="6" t="s">
        <v>2003</v>
      </c>
      <c r="B94" s="1" t="str">
        <f>"0x"&amp;DEC2HEX(D94,4)</f>
        <v>0xF700</v>
      </c>
      <c r="C94" s="1" t="str">
        <f>"0x"&amp;DEC2HEX(E94,4)</f>
        <v>0xF795</v>
      </c>
      <c r="D94" s="1">
        <v>63232</v>
      </c>
      <c r="E94" s="1">
        <f>D94+I94-1</f>
        <v>63381</v>
      </c>
      <c r="F94" s="1" t="s">
        <v>2004</v>
      </c>
      <c r="G94" s="1" t="s">
        <v>474</v>
      </c>
      <c r="H94" s="1" t="s">
        <v>471</v>
      </c>
      <c r="I94" s="1">
        <v>150</v>
      </c>
    </row>
    <row r="96" spans="1:10">
      <c r="A96" s="6" t="s">
        <v>2005</v>
      </c>
      <c r="B96" s="116"/>
      <c r="C96" s="116"/>
      <c r="D96" s="116"/>
      <c r="E96" s="116"/>
      <c r="F96" s="116"/>
      <c r="G96" s="116"/>
      <c r="H96" s="116"/>
      <c r="I96" s="116"/>
      <c r="J96" s="116"/>
    </row>
    <row r="97" spans="1:9">
      <c r="A97" s="6" t="s">
        <v>2006</v>
      </c>
      <c r="B97" s="1" t="str">
        <f>"0x"&amp;DEC2HEX(D97,4)</f>
        <v>0xFF00</v>
      </c>
      <c r="D97" s="1">
        <v>65280</v>
      </c>
      <c r="F97" s="1" t="s">
        <v>2007</v>
      </c>
      <c r="G97" s="1" t="s">
        <v>474</v>
      </c>
      <c r="H97" s="1" t="s">
        <v>471</v>
      </c>
      <c r="I97" s="1">
        <v>1</v>
      </c>
    </row>
  </sheetData>
  <mergeCells count="3">
    <mergeCell ref="B2:K2"/>
    <mergeCell ref="B93:J93"/>
    <mergeCell ref="B96:J96"/>
  </mergeCells>
  <phoneticPr fontId="4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F0E25-375B-4203-9841-17F68944C499}">
  <dimension ref="A1:L190"/>
  <sheetViews>
    <sheetView topLeftCell="A178" workbookViewId="0"/>
  </sheetViews>
  <sheetFormatPr defaultColWidth="8.7109375" defaultRowHeight="12.75"/>
  <cols>
    <col min="1" max="1" width="22.42578125" style="8" customWidth="1"/>
    <col min="2" max="2" width="10.42578125" style="9" customWidth="1"/>
    <col min="3" max="3" width="9.7109375" style="9" customWidth="1"/>
    <col min="4" max="4" width="10.7109375" style="9" customWidth="1"/>
    <col min="5" max="5" width="8.7109375" style="9"/>
    <col min="6" max="6" width="47.140625" style="9" customWidth="1"/>
    <col min="7" max="7" width="16.140625" style="9" customWidth="1"/>
    <col min="8" max="8" width="8.7109375" style="9"/>
    <col min="9" max="9" width="15.140625" style="9" customWidth="1"/>
    <col min="10" max="16384" width="8.7109375" style="9"/>
  </cols>
  <sheetData>
    <row r="1" spans="1:12" s="10" customFormat="1">
      <c r="A1" s="14" t="s">
        <v>27</v>
      </c>
      <c r="B1" s="39" t="s">
        <v>414</v>
      </c>
      <c r="C1" s="39" t="s">
        <v>415</v>
      </c>
      <c r="D1" s="39" t="s">
        <v>416</v>
      </c>
      <c r="E1" s="39" t="s">
        <v>417</v>
      </c>
      <c r="F1" s="39" t="s">
        <v>418</v>
      </c>
      <c r="G1" s="39" t="s">
        <v>419</v>
      </c>
      <c r="H1" s="39" t="s">
        <v>421</v>
      </c>
      <c r="I1" s="39" t="s">
        <v>420</v>
      </c>
      <c r="J1" s="39" t="s">
        <v>422</v>
      </c>
      <c r="K1" s="39" t="s">
        <v>480</v>
      </c>
      <c r="L1" s="39" t="s">
        <v>481</v>
      </c>
    </row>
    <row r="2" spans="1:12">
      <c r="A2" s="8" t="s">
        <v>2008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</row>
    <row r="3" spans="1:12">
      <c r="B3" s="16" t="str">
        <f t="shared" ref="B3:C27" si="0">"0x"&amp;DEC2HEX(D3,4)</f>
        <v>0x7200</v>
      </c>
      <c r="C3" s="16" t="str">
        <f t="shared" si="0"/>
        <v>0x7201</v>
      </c>
      <c r="D3" s="9">
        <v>29184</v>
      </c>
      <c r="E3" s="9">
        <v>29185</v>
      </c>
      <c r="F3" s="9" t="s">
        <v>2009</v>
      </c>
      <c r="G3" s="9" t="s">
        <v>1051</v>
      </c>
      <c r="H3" s="9" t="s">
        <v>471</v>
      </c>
      <c r="I3" s="9">
        <v>2</v>
      </c>
      <c r="J3" s="9" t="s">
        <v>2010</v>
      </c>
    </row>
    <row r="4" spans="1:12">
      <c r="B4" s="16" t="str">
        <f t="shared" si="0"/>
        <v>0x7202</v>
      </c>
      <c r="C4" s="16" t="str">
        <f t="shared" si="0"/>
        <v>0x7203</v>
      </c>
      <c r="D4" s="9">
        <v>29186</v>
      </c>
      <c r="E4" s="9">
        <v>29187</v>
      </c>
      <c r="F4" s="9" t="s">
        <v>2011</v>
      </c>
      <c r="G4" s="9" t="s">
        <v>1051</v>
      </c>
      <c r="H4" s="9" t="s">
        <v>471</v>
      </c>
      <c r="I4" s="9">
        <v>2</v>
      </c>
      <c r="J4" s="9" t="s">
        <v>2010</v>
      </c>
    </row>
    <row r="5" spans="1:12">
      <c r="B5" s="16" t="str">
        <f t="shared" si="0"/>
        <v>0x7204</v>
      </c>
      <c r="C5" s="16" t="str">
        <f t="shared" si="0"/>
        <v>0x7205</v>
      </c>
      <c r="D5" s="9">
        <v>29188</v>
      </c>
      <c r="E5" s="9">
        <v>29189</v>
      </c>
      <c r="F5" s="9" t="s">
        <v>2012</v>
      </c>
      <c r="G5" s="9" t="s">
        <v>1051</v>
      </c>
      <c r="H5" s="9" t="s">
        <v>471</v>
      </c>
      <c r="I5" s="9">
        <v>2</v>
      </c>
      <c r="J5" s="9" t="s">
        <v>2010</v>
      </c>
    </row>
    <row r="6" spans="1:12">
      <c r="B6" s="16" t="str">
        <f t="shared" si="0"/>
        <v>0x7206</v>
      </c>
      <c r="C6" s="16" t="str">
        <f t="shared" si="0"/>
        <v>0x7207</v>
      </c>
      <c r="D6" s="9">
        <v>29190</v>
      </c>
      <c r="E6" s="9">
        <v>29191</v>
      </c>
      <c r="F6" s="9" t="s">
        <v>2013</v>
      </c>
      <c r="G6" s="9" t="s">
        <v>1051</v>
      </c>
      <c r="H6" s="9" t="s">
        <v>471</v>
      </c>
      <c r="I6" s="9">
        <v>2</v>
      </c>
      <c r="J6" s="9" t="s">
        <v>2010</v>
      </c>
    </row>
    <row r="7" spans="1:12">
      <c r="B7" s="16" t="str">
        <f t="shared" si="0"/>
        <v>0x7208</v>
      </c>
      <c r="C7" s="16" t="str">
        <f t="shared" si="0"/>
        <v>0x7209</v>
      </c>
      <c r="D7" s="9">
        <v>29192</v>
      </c>
      <c r="E7" s="9">
        <v>29193</v>
      </c>
      <c r="F7" s="9" t="s">
        <v>2014</v>
      </c>
      <c r="G7" s="9" t="s">
        <v>1051</v>
      </c>
      <c r="H7" s="9" t="s">
        <v>471</v>
      </c>
      <c r="I7" s="9">
        <v>2</v>
      </c>
      <c r="J7" s="9" t="s">
        <v>2010</v>
      </c>
    </row>
    <row r="8" spans="1:12">
      <c r="B8" s="16" t="str">
        <f t="shared" si="0"/>
        <v>0x720A</v>
      </c>
      <c r="C8" s="16" t="str">
        <f t="shared" si="0"/>
        <v>0x720B</v>
      </c>
      <c r="D8" s="9">
        <v>29194</v>
      </c>
      <c r="E8" s="9">
        <v>29195</v>
      </c>
      <c r="F8" s="9" t="s">
        <v>2015</v>
      </c>
      <c r="G8" s="9" t="s">
        <v>1051</v>
      </c>
      <c r="H8" s="9" t="s">
        <v>471</v>
      </c>
      <c r="I8" s="9">
        <v>2</v>
      </c>
      <c r="J8" s="9" t="s">
        <v>2010</v>
      </c>
    </row>
    <row r="9" spans="1:12">
      <c r="B9" s="16" t="str">
        <f t="shared" si="0"/>
        <v>0x720C</v>
      </c>
      <c r="C9" s="16" t="str">
        <f t="shared" si="0"/>
        <v>0x720D</v>
      </c>
      <c r="D9" s="9">
        <v>29196</v>
      </c>
      <c r="E9" s="9">
        <v>29197</v>
      </c>
      <c r="F9" s="9" t="s">
        <v>2016</v>
      </c>
      <c r="G9" s="9" t="s">
        <v>1051</v>
      </c>
      <c r="H9" s="9" t="s">
        <v>471</v>
      </c>
      <c r="I9" s="9">
        <v>2</v>
      </c>
      <c r="J9" s="9" t="s">
        <v>2010</v>
      </c>
    </row>
    <row r="10" spans="1:12">
      <c r="B10" s="16" t="str">
        <f t="shared" si="0"/>
        <v>0x720E</v>
      </c>
      <c r="C10" s="16" t="str">
        <f t="shared" si="0"/>
        <v>0x720F</v>
      </c>
      <c r="D10" s="9">
        <v>29198</v>
      </c>
      <c r="E10" s="9">
        <v>29199</v>
      </c>
      <c r="F10" s="9" t="s">
        <v>2017</v>
      </c>
      <c r="G10" s="9" t="s">
        <v>1051</v>
      </c>
      <c r="H10" s="9" t="s">
        <v>471</v>
      </c>
      <c r="I10" s="9">
        <v>2</v>
      </c>
      <c r="J10" s="9" t="s">
        <v>2010</v>
      </c>
    </row>
    <row r="11" spans="1:12">
      <c r="B11" s="16" t="str">
        <f t="shared" si="0"/>
        <v>0x7210</v>
      </c>
      <c r="C11" s="16" t="str">
        <f t="shared" si="0"/>
        <v>0x7211</v>
      </c>
      <c r="D11" s="9">
        <v>29200</v>
      </c>
      <c r="E11" s="9">
        <v>29201</v>
      </c>
      <c r="F11" s="9" t="s">
        <v>2018</v>
      </c>
      <c r="G11" s="9" t="s">
        <v>1051</v>
      </c>
      <c r="H11" s="9" t="s">
        <v>471</v>
      </c>
      <c r="I11" s="9">
        <v>2</v>
      </c>
      <c r="J11" s="9" t="s">
        <v>2010</v>
      </c>
    </row>
    <row r="12" spans="1:12">
      <c r="B12" s="16" t="str">
        <f t="shared" si="0"/>
        <v>0x7212</v>
      </c>
      <c r="C12" s="16" t="str">
        <f t="shared" si="0"/>
        <v>0x7213</v>
      </c>
      <c r="D12" s="9">
        <v>29202</v>
      </c>
      <c r="E12" s="9">
        <v>29203</v>
      </c>
      <c r="F12" s="9" t="s">
        <v>2019</v>
      </c>
      <c r="G12" s="9" t="s">
        <v>1051</v>
      </c>
      <c r="H12" s="9" t="s">
        <v>471</v>
      </c>
      <c r="I12" s="9">
        <v>2</v>
      </c>
      <c r="J12" s="9" t="s">
        <v>2010</v>
      </c>
    </row>
    <row r="13" spans="1:12">
      <c r="B13" s="16" t="str">
        <f t="shared" si="0"/>
        <v>0x7214</v>
      </c>
      <c r="C13" s="16" t="str">
        <f t="shared" si="0"/>
        <v>0x7215</v>
      </c>
      <c r="D13" s="9">
        <v>29204</v>
      </c>
      <c r="E13" s="9">
        <v>29205</v>
      </c>
      <c r="F13" s="9" t="s">
        <v>2020</v>
      </c>
      <c r="G13" s="9" t="s">
        <v>1051</v>
      </c>
      <c r="H13" s="9" t="s">
        <v>471</v>
      </c>
      <c r="I13" s="9">
        <v>2</v>
      </c>
      <c r="J13" s="9" t="s">
        <v>2010</v>
      </c>
    </row>
    <row r="14" spans="1:12">
      <c r="B14" s="16" t="str">
        <f t="shared" si="0"/>
        <v>0x7216</v>
      </c>
      <c r="C14" s="16" t="str">
        <f t="shared" si="0"/>
        <v>0x7217</v>
      </c>
      <c r="D14" s="9">
        <v>29206</v>
      </c>
      <c r="E14" s="9">
        <v>29207</v>
      </c>
      <c r="F14" s="9" t="s">
        <v>2021</v>
      </c>
      <c r="G14" s="9" t="s">
        <v>1051</v>
      </c>
      <c r="H14" s="9" t="s">
        <v>471</v>
      </c>
      <c r="I14" s="9">
        <v>2</v>
      </c>
      <c r="J14" s="9" t="s">
        <v>2010</v>
      </c>
    </row>
    <row r="15" spans="1:12">
      <c r="B15" s="16" t="str">
        <f t="shared" si="0"/>
        <v>0x7218</v>
      </c>
      <c r="C15" s="16" t="str">
        <f t="shared" si="0"/>
        <v>0x7219</v>
      </c>
      <c r="D15" s="9">
        <v>29208</v>
      </c>
      <c r="E15" s="9">
        <v>29209</v>
      </c>
      <c r="F15" s="9" t="s">
        <v>2022</v>
      </c>
      <c r="G15" s="9" t="s">
        <v>1051</v>
      </c>
      <c r="H15" s="9" t="s">
        <v>471</v>
      </c>
      <c r="I15" s="9">
        <v>2</v>
      </c>
      <c r="J15" s="9" t="s">
        <v>2010</v>
      </c>
    </row>
    <row r="16" spans="1:12">
      <c r="B16" s="16" t="str">
        <f t="shared" si="0"/>
        <v>0x721A</v>
      </c>
      <c r="C16" s="16" t="str">
        <f t="shared" si="0"/>
        <v>0x721B</v>
      </c>
      <c r="D16" s="9">
        <v>29210</v>
      </c>
      <c r="E16" s="9">
        <v>29211</v>
      </c>
      <c r="F16" s="9" t="s">
        <v>2023</v>
      </c>
      <c r="G16" s="9" t="s">
        <v>1051</v>
      </c>
      <c r="H16" s="9" t="s">
        <v>471</v>
      </c>
      <c r="I16" s="9">
        <v>2</v>
      </c>
      <c r="J16" s="9" t="s">
        <v>2010</v>
      </c>
    </row>
    <row r="17" spans="1:10">
      <c r="B17" s="16" t="str">
        <f t="shared" si="0"/>
        <v>0x721C</v>
      </c>
      <c r="C17" s="16" t="str">
        <f t="shared" si="0"/>
        <v>0x721D</v>
      </c>
      <c r="D17" s="9">
        <v>29212</v>
      </c>
      <c r="E17" s="9">
        <v>29213</v>
      </c>
      <c r="F17" s="9" t="s">
        <v>2024</v>
      </c>
      <c r="G17" s="9" t="s">
        <v>1051</v>
      </c>
      <c r="H17" s="9" t="s">
        <v>471</v>
      </c>
      <c r="I17" s="9">
        <v>2</v>
      </c>
      <c r="J17" s="9" t="s">
        <v>2010</v>
      </c>
    </row>
    <row r="18" spans="1:10">
      <c r="B18" s="16" t="str">
        <f t="shared" si="0"/>
        <v>0x721E</v>
      </c>
      <c r="C18" s="16" t="str">
        <f t="shared" si="0"/>
        <v>0x721F</v>
      </c>
      <c r="D18" s="9">
        <v>29214</v>
      </c>
      <c r="E18" s="9">
        <v>29215</v>
      </c>
      <c r="F18" s="9" t="s">
        <v>2025</v>
      </c>
      <c r="G18" s="9" t="s">
        <v>1051</v>
      </c>
      <c r="H18" s="9" t="s">
        <v>471</v>
      </c>
      <c r="I18" s="9">
        <v>2</v>
      </c>
      <c r="J18" s="9" t="s">
        <v>2010</v>
      </c>
    </row>
    <row r="19" spans="1:10">
      <c r="B19" s="16" t="str">
        <f t="shared" si="0"/>
        <v>0x7220</v>
      </c>
      <c r="C19" s="16" t="str">
        <f t="shared" si="0"/>
        <v>0x7221</v>
      </c>
      <c r="D19" s="9">
        <v>29216</v>
      </c>
      <c r="E19" s="9">
        <v>29217</v>
      </c>
      <c r="F19" s="9" t="s">
        <v>2026</v>
      </c>
      <c r="G19" s="9" t="s">
        <v>1051</v>
      </c>
      <c r="H19" s="9" t="s">
        <v>471</v>
      </c>
      <c r="I19" s="9">
        <v>2</v>
      </c>
      <c r="J19" s="9" t="s">
        <v>2010</v>
      </c>
    </row>
    <row r="20" spans="1:10">
      <c r="B20" s="16" t="str">
        <f t="shared" si="0"/>
        <v>0x7222</v>
      </c>
      <c r="C20" s="16" t="str">
        <f t="shared" si="0"/>
        <v>0x7223</v>
      </c>
      <c r="D20" s="9">
        <v>29218</v>
      </c>
      <c r="E20" s="9">
        <v>29219</v>
      </c>
      <c r="F20" s="9" t="s">
        <v>2027</v>
      </c>
      <c r="G20" s="9" t="s">
        <v>1051</v>
      </c>
      <c r="H20" s="9" t="s">
        <v>471</v>
      </c>
      <c r="I20" s="9">
        <v>2</v>
      </c>
      <c r="J20" s="9" t="s">
        <v>2010</v>
      </c>
    </row>
    <row r="21" spans="1:10">
      <c r="B21" s="16" t="str">
        <f t="shared" si="0"/>
        <v>0x7224</v>
      </c>
      <c r="C21" s="16" t="str">
        <f t="shared" si="0"/>
        <v>0x7225</v>
      </c>
      <c r="D21" s="9">
        <v>29220</v>
      </c>
      <c r="E21" s="9">
        <v>29221</v>
      </c>
      <c r="F21" s="9" t="s">
        <v>2028</v>
      </c>
      <c r="G21" s="9" t="s">
        <v>1051</v>
      </c>
      <c r="H21" s="9" t="s">
        <v>471</v>
      </c>
      <c r="I21" s="9">
        <v>2</v>
      </c>
      <c r="J21" s="9" t="s">
        <v>2010</v>
      </c>
    </row>
    <row r="22" spans="1:10">
      <c r="B22" s="16" t="str">
        <f t="shared" si="0"/>
        <v>0x7226</v>
      </c>
      <c r="C22" s="16" t="str">
        <f t="shared" si="0"/>
        <v>0x7227</v>
      </c>
      <c r="D22" s="9">
        <v>29222</v>
      </c>
      <c r="E22" s="9">
        <v>29223</v>
      </c>
      <c r="F22" s="9" t="s">
        <v>2029</v>
      </c>
      <c r="G22" s="9" t="s">
        <v>1051</v>
      </c>
      <c r="H22" s="9" t="s">
        <v>471</v>
      </c>
      <c r="I22" s="9">
        <v>2</v>
      </c>
      <c r="J22" s="9" t="s">
        <v>2010</v>
      </c>
    </row>
    <row r="23" spans="1:10">
      <c r="B23" s="16" t="str">
        <f t="shared" si="0"/>
        <v>0x7228</v>
      </c>
      <c r="C23" s="16" t="str">
        <f t="shared" si="0"/>
        <v>0x7229</v>
      </c>
      <c r="D23" s="9">
        <v>29224</v>
      </c>
      <c r="E23" s="9">
        <v>29225</v>
      </c>
      <c r="F23" s="9" t="s">
        <v>2030</v>
      </c>
      <c r="G23" s="9" t="s">
        <v>1051</v>
      </c>
      <c r="H23" s="9" t="s">
        <v>471</v>
      </c>
      <c r="I23" s="9">
        <v>2</v>
      </c>
      <c r="J23" s="9" t="s">
        <v>2010</v>
      </c>
    </row>
    <row r="24" spans="1:10">
      <c r="B24" s="16" t="str">
        <f t="shared" si="0"/>
        <v>0x722A</v>
      </c>
      <c r="C24" s="16" t="str">
        <f t="shared" si="0"/>
        <v>0x722B</v>
      </c>
      <c r="D24" s="9">
        <v>29226</v>
      </c>
      <c r="E24" s="9">
        <v>29227</v>
      </c>
      <c r="F24" s="9" t="s">
        <v>2031</v>
      </c>
      <c r="G24" s="9" t="s">
        <v>1051</v>
      </c>
      <c r="H24" s="9" t="s">
        <v>471</v>
      </c>
      <c r="I24" s="9">
        <v>2</v>
      </c>
      <c r="J24" s="9" t="s">
        <v>2010</v>
      </c>
    </row>
    <row r="25" spans="1:10">
      <c r="B25" s="16" t="str">
        <f t="shared" si="0"/>
        <v>0x722C</v>
      </c>
      <c r="C25" s="16" t="str">
        <f t="shared" si="0"/>
        <v>0x722D</v>
      </c>
      <c r="D25" s="9">
        <v>29228</v>
      </c>
      <c r="E25" s="9">
        <v>29229</v>
      </c>
      <c r="F25" s="9" t="s">
        <v>2032</v>
      </c>
      <c r="G25" s="9" t="s">
        <v>1051</v>
      </c>
      <c r="H25" s="9" t="s">
        <v>471</v>
      </c>
      <c r="I25" s="9">
        <v>2</v>
      </c>
      <c r="J25" s="9" t="s">
        <v>2010</v>
      </c>
    </row>
    <row r="26" spans="1:10">
      <c r="B26" s="16" t="str">
        <f t="shared" si="0"/>
        <v>0x722E</v>
      </c>
      <c r="C26" s="16" t="str">
        <f t="shared" si="0"/>
        <v>0x722F</v>
      </c>
      <c r="D26" s="9">
        <v>29230</v>
      </c>
      <c r="E26" s="9">
        <v>29231</v>
      </c>
      <c r="F26" s="9" t="s">
        <v>2033</v>
      </c>
      <c r="G26" s="9" t="s">
        <v>1051</v>
      </c>
      <c r="H26" s="9" t="s">
        <v>471</v>
      </c>
      <c r="I26" s="9">
        <v>2</v>
      </c>
      <c r="J26" s="9" t="s">
        <v>2010</v>
      </c>
    </row>
    <row r="27" spans="1:10">
      <c r="B27" s="16" t="str">
        <f t="shared" si="0"/>
        <v>0x7230</v>
      </c>
      <c r="C27" s="16" t="str">
        <f t="shared" si="0"/>
        <v>0x7231</v>
      </c>
      <c r="D27" s="9">
        <v>29232</v>
      </c>
      <c r="E27" s="9">
        <v>29233</v>
      </c>
      <c r="F27" s="9" t="s">
        <v>2034</v>
      </c>
      <c r="G27" s="9" t="s">
        <v>1051</v>
      </c>
      <c r="H27" s="9" t="s">
        <v>471</v>
      </c>
      <c r="I27" s="9">
        <v>2</v>
      </c>
      <c r="J27" s="9" t="s">
        <v>2010</v>
      </c>
    </row>
    <row r="28" spans="1:10">
      <c r="A28" s="8" t="s">
        <v>2035</v>
      </c>
    </row>
    <row r="29" spans="1:10">
      <c r="B29" s="16" t="str">
        <f t="shared" ref="B29:B53" si="1">"0x"&amp;DEC2HEX(D29,4)</f>
        <v>0x7232</v>
      </c>
      <c r="C29" s="16" t="str">
        <f t="shared" ref="C29:C53" si="2">"0x"&amp;DEC2HEX(E29,4)</f>
        <v>0x7233</v>
      </c>
      <c r="D29" s="9">
        <v>29234</v>
      </c>
      <c r="E29" s="9">
        <f>D29+I29-1</f>
        <v>29235</v>
      </c>
      <c r="F29" s="9" t="s">
        <v>2009</v>
      </c>
      <c r="G29" s="9" t="s">
        <v>1051</v>
      </c>
      <c r="H29" s="9" t="s">
        <v>471</v>
      </c>
      <c r="I29" s="9">
        <v>2</v>
      </c>
      <c r="J29" s="9" t="s">
        <v>2010</v>
      </c>
    </row>
    <row r="30" spans="1:10">
      <c r="B30" s="16" t="str">
        <f t="shared" si="1"/>
        <v>0x7234</v>
      </c>
      <c r="C30" s="16" t="str">
        <f t="shared" si="2"/>
        <v>0x7235</v>
      </c>
      <c r="D30" s="9">
        <f>D29+I29</f>
        <v>29236</v>
      </c>
      <c r="E30" s="9">
        <f t="shared" ref="E30:E53" si="3">D30+I30-1</f>
        <v>29237</v>
      </c>
      <c r="F30" s="9" t="s">
        <v>2011</v>
      </c>
      <c r="G30" s="9" t="s">
        <v>1051</v>
      </c>
      <c r="H30" s="9" t="s">
        <v>471</v>
      </c>
      <c r="I30" s="9">
        <v>2</v>
      </c>
      <c r="J30" s="9" t="s">
        <v>2010</v>
      </c>
    </row>
    <row r="31" spans="1:10">
      <c r="B31" s="16" t="str">
        <f t="shared" si="1"/>
        <v>0x7236</v>
      </c>
      <c r="C31" s="16" t="str">
        <f t="shared" si="2"/>
        <v>0x7237</v>
      </c>
      <c r="D31" s="9">
        <f t="shared" ref="D31:D53" si="4">D30+I30</f>
        <v>29238</v>
      </c>
      <c r="E31" s="9">
        <f t="shared" si="3"/>
        <v>29239</v>
      </c>
      <c r="F31" s="9" t="s">
        <v>2012</v>
      </c>
      <c r="G31" s="9" t="s">
        <v>1051</v>
      </c>
      <c r="H31" s="9" t="s">
        <v>471</v>
      </c>
      <c r="I31" s="9">
        <v>2</v>
      </c>
      <c r="J31" s="9" t="s">
        <v>2010</v>
      </c>
    </row>
    <row r="32" spans="1:10">
      <c r="B32" s="16" t="str">
        <f t="shared" si="1"/>
        <v>0x7238</v>
      </c>
      <c r="C32" s="16" t="str">
        <f t="shared" si="2"/>
        <v>0x7239</v>
      </c>
      <c r="D32" s="9">
        <f t="shared" si="4"/>
        <v>29240</v>
      </c>
      <c r="E32" s="9">
        <f t="shared" si="3"/>
        <v>29241</v>
      </c>
      <c r="F32" s="9" t="s">
        <v>2013</v>
      </c>
      <c r="G32" s="9" t="s">
        <v>1051</v>
      </c>
      <c r="H32" s="9" t="s">
        <v>471</v>
      </c>
      <c r="I32" s="9">
        <v>2</v>
      </c>
      <c r="J32" s="9" t="s">
        <v>2010</v>
      </c>
    </row>
    <row r="33" spans="2:10">
      <c r="B33" s="16" t="str">
        <f t="shared" si="1"/>
        <v>0x723A</v>
      </c>
      <c r="C33" s="16" t="str">
        <f t="shared" si="2"/>
        <v>0x723B</v>
      </c>
      <c r="D33" s="9">
        <f t="shared" si="4"/>
        <v>29242</v>
      </c>
      <c r="E33" s="9">
        <f t="shared" si="3"/>
        <v>29243</v>
      </c>
      <c r="F33" s="9" t="s">
        <v>2014</v>
      </c>
      <c r="G33" s="9" t="s">
        <v>1051</v>
      </c>
      <c r="H33" s="9" t="s">
        <v>471</v>
      </c>
      <c r="I33" s="9">
        <v>2</v>
      </c>
      <c r="J33" s="9" t="s">
        <v>2010</v>
      </c>
    </row>
    <row r="34" spans="2:10">
      <c r="B34" s="16" t="str">
        <f t="shared" si="1"/>
        <v>0x723C</v>
      </c>
      <c r="C34" s="16" t="str">
        <f t="shared" si="2"/>
        <v>0x723D</v>
      </c>
      <c r="D34" s="9">
        <f t="shared" si="4"/>
        <v>29244</v>
      </c>
      <c r="E34" s="9">
        <f t="shared" si="3"/>
        <v>29245</v>
      </c>
      <c r="F34" s="9" t="s">
        <v>2015</v>
      </c>
      <c r="G34" s="9" t="s">
        <v>1051</v>
      </c>
      <c r="H34" s="9" t="s">
        <v>471</v>
      </c>
      <c r="I34" s="9">
        <v>2</v>
      </c>
      <c r="J34" s="9" t="s">
        <v>2010</v>
      </c>
    </row>
    <row r="35" spans="2:10">
      <c r="B35" s="16" t="str">
        <f t="shared" si="1"/>
        <v>0x723E</v>
      </c>
      <c r="C35" s="16" t="str">
        <f t="shared" si="2"/>
        <v>0x723F</v>
      </c>
      <c r="D35" s="9">
        <f t="shared" si="4"/>
        <v>29246</v>
      </c>
      <c r="E35" s="9">
        <f t="shared" si="3"/>
        <v>29247</v>
      </c>
      <c r="F35" s="9" t="s">
        <v>2016</v>
      </c>
      <c r="G35" s="9" t="s">
        <v>1051</v>
      </c>
      <c r="H35" s="9" t="s">
        <v>471</v>
      </c>
      <c r="I35" s="9">
        <v>2</v>
      </c>
      <c r="J35" s="9" t="s">
        <v>2010</v>
      </c>
    </row>
    <row r="36" spans="2:10">
      <c r="B36" s="16" t="str">
        <f t="shared" si="1"/>
        <v>0x7240</v>
      </c>
      <c r="C36" s="16" t="str">
        <f t="shared" si="2"/>
        <v>0x7241</v>
      </c>
      <c r="D36" s="9">
        <f t="shared" si="4"/>
        <v>29248</v>
      </c>
      <c r="E36" s="9">
        <f t="shared" si="3"/>
        <v>29249</v>
      </c>
      <c r="F36" s="9" t="s">
        <v>2017</v>
      </c>
      <c r="G36" s="9" t="s">
        <v>1051</v>
      </c>
      <c r="H36" s="9" t="s">
        <v>471</v>
      </c>
      <c r="I36" s="9">
        <v>2</v>
      </c>
      <c r="J36" s="9" t="s">
        <v>2010</v>
      </c>
    </row>
    <row r="37" spans="2:10">
      <c r="B37" s="16" t="str">
        <f t="shared" si="1"/>
        <v>0x7242</v>
      </c>
      <c r="C37" s="16" t="str">
        <f t="shared" si="2"/>
        <v>0x7243</v>
      </c>
      <c r="D37" s="9">
        <f t="shared" si="4"/>
        <v>29250</v>
      </c>
      <c r="E37" s="9">
        <f t="shared" si="3"/>
        <v>29251</v>
      </c>
      <c r="F37" s="9" t="s">
        <v>2018</v>
      </c>
      <c r="G37" s="9" t="s">
        <v>1051</v>
      </c>
      <c r="H37" s="9" t="s">
        <v>471</v>
      </c>
      <c r="I37" s="9">
        <v>2</v>
      </c>
      <c r="J37" s="9" t="s">
        <v>2010</v>
      </c>
    </row>
    <row r="38" spans="2:10">
      <c r="B38" s="16" t="str">
        <f t="shared" si="1"/>
        <v>0x7244</v>
      </c>
      <c r="C38" s="16" t="str">
        <f t="shared" si="2"/>
        <v>0x7245</v>
      </c>
      <c r="D38" s="9">
        <f t="shared" si="4"/>
        <v>29252</v>
      </c>
      <c r="E38" s="9">
        <f t="shared" si="3"/>
        <v>29253</v>
      </c>
      <c r="F38" s="9" t="s">
        <v>2019</v>
      </c>
      <c r="G38" s="9" t="s">
        <v>1051</v>
      </c>
      <c r="H38" s="9" t="s">
        <v>471</v>
      </c>
      <c r="I38" s="9">
        <v>2</v>
      </c>
      <c r="J38" s="9" t="s">
        <v>2010</v>
      </c>
    </row>
    <row r="39" spans="2:10">
      <c r="B39" s="16" t="str">
        <f t="shared" si="1"/>
        <v>0x7246</v>
      </c>
      <c r="C39" s="16" t="str">
        <f t="shared" si="2"/>
        <v>0x7247</v>
      </c>
      <c r="D39" s="9">
        <f t="shared" si="4"/>
        <v>29254</v>
      </c>
      <c r="E39" s="9">
        <f t="shared" si="3"/>
        <v>29255</v>
      </c>
      <c r="F39" s="9" t="s">
        <v>2020</v>
      </c>
      <c r="G39" s="9" t="s">
        <v>1051</v>
      </c>
      <c r="H39" s="9" t="s">
        <v>471</v>
      </c>
      <c r="I39" s="9">
        <v>2</v>
      </c>
      <c r="J39" s="9" t="s">
        <v>2010</v>
      </c>
    </row>
    <row r="40" spans="2:10">
      <c r="B40" s="16" t="str">
        <f t="shared" si="1"/>
        <v>0x7248</v>
      </c>
      <c r="C40" s="16" t="str">
        <f t="shared" si="2"/>
        <v>0x7249</v>
      </c>
      <c r="D40" s="9">
        <f t="shared" si="4"/>
        <v>29256</v>
      </c>
      <c r="E40" s="9">
        <f t="shared" si="3"/>
        <v>29257</v>
      </c>
      <c r="F40" s="9" t="s">
        <v>2021</v>
      </c>
      <c r="G40" s="9" t="s">
        <v>1051</v>
      </c>
      <c r="H40" s="9" t="s">
        <v>471</v>
      </c>
      <c r="I40" s="9">
        <v>2</v>
      </c>
      <c r="J40" s="9" t="s">
        <v>2010</v>
      </c>
    </row>
    <row r="41" spans="2:10">
      <c r="B41" s="16" t="str">
        <f t="shared" si="1"/>
        <v>0x724A</v>
      </c>
      <c r="C41" s="16" t="str">
        <f t="shared" si="2"/>
        <v>0x724B</v>
      </c>
      <c r="D41" s="9">
        <f t="shared" si="4"/>
        <v>29258</v>
      </c>
      <c r="E41" s="9">
        <f t="shared" si="3"/>
        <v>29259</v>
      </c>
      <c r="F41" s="9" t="s">
        <v>2022</v>
      </c>
      <c r="G41" s="9" t="s">
        <v>1051</v>
      </c>
      <c r="H41" s="9" t="s">
        <v>471</v>
      </c>
      <c r="I41" s="9">
        <v>2</v>
      </c>
      <c r="J41" s="9" t="s">
        <v>2010</v>
      </c>
    </row>
    <row r="42" spans="2:10">
      <c r="B42" s="16" t="str">
        <f t="shared" si="1"/>
        <v>0x724C</v>
      </c>
      <c r="C42" s="16" t="str">
        <f t="shared" si="2"/>
        <v>0x724D</v>
      </c>
      <c r="D42" s="9">
        <f t="shared" si="4"/>
        <v>29260</v>
      </c>
      <c r="E42" s="9">
        <f t="shared" si="3"/>
        <v>29261</v>
      </c>
      <c r="F42" s="9" t="s">
        <v>2023</v>
      </c>
      <c r="G42" s="9" t="s">
        <v>1051</v>
      </c>
      <c r="H42" s="9" t="s">
        <v>471</v>
      </c>
      <c r="I42" s="9">
        <v>2</v>
      </c>
      <c r="J42" s="9" t="s">
        <v>2010</v>
      </c>
    </row>
    <row r="43" spans="2:10">
      <c r="B43" s="16" t="str">
        <f t="shared" si="1"/>
        <v>0x724E</v>
      </c>
      <c r="C43" s="16" t="str">
        <f t="shared" si="2"/>
        <v>0x724F</v>
      </c>
      <c r="D43" s="9">
        <f t="shared" si="4"/>
        <v>29262</v>
      </c>
      <c r="E43" s="9">
        <f t="shared" si="3"/>
        <v>29263</v>
      </c>
      <c r="F43" s="9" t="s">
        <v>2024</v>
      </c>
      <c r="G43" s="9" t="s">
        <v>1051</v>
      </c>
      <c r="H43" s="9" t="s">
        <v>471</v>
      </c>
      <c r="I43" s="9">
        <v>2</v>
      </c>
      <c r="J43" s="9" t="s">
        <v>2010</v>
      </c>
    </row>
    <row r="44" spans="2:10">
      <c r="B44" s="16" t="str">
        <f t="shared" si="1"/>
        <v>0x7250</v>
      </c>
      <c r="C44" s="16" t="str">
        <f t="shared" si="2"/>
        <v>0x7251</v>
      </c>
      <c r="D44" s="9">
        <f t="shared" si="4"/>
        <v>29264</v>
      </c>
      <c r="E44" s="9">
        <f t="shared" si="3"/>
        <v>29265</v>
      </c>
      <c r="F44" s="9" t="s">
        <v>2025</v>
      </c>
      <c r="G44" s="9" t="s">
        <v>1051</v>
      </c>
      <c r="H44" s="9" t="s">
        <v>471</v>
      </c>
      <c r="I44" s="9">
        <v>2</v>
      </c>
      <c r="J44" s="9" t="s">
        <v>2010</v>
      </c>
    </row>
    <row r="45" spans="2:10">
      <c r="B45" s="16" t="str">
        <f t="shared" si="1"/>
        <v>0x7252</v>
      </c>
      <c r="C45" s="16" t="str">
        <f t="shared" si="2"/>
        <v>0x7253</v>
      </c>
      <c r="D45" s="9">
        <f t="shared" si="4"/>
        <v>29266</v>
      </c>
      <c r="E45" s="9">
        <f t="shared" si="3"/>
        <v>29267</v>
      </c>
      <c r="F45" s="9" t="s">
        <v>2026</v>
      </c>
      <c r="G45" s="9" t="s">
        <v>1051</v>
      </c>
      <c r="H45" s="9" t="s">
        <v>471</v>
      </c>
      <c r="I45" s="9">
        <v>2</v>
      </c>
      <c r="J45" s="9" t="s">
        <v>2010</v>
      </c>
    </row>
    <row r="46" spans="2:10">
      <c r="B46" s="16" t="str">
        <f t="shared" si="1"/>
        <v>0x7254</v>
      </c>
      <c r="C46" s="16" t="str">
        <f t="shared" si="2"/>
        <v>0x7255</v>
      </c>
      <c r="D46" s="9">
        <f t="shared" si="4"/>
        <v>29268</v>
      </c>
      <c r="E46" s="9">
        <f t="shared" si="3"/>
        <v>29269</v>
      </c>
      <c r="F46" s="9" t="s">
        <v>2027</v>
      </c>
      <c r="G46" s="9" t="s">
        <v>1051</v>
      </c>
      <c r="H46" s="9" t="s">
        <v>471</v>
      </c>
      <c r="I46" s="9">
        <v>2</v>
      </c>
      <c r="J46" s="9" t="s">
        <v>2010</v>
      </c>
    </row>
    <row r="47" spans="2:10">
      <c r="B47" s="16" t="str">
        <f t="shared" si="1"/>
        <v>0x7256</v>
      </c>
      <c r="C47" s="16" t="str">
        <f t="shared" si="2"/>
        <v>0x7257</v>
      </c>
      <c r="D47" s="9">
        <f t="shared" si="4"/>
        <v>29270</v>
      </c>
      <c r="E47" s="9">
        <f t="shared" si="3"/>
        <v>29271</v>
      </c>
      <c r="F47" s="9" t="s">
        <v>2028</v>
      </c>
      <c r="G47" s="9" t="s">
        <v>1051</v>
      </c>
      <c r="H47" s="9" t="s">
        <v>471</v>
      </c>
      <c r="I47" s="9">
        <v>2</v>
      </c>
      <c r="J47" s="9" t="s">
        <v>2010</v>
      </c>
    </row>
    <row r="48" spans="2:10">
      <c r="B48" s="16" t="str">
        <f t="shared" si="1"/>
        <v>0x7258</v>
      </c>
      <c r="C48" s="16" t="str">
        <f t="shared" si="2"/>
        <v>0x7259</v>
      </c>
      <c r="D48" s="9">
        <f t="shared" si="4"/>
        <v>29272</v>
      </c>
      <c r="E48" s="9">
        <f t="shared" si="3"/>
        <v>29273</v>
      </c>
      <c r="F48" s="9" t="s">
        <v>2029</v>
      </c>
      <c r="G48" s="9" t="s">
        <v>1051</v>
      </c>
      <c r="H48" s="9" t="s">
        <v>471</v>
      </c>
      <c r="I48" s="9">
        <v>2</v>
      </c>
      <c r="J48" s="9" t="s">
        <v>2010</v>
      </c>
    </row>
    <row r="49" spans="1:10">
      <c r="B49" s="16" t="str">
        <f t="shared" si="1"/>
        <v>0x725A</v>
      </c>
      <c r="C49" s="16" t="str">
        <f t="shared" si="2"/>
        <v>0x725B</v>
      </c>
      <c r="D49" s="9">
        <f t="shared" si="4"/>
        <v>29274</v>
      </c>
      <c r="E49" s="9">
        <f t="shared" si="3"/>
        <v>29275</v>
      </c>
      <c r="F49" s="9" t="s">
        <v>2030</v>
      </c>
      <c r="G49" s="9" t="s">
        <v>1051</v>
      </c>
      <c r="H49" s="9" t="s">
        <v>471</v>
      </c>
      <c r="I49" s="9">
        <v>2</v>
      </c>
      <c r="J49" s="9" t="s">
        <v>2010</v>
      </c>
    </row>
    <row r="50" spans="1:10">
      <c r="B50" s="16" t="str">
        <f t="shared" si="1"/>
        <v>0x725C</v>
      </c>
      <c r="C50" s="16" t="str">
        <f t="shared" si="2"/>
        <v>0x725D</v>
      </c>
      <c r="D50" s="9">
        <f t="shared" si="4"/>
        <v>29276</v>
      </c>
      <c r="E50" s="9">
        <f t="shared" si="3"/>
        <v>29277</v>
      </c>
      <c r="F50" s="9" t="s">
        <v>2031</v>
      </c>
      <c r="G50" s="9" t="s">
        <v>1051</v>
      </c>
      <c r="H50" s="9" t="s">
        <v>471</v>
      </c>
      <c r="I50" s="9">
        <v>2</v>
      </c>
      <c r="J50" s="9" t="s">
        <v>2010</v>
      </c>
    </row>
    <row r="51" spans="1:10">
      <c r="B51" s="16" t="str">
        <f t="shared" si="1"/>
        <v>0x725E</v>
      </c>
      <c r="C51" s="16" t="str">
        <f t="shared" si="2"/>
        <v>0x725F</v>
      </c>
      <c r="D51" s="9">
        <f t="shared" si="4"/>
        <v>29278</v>
      </c>
      <c r="E51" s="9">
        <f t="shared" si="3"/>
        <v>29279</v>
      </c>
      <c r="F51" s="9" t="s">
        <v>2032</v>
      </c>
      <c r="G51" s="9" t="s">
        <v>1051</v>
      </c>
      <c r="H51" s="9" t="s">
        <v>471</v>
      </c>
      <c r="I51" s="9">
        <v>2</v>
      </c>
      <c r="J51" s="9" t="s">
        <v>2010</v>
      </c>
    </row>
    <row r="52" spans="1:10">
      <c r="B52" s="16" t="str">
        <f t="shared" si="1"/>
        <v>0x7260</v>
      </c>
      <c r="C52" s="16" t="str">
        <f t="shared" si="2"/>
        <v>0x7261</v>
      </c>
      <c r="D52" s="9">
        <f t="shared" si="4"/>
        <v>29280</v>
      </c>
      <c r="E52" s="9">
        <f t="shared" si="3"/>
        <v>29281</v>
      </c>
      <c r="F52" s="9" t="s">
        <v>2033</v>
      </c>
      <c r="G52" s="9" t="s">
        <v>1051</v>
      </c>
      <c r="H52" s="9" t="s">
        <v>471</v>
      </c>
      <c r="I52" s="9">
        <v>2</v>
      </c>
      <c r="J52" s="9" t="s">
        <v>2010</v>
      </c>
    </row>
    <row r="53" spans="1:10">
      <c r="B53" s="16" t="str">
        <f t="shared" si="1"/>
        <v>0x7262</v>
      </c>
      <c r="C53" s="16" t="str">
        <f t="shared" si="2"/>
        <v>0x7263</v>
      </c>
      <c r="D53" s="9">
        <f t="shared" si="4"/>
        <v>29282</v>
      </c>
      <c r="E53" s="9">
        <f t="shared" si="3"/>
        <v>29283</v>
      </c>
      <c r="F53" s="9" t="s">
        <v>2034</v>
      </c>
      <c r="G53" s="9" t="s">
        <v>1051</v>
      </c>
      <c r="H53" s="9" t="s">
        <v>471</v>
      </c>
      <c r="I53" s="9">
        <v>2</v>
      </c>
      <c r="J53" s="9" t="s">
        <v>2010</v>
      </c>
    </row>
    <row r="54" spans="1:10">
      <c r="B54" s="16"/>
      <c r="C54" s="16"/>
    </row>
    <row r="55" spans="1:10">
      <c r="A55" s="8" t="s">
        <v>2036</v>
      </c>
    </row>
    <row r="56" spans="1:10">
      <c r="B56" s="16" t="str">
        <f t="shared" ref="B56:B80" si="5">"0x"&amp;DEC2HEX(D56,4)</f>
        <v>0x7300</v>
      </c>
      <c r="C56" s="16" t="str">
        <f t="shared" ref="C56:C80" si="6">"0x"&amp;DEC2HEX(E56,4)</f>
        <v>0x7301</v>
      </c>
      <c r="D56" s="9">
        <v>29440</v>
      </c>
      <c r="E56" s="9">
        <f>D56+I56-1</f>
        <v>29441</v>
      </c>
      <c r="F56" s="9" t="s">
        <v>2009</v>
      </c>
      <c r="G56" s="9" t="s">
        <v>1051</v>
      </c>
      <c r="H56" s="9" t="s">
        <v>471</v>
      </c>
      <c r="I56" s="9">
        <v>2</v>
      </c>
      <c r="J56" s="9" t="s">
        <v>2010</v>
      </c>
    </row>
    <row r="57" spans="1:10">
      <c r="B57" s="16" t="str">
        <f t="shared" si="5"/>
        <v>0x7302</v>
      </c>
      <c r="C57" s="16" t="str">
        <f t="shared" si="6"/>
        <v>0x7303</v>
      </c>
      <c r="D57" s="9">
        <f>D56+I56</f>
        <v>29442</v>
      </c>
      <c r="E57" s="9">
        <f t="shared" ref="E57:E80" si="7">D57+I57-1</f>
        <v>29443</v>
      </c>
      <c r="F57" s="9" t="s">
        <v>2011</v>
      </c>
      <c r="G57" s="9" t="s">
        <v>1051</v>
      </c>
      <c r="H57" s="9" t="s">
        <v>471</v>
      </c>
      <c r="I57" s="9">
        <v>2</v>
      </c>
      <c r="J57" s="9" t="s">
        <v>2010</v>
      </c>
    </row>
    <row r="58" spans="1:10">
      <c r="B58" s="16" t="str">
        <f t="shared" si="5"/>
        <v>0x7304</v>
      </c>
      <c r="C58" s="16" t="str">
        <f t="shared" si="6"/>
        <v>0x7305</v>
      </c>
      <c r="D58" s="9">
        <f t="shared" ref="D58:D80" si="8">D57+I57</f>
        <v>29444</v>
      </c>
      <c r="E58" s="9">
        <f t="shared" si="7"/>
        <v>29445</v>
      </c>
      <c r="F58" s="9" t="s">
        <v>2012</v>
      </c>
      <c r="G58" s="9" t="s">
        <v>1051</v>
      </c>
      <c r="H58" s="9" t="s">
        <v>471</v>
      </c>
      <c r="I58" s="9">
        <v>2</v>
      </c>
      <c r="J58" s="9" t="s">
        <v>2010</v>
      </c>
    </row>
    <row r="59" spans="1:10">
      <c r="B59" s="16" t="str">
        <f t="shared" si="5"/>
        <v>0x7306</v>
      </c>
      <c r="C59" s="16" t="str">
        <f t="shared" si="6"/>
        <v>0x7307</v>
      </c>
      <c r="D59" s="9">
        <f t="shared" si="8"/>
        <v>29446</v>
      </c>
      <c r="E59" s="9">
        <f t="shared" si="7"/>
        <v>29447</v>
      </c>
      <c r="F59" s="9" t="s">
        <v>2013</v>
      </c>
      <c r="G59" s="9" t="s">
        <v>1051</v>
      </c>
      <c r="H59" s="9" t="s">
        <v>471</v>
      </c>
      <c r="I59" s="9">
        <v>2</v>
      </c>
      <c r="J59" s="9" t="s">
        <v>2010</v>
      </c>
    </row>
    <row r="60" spans="1:10">
      <c r="B60" s="16" t="str">
        <f t="shared" si="5"/>
        <v>0x7308</v>
      </c>
      <c r="C60" s="16" t="str">
        <f t="shared" si="6"/>
        <v>0x7309</v>
      </c>
      <c r="D60" s="9">
        <f t="shared" si="8"/>
        <v>29448</v>
      </c>
      <c r="E60" s="9">
        <f t="shared" si="7"/>
        <v>29449</v>
      </c>
      <c r="F60" s="9" t="s">
        <v>2014</v>
      </c>
      <c r="G60" s="9" t="s">
        <v>1051</v>
      </c>
      <c r="H60" s="9" t="s">
        <v>471</v>
      </c>
      <c r="I60" s="9">
        <v>2</v>
      </c>
      <c r="J60" s="9" t="s">
        <v>2010</v>
      </c>
    </row>
    <row r="61" spans="1:10">
      <c r="B61" s="16" t="str">
        <f t="shared" si="5"/>
        <v>0x730A</v>
      </c>
      <c r="C61" s="16" t="str">
        <f t="shared" si="6"/>
        <v>0x730B</v>
      </c>
      <c r="D61" s="9">
        <f t="shared" si="8"/>
        <v>29450</v>
      </c>
      <c r="E61" s="9">
        <f t="shared" si="7"/>
        <v>29451</v>
      </c>
      <c r="F61" s="9" t="s">
        <v>2015</v>
      </c>
      <c r="G61" s="9" t="s">
        <v>1051</v>
      </c>
      <c r="H61" s="9" t="s">
        <v>471</v>
      </c>
      <c r="I61" s="9">
        <v>2</v>
      </c>
      <c r="J61" s="9" t="s">
        <v>2010</v>
      </c>
    </row>
    <row r="62" spans="1:10">
      <c r="B62" s="16" t="str">
        <f t="shared" si="5"/>
        <v>0x730C</v>
      </c>
      <c r="C62" s="16" t="str">
        <f t="shared" si="6"/>
        <v>0x730D</v>
      </c>
      <c r="D62" s="9">
        <f t="shared" si="8"/>
        <v>29452</v>
      </c>
      <c r="E62" s="9">
        <f t="shared" si="7"/>
        <v>29453</v>
      </c>
      <c r="F62" s="9" t="s">
        <v>2016</v>
      </c>
      <c r="G62" s="9" t="s">
        <v>1051</v>
      </c>
      <c r="H62" s="9" t="s">
        <v>471</v>
      </c>
      <c r="I62" s="9">
        <v>2</v>
      </c>
      <c r="J62" s="9" t="s">
        <v>2010</v>
      </c>
    </row>
    <row r="63" spans="1:10">
      <c r="B63" s="16" t="str">
        <f t="shared" si="5"/>
        <v>0x730E</v>
      </c>
      <c r="C63" s="16" t="str">
        <f t="shared" si="6"/>
        <v>0x730F</v>
      </c>
      <c r="D63" s="9">
        <f t="shared" si="8"/>
        <v>29454</v>
      </c>
      <c r="E63" s="9">
        <f t="shared" si="7"/>
        <v>29455</v>
      </c>
      <c r="F63" s="9" t="s">
        <v>2017</v>
      </c>
      <c r="G63" s="9" t="s">
        <v>1051</v>
      </c>
      <c r="H63" s="9" t="s">
        <v>471</v>
      </c>
      <c r="I63" s="9">
        <v>2</v>
      </c>
      <c r="J63" s="9" t="s">
        <v>2010</v>
      </c>
    </row>
    <row r="64" spans="1:10">
      <c r="B64" s="16" t="str">
        <f t="shared" si="5"/>
        <v>0x7310</v>
      </c>
      <c r="C64" s="16" t="str">
        <f t="shared" si="6"/>
        <v>0x7311</v>
      </c>
      <c r="D64" s="9">
        <f t="shared" si="8"/>
        <v>29456</v>
      </c>
      <c r="E64" s="9">
        <f t="shared" si="7"/>
        <v>29457</v>
      </c>
      <c r="F64" s="9" t="s">
        <v>2018</v>
      </c>
      <c r="G64" s="9" t="s">
        <v>1051</v>
      </c>
      <c r="H64" s="9" t="s">
        <v>471</v>
      </c>
      <c r="I64" s="9">
        <v>2</v>
      </c>
      <c r="J64" s="9" t="s">
        <v>2010</v>
      </c>
    </row>
    <row r="65" spans="2:10">
      <c r="B65" s="16" t="str">
        <f t="shared" si="5"/>
        <v>0x7312</v>
      </c>
      <c r="C65" s="16" t="str">
        <f t="shared" si="6"/>
        <v>0x7313</v>
      </c>
      <c r="D65" s="9">
        <f t="shared" si="8"/>
        <v>29458</v>
      </c>
      <c r="E65" s="9">
        <f t="shared" si="7"/>
        <v>29459</v>
      </c>
      <c r="F65" s="9" t="s">
        <v>2019</v>
      </c>
      <c r="G65" s="9" t="s">
        <v>1051</v>
      </c>
      <c r="H65" s="9" t="s">
        <v>471</v>
      </c>
      <c r="I65" s="9">
        <v>2</v>
      </c>
      <c r="J65" s="9" t="s">
        <v>2010</v>
      </c>
    </row>
    <row r="66" spans="2:10">
      <c r="B66" s="16" t="str">
        <f t="shared" si="5"/>
        <v>0x7314</v>
      </c>
      <c r="C66" s="16" t="str">
        <f t="shared" si="6"/>
        <v>0x7315</v>
      </c>
      <c r="D66" s="9">
        <f t="shared" si="8"/>
        <v>29460</v>
      </c>
      <c r="E66" s="9">
        <f t="shared" si="7"/>
        <v>29461</v>
      </c>
      <c r="F66" s="9" t="s">
        <v>2020</v>
      </c>
      <c r="G66" s="9" t="s">
        <v>1051</v>
      </c>
      <c r="H66" s="9" t="s">
        <v>471</v>
      </c>
      <c r="I66" s="9">
        <v>2</v>
      </c>
      <c r="J66" s="9" t="s">
        <v>2010</v>
      </c>
    </row>
    <row r="67" spans="2:10">
      <c r="B67" s="16" t="str">
        <f t="shared" si="5"/>
        <v>0x7316</v>
      </c>
      <c r="C67" s="16" t="str">
        <f t="shared" si="6"/>
        <v>0x7317</v>
      </c>
      <c r="D67" s="9">
        <f t="shared" si="8"/>
        <v>29462</v>
      </c>
      <c r="E67" s="9">
        <f t="shared" si="7"/>
        <v>29463</v>
      </c>
      <c r="F67" s="9" t="s">
        <v>2021</v>
      </c>
      <c r="G67" s="9" t="s">
        <v>1051</v>
      </c>
      <c r="H67" s="9" t="s">
        <v>471</v>
      </c>
      <c r="I67" s="9">
        <v>2</v>
      </c>
      <c r="J67" s="9" t="s">
        <v>2010</v>
      </c>
    </row>
    <row r="68" spans="2:10">
      <c r="B68" s="16" t="str">
        <f t="shared" si="5"/>
        <v>0x7318</v>
      </c>
      <c r="C68" s="16" t="str">
        <f t="shared" si="6"/>
        <v>0x7319</v>
      </c>
      <c r="D68" s="9">
        <f t="shared" si="8"/>
        <v>29464</v>
      </c>
      <c r="E68" s="9">
        <f t="shared" si="7"/>
        <v>29465</v>
      </c>
      <c r="F68" s="9" t="s">
        <v>2022</v>
      </c>
      <c r="G68" s="9" t="s">
        <v>1051</v>
      </c>
      <c r="H68" s="9" t="s">
        <v>471</v>
      </c>
      <c r="I68" s="9">
        <v>2</v>
      </c>
      <c r="J68" s="9" t="s">
        <v>2010</v>
      </c>
    </row>
    <row r="69" spans="2:10">
      <c r="B69" s="16" t="str">
        <f t="shared" si="5"/>
        <v>0x731A</v>
      </c>
      <c r="C69" s="16" t="str">
        <f t="shared" si="6"/>
        <v>0x731B</v>
      </c>
      <c r="D69" s="9">
        <f t="shared" si="8"/>
        <v>29466</v>
      </c>
      <c r="E69" s="9">
        <f t="shared" si="7"/>
        <v>29467</v>
      </c>
      <c r="F69" s="9" t="s">
        <v>2023</v>
      </c>
      <c r="G69" s="9" t="s">
        <v>1051</v>
      </c>
      <c r="H69" s="9" t="s">
        <v>471</v>
      </c>
      <c r="I69" s="9">
        <v>2</v>
      </c>
      <c r="J69" s="9" t="s">
        <v>2010</v>
      </c>
    </row>
    <row r="70" spans="2:10">
      <c r="B70" s="16" t="str">
        <f t="shared" si="5"/>
        <v>0x731C</v>
      </c>
      <c r="C70" s="16" t="str">
        <f t="shared" si="6"/>
        <v>0x731D</v>
      </c>
      <c r="D70" s="9">
        <f t="shared" si="8"/>
        <v>29468</v>
      </c>
      <c r="E70" s="9">
        <f t="shared" si="7"/>
        <v>29469</v>
      </c>
      <c r="F70" s="9" t="s">
        <v>2024</v>
      </c>
      <c r="G70" s="9" t="s">
        <v>1051</v>
      </c>
      <c r="H70" s="9" t="s">
        <v>471</v>
      </c>
      <c r="I70" s="9">
        <v>2</v>
      </c>
      <c r="J70" s="9" t="s">
        <v>2010</v>
      </c>
    </row>
    <row r="71" spans="2:10">
      <c r="B71" s="16" t="str">
        <f t="shared" si="5"/>
        <v>0x731E</v>
      </c>
      <c r="C71" s="16" t="str">
        <f t="shared" si="6"/>
        <v>0x731F</v>
      </c>
      <c r="D71" s="9">
        <f t="shared" si="8"/>
        <v>29470</v>
      </c>
      <c r="E71" s="9">
        <f t="shared" si="7"/>
        <v>29471</v>
      </c>
      <c r="F71" s="9" t="s">
        <v>2025</v>
      </c>
      <c r="G71" s="9" t="s">
        <v>1051</v>
      </c>
      <c r="H71" s="9" t="s">
        <v>471</v>
      </c>
      <c r="I71" s="9">
        <v>2</v>
      </c>
      <c r="J71" s="9" t="s">
        <v>2010</v>
      </c>
    </row>
    <row r="72" spans="2:10">
      <c r="B72" s="16" t="str">
        <f t="shared" si="5"/>
        <v>0x7320</v>
      </c>
      <c r="C72" s="16" t="str">
        <f t="shared" si="6"/>
        <v>0x7321</v>
      </c>
      <c r="D72" s="9">
        <f t="shared" si="8"/>
        <v>29472</v>
      </c>
      <c r="E72" s="9">
        <f t="shared" si="7"/>
        <v>29473</v>
      </c>
      <c r="F72" s="9" t="s">
        <v>2026</v>
      </c>
      <c r="G72" s="9" t="s">
        <v>1051</v>
      </c>
      <c r="H72" s="9" t="s">
        <v>471</v>
      </c>
      <c r="I72" s="9">
        <v>2</v>
      </c>
      <c r="J72" s="9" t="s">
        <v>2010</v>
      </c>
    </row>
    <row r="73" spans="2:10">
      <c r="B73" s="16" t="str">
        <f t="shared" si="5"/>
        <v>0x7322</v>
      </c>
      <c r="C73" s="16" t="str">
        <f t="shared" si="6"/>
        <v>0x7323</v>
      </c>
      <c r="D73" s="9">
        <f t="shared" si="8"/>
        <v>29474</v>
      </c>
      <c r="E73" s="9">
        <f t="shared" si="7"/>
        <v>29475</v>
      </c>
      <c r="F73" s="9" t="s">
        <v>2027</v>
      </c>
      <c r="G73" s="9" t="s">
        <v>1051</v>
      </c>
      <c r="H73" s="9" t="s">
        <v>471</v>
      </c>
      <c r="I73" s="9">
        <v>2</v>
      </c>
      <c r="J73" s="9" t="s">
        <v>2010</v>
      </c>
    </row>
    <row r="74" spans="2:10">
      <c r="B74" s="16" t="str">
        <f t="shared" si="5"/>
        <v>0x7324</v>
      </c>
      <c r="C74" s="16" t="str">
        <f t="shared" si="6"/>
        <v>0x7325</v>
      </c>
      <c r="D74" s="9">
        <f t="shared" si="8"/>
        <v>29476</v>
      </c>
      <c r="E74" s="9">
        <f t="shared" si="7"/>
        <v>29477</v>
      </c>
      <c r="F74" s="9" t="s">
        <v>2028</v>
      </c>
      <c r="G74" s="9" t="s">
        <v>1051</v>
      </c>
      <c r="H74" s="9" t="s">
        <v>471</v>
      </c>
      <c r="I74" s="9">
        <v>2</v>
      </c>
      <c r="J74" s="9" t="s">
        <v>2010</v>
      </c>
    </row>
    <row r="75" spans="2:10">
      <c r="B75" s="16" t="str">
        <f t="shared" si="5"/>
        <v>0x7326</v>
      </c>
      <c r="C75" s="16" t="str">
        <f t="shared" si="6"/>
        <v>0x7327</v>
      </c>
      <c r="D75" s="9">
        <f t="shared" si="8"/>
        <v>29478</v>
      </c>
      <c r="E75" s="9">
        <f t="shared" si="7"/>
        <v>29479</v>
      </c>
      <c r="F75" s="9" t="s">
        <v>2029</v>
      </c>
      <c r="G75" s="9" t="s">
        <v>1051</v>
      </c>
      <c r="H75" s="9" t="s">
        <v>471</v>
      </c>
      <c r="I75" s="9">
        <v>2</v>
      </c>
      <c r="J75" s="9" t="s">
        <v>2010</v>
      </c>
    </row>
    <row r="76" spans="2:10">
      <c r="B76" s="16" t="str">
        <f t="shared" si="5"/>
        <v>0x7328</v>
      </c>
      <c r="C76" s="16" t="str">
        <f t="shared" si="6"/>
        <v>0x7329</v>
      </c>
      <c r="D76" s="9">
        <f t="shared" si="8"/>
        <v>29480</v>
      </c>
      <c r="E76" s="9">
        <f t="shared" si="7"/>
        <v>29481</v>
      </c>
      <c r="F76" s="9" t="s">
        <v>2030</v>
      </c>
      <c r="G76" s="9" t="s">
        <v>1051</v>
      </c>
      <c r="H76" s="9" t="s">
        <v>471</v>
      </c>
      <c r="I76" s="9">
        <v>2</v>
      </c>
      <c r="J76" s="9" t="s">
        <v>2010</v>
      </c>
    </row>
    <row r="77" spans="2:10">
      <c r="B77" s="16" t="str">
        <f t="shared" si="5"/>
        <v>0x732A</v>
      </c>
      <c r="C77" s="16" t="str">
        <f t="shared" si="6"/>
        <v>0x732B</v>
      </c>
      <c r="D77" s="9">
        <f t="shared" si="8"/>
        <v>29482</v>
      </c>
      <c r="E77" s="9">
        <f t="shared" si="7"/>
        <v>29483</v>
      </c>
      <c r="F77" s="9" t="s">
        <v>2031</v>
      </c>
      <c r="G77" s="9" t="s">
        <v>1051</v>
      </c>
      <c r="H77" s="9" t="s">
        <v>471</v>
      </c>
      <c r="I77" s="9">
        <v>2</v>
      </c>
      <c r="J77" s="9" t="s">
        <v>2010</v>
      </c>
    </row>
    <row r="78" spans="2:10">
      <c r="B78" s="16" t="str">
        <f t="shared" si="5"/>
        <v>0x732C</v>
      </c>
      <c r="C78" s="16" t="str">
        <f t="shared" si="6"/>
        <v>0x732D</v>
      </c>
      <c r="D78" s="9">
        <f t="shared" si="8"/>
        <v>29484</v>
      </c>
      <c r="E78" s="9">
        <f t="shared" si="7"/>
        <v>29485</v>
      </c>
      <c r="F78" s="9" t="s">
        <v>2032</v>
      </c>
      <c r="G78" s="9" t="s">
        <v>1051</v>
      </c>
      <c r="H78" s="9" t="s">
        <v>471</v>
      </c>
      <c r="I78" s="9">
        <v>2</v>
      </c>
      <c r="J78" s="9" t="s">
        <v>2010</v>
      </c>
    </row>
    <row r="79" spans="2:10">
      <c r="B79" s="16" t="str">
        <f t="shared" si="5"/>
        <v>0x732E</v>
      </c>
      <c r="C79" s="16" t="str">
        <f t="shared" si="6"/>
        <v>0x732F</v>
      </c>
      <c r="D79" s="9">
        <f t="shared" si="8"/>
        <v>29486</v>
      </c>
      <c r="E79" s="9">
        <f t="shared" si="7"/>
        <v>29487</v>
      </c>
      <c r="F79" s="9" t="s">
        <v>2033</v>
      </c>
      <c r="G79" s="9" t="s">
        <v>1051</v>
      </c>
      <c r="H79" s="9" t="s">
        <v>471</v>
      </c>
      <c r="I79" s="9">
        <v>2</v>
      </c>
      <c r="J79" s="9" t="s">
        <v>2010</v>
      </c>
    </row>
    <row r="80" spans="2:10">
      <c r="B80" s="16" t="str">
        <f t="shared" si="5"/>
        <v>0x7330</v>
      </c>
      <c r="C80" s="16" t="str">
        <f t="shared" si="6"/>
        <v>0x7331</v>
      </c>
      <c r="D80" s="9">
        <f t="shared" si="8"/>
        <v>29488</v>
      </c>
      <c r="E80" s="9">
        <f t="shared" si="7"/>
        <v>29489</v>
      </c>
      <c r="F80" s="9" t="s">
        <v>2034</v>
      </c>
      <c r="G80" s="9" t="s">
        <v>1051</v>
      </c>
      <c r="H80" s="9" t="s">
        <v>471</v>
      </c>
      <c r="I80" s="9">
        <v>2</v>
      </c>
      <c r="J80" s="9" t="s">
        <v>2010</v>
      </c>
    </row>
    <row r="81" spans="1:10">
      <c r="A81" s="8" t="s">
        <v>2037</v>
      </c>
    </row>
    <row r="82" spans="1:10">
      <c r="B82" s="16" t="str">
        <f t="shared" ref="B82:B106" si="9">"0x"&amp;DEC2HEX(D82,4)</f>
        <v>0x7332</v>
      </c>
      <c r="C82" s="16" t="str">
        <f t="shared" ref="C82:C106" si="10">"0x"&amp;DEC2HEX(E82,4)</f>
        <v>0x7333</v>
      </c>
      <c r="D82" s="9">
        <v>29490</v>
      </c>
      <c r="E82" s="9">
        <f>D82+I82-1</f>
        <v>29491</v>
      </c>
      <c r="F82" s="9" t="s">
        <v>2009</v>
      </c>
      <c r="G82" s="9" t="s">
        <v>1051</v>
      </c>
      <c r="H82" s="9" t="s">
        <v>471</v>
      </c>
      <c r="I82" s="9">
        <v>2</v>
      </c>
      <c r="J82" s="9" t="s">
        <v>2010</v>
      </c>
    </row>
    <row r="83" spans="1:10">
      <c r="B83" s="16" t="str">
        <f t="shared" si="9"/>
        <v>0x7334</v>
      </c>
      <c r="C83" s="16" t="str">
        <f t="shared" si="10"/>
        <v>0x7335</v>
      </c>
      <c r="D83" s="9">
        <f>D82+I82</f>
        <v>29492</v>
      </c>
      <c r="E83" s="9">
        <f t="shared" ref="E83:E106" si="11">D83+I83-1</f>
        <v>29493</v>
      </c>
      <c r="F83" s="9" t="s">
        <v>2011</v>
      </c>
      <c r="G83" s="9" t="s">
        <v>1051</v>
      </c>
      <c r="H83" s="9" t="s">
        <v>471</v>
      </c>
      <c r="I83" s="9">
        <v>2</v>
      </c>
      <c r="J83" s="9" t="s">
        <v>2010</v>
      </c>
    </row>
    <row r="84" spans="1:10">
      <c r="B84" s="16" t="str">
        <f t="shared" si="9"/>
        <v>0x7336</v>
      </c>
      <c r="C84" s="16" t="str">
        <f t="shared" si="10"/>
        <v>0x7337</v>
      </c>
      <c r="D84" s="9">
        <f t="shared" ref="D84:D106" si="12">D83+I83</f>
        <v>29494</v>
      </c>
      <c r="E84" s="9">
        <f t="shared" si="11"/>
        <v>29495</v>
      </c>
      <c r="F84" s="9" t="s">
        <v>2012</v>
      </c>
      <c r="G84" s="9" t="s">
        <v>1051</v>
      </c>
      <c r="H84" s="9" t="s">
        <v>471</v>
      </c>
      <c r="I84" s="9">
        <v>2</v>
      </c>
      <c r="J84" s="9" t="s">
        <v>2010</v>
      </c>
    </row>
    <row r="85" spans="1:10">
      <c r="B85" s="16" t="str">
        <f t="shared" si="9"/>
        <v>0x7338</v>
      </c>
      <c r="C85" s="16" t="str">
        <f t="shared" si="10"/>
        <v>0x7339</v>
      </c>
      <c r="D85" s="9">
        <f t="shared" si="12"/>
        <v>29496</v>
      </c>
      <c r="E85" s="9">
        <f t="shared" si="11"/>
        <v>29497</v>
      </c>
      <c r="F85" s="9" t="s">
        <v>2013</v>
      </c>
      <c r="G85" s="9" t="s">
        <v>1051</v>
      </c>
      <c r="H85" s="9" t="s">
        <v>471</v>
      </c>
      <c r="I85" s="9">
        <v>2</v>
      </c>
      <c r="J85" s="9" t="s">
        <v>2010</v>
      </c>
    </row>
    <row r="86" spans="1:10">
      <c r="B86" s="16" t="str">
        <f t="shared" si="9"/>
        <v>0x733A</v>
      </c>
      <c r="C86" s="16" t="str">
        <f t="shared" si="10"/>
        <v>0x733B</v>
      </c>
      <c r="D86" s="9">
        <f t="shared" si="12"/>
        <v>29498</v>
      </c>
      <c r="E86" s="9">
        <f t="shared" si="11"/>
        <v>29499</v>
      </c>
      <c r="F86" s="9" t="s">
        <v>2014</v>
      </c>
      <c r="G86" s="9" t="s">
        <v>1051</v>
      </c>
      <c r="H86" s="9" t="s">
        <v>471</v>
      </c>
      <c r="I86" s="9">
        <v>2</v>
      </c>
      <c r="J86" s="9" t="s">
        <v>2010</v>
      </c>
    </row>
    <row r="87" spans="1:10">
      <c r="B87" s="16" t="str">
        <f t="shared" si="9"/>
        <v>0x733C</v>
      </c>
      <c r="C87" s="16" t="str">
        <f t="shared" si="10"/>
        <v>0x733D</v>
      </c>
      <c r="D87" s="9">
        <f t="shared" si="12"/>
        <v>29500</v>
      </c>
      <c r="E87" s="9">
        <f t="shared" si="11"/>
        <v>29501</v>
      </c>
      <c r="F87" s="9" t="s">
        <v>2015</v>
      </c>
      <c r="G87" s="9" t="s">
        <v>1051</v>
      </c>
      <c r="H87" s="9" t="s">
        <v>471</v>
      </c>
      <c r="I87" s="9">
        <v>2</v>
      </c>
      <c r="J87" s="9" t="s">
        <v>2010</v>
      </c>
    </row>
    <row r="88" spans="1:10">
      <c r="B88" s="16" t="str">
        <f t="shared" si="9"/>
        <v>0x733E</v>
      </c>
      <c r="C88" s="16" t="str">
        <f t="shared" si="10"/>
        <v>0x733F</v>
      </c>
      <c r="D88" s="9">
        <f t="shared" si="12"/>
        <v>29502</v>
      </c>
      <c r="E88" s="9">
        <f t="shared" si="11"/>
        <v>29503</v>
      </c>
      <c r="F88" s="9" t="s">
        <v>2016</v>
      </c>
      <c r="G88" s="9" t="s">
        <v>1051</v>
      </c>
      <c r="H88" s="9" t="s">
        <v>471</v>
      </c>
      <c r="I88" s="9">
        <v>2</v>
      </c>
      <c r="J88" s="9" t="s">
        <v>2010</v>
      </c>
    </row>
    <row r="89" spans="1:10">
      <c r="B89" s="16" t="str">
        <f t="shared" si="9"/>
        <v>0x7340</v>
      </c>
      <c r="C89" s="16" t="str">
        <f t="shared" si="10"/>
        <v>0x7341</v>
      </c>
      <c r="D89" s="9">
        <f t="shared" si="12"/>
        <v>29504</v>
      </c>
      <c r="E89" s="9">
        <f t="shared" si="11"/>
        <v>29505</v>
      </c>
      <c r="F89" s="9" t="s">
        <v>2017</v>
      </c>
      <c r="G89" s="9" t="s">
        <v>1051</v>
      </c>
      <c r="H89" s="9" t="s">
        <v>471</v>
      </c>
      <c r="I89" s="9">
        <v>2</v>
      </c>
      <c r="J89" s="9" t="s">
        <v>2010</v>
      </c>
    </row>
    <row r="90" spans="1:10">
      <c r="B90" s="16" t="str">
        <f t="shared" si="9"/>
        <v>0x7342</v>
      </c>
      <c r="C90" s="16" t="str">
        <f t="shared" si="10"/>
        <v>0x7343</v>
      </c>
      <c r="D90" s="9">
        <f t="shared" si="12"/>
        <v>29506</v>
      </c>
      <c r="E90" s="9">
        <f t="shared" si="11"/>
        <v>29507</v>
      </c>
      <c r="F90" s="9" t="s">
        <v>2018</v>
      </c>
      <c r="G90" s="9" t="s">
        <v>1051</v>
      </c>
      <c r="H90" s="9" t="s">
        <v>471</v>
      </c>
      <c r="I90" s="9">
        <v>2</v>
      </c>
      <c r="J90" s="9" t="s">
        <v>2010</v>
      </c>
    </row>
    <row r="91" spans="1:10">
      <c r="B91" s="16" t="str">
        <f t="shared" si="9"/>
        <v>0x7344</v>
      </c>
      <c r="C91" s="16" t="str">
        <f t="shared" si="10"/>
        <v>0x7345</v>
      </c>
      <c r="D91" s="9">
        <f t="shared" si="12"/>
        <v>29508</v>
      </c>
      <c r="E91" s="9">
        <f t="shared" si="11"/>
        <v>29509</v>
      </c>
      <c r="F91" s="9" t="s">
        <v>2019</v>
      </c>
      <c r="G91" s="9" t="s">
        <v>1051</v>
      </c>
      <c r="H91" s="9" t="s">
        <v>471</v>
      </c>
      <c r="I91" s="9">
        <v>2</v>
      </c>
      <c r="J91" s="9" t="s">
        <v>2010</v>
      </c>
    </row>
    <row r="92" spans="1:10">
      <c r="B92" s="16" t="str">
        <f t="shared" si="9"/>
        <v>0x7346</v>
      </c>
      <c r="C92" s="16" t="str">
        <f t="shared" si="10"/>
        <v>0x7347</v>
      </c>
      <c r="D92" s="9">
        <f t="shared" si="12"/>
        <v>29510</v>
      </c>
      <c r="E92" s="9">
        <f t="shared" si="11"/>
        <v>29511</v>
      </c>
      <c r="F92" s="9" t="s">
        <v>2020</v>
      </c>
      <c r="G92" s="9" t="s">
        <v>1051</v>
      </c>
      <c r="H92" s="9" t="s">
        <v>471</v>
      </c>
      <c r="I92" s="9">
        <v>2</v>
      </c>
      <c r="J92" s="9" t="s">
        <v>2010</v>
      </c>
    </row>
    <row r="93" spans="1:10">
      <c r="B93" s="16" t="str">
        <f t="shared" si="9"/>
        <v>0x7348</v>
      </c>
      <c r="C93" s="16" t="str">
        <f t="shared" si="10"/>
        <v>0x7349</v>
      </c>
      <c r="D93" s="9">
        <f t="shared" si="12"/>
        <v>29512</v>
      </c>
      <c r="E93" s="9">
        <f t="shared" si="11"/>
        <v>29513</v>
      </c>
      <c r="F93" s="9" t="s">
        <v>2021</v>
      </c>
      <c r="G93" s="9" t="s">
        <v>1051</v>
      </c>
      <c r="H93" s="9" t="s">
        <v>471</v>
      </c>
      <c r="I93" s="9">
        <v>2</v>
      </c>
      <c r="J93" s="9" t="s">
        <v>2010</v>
      </c>
    </row>
    <row r="94" spans="1:10">
      <c r="B94" s="16" t="str">
        <f t="shared" si="9"/>
        <v>0x734A</v>
      </c>
      <c r="C94" s="16" t="str">
        <f t="shared" si="10"/>
        <v>0x734B</v>
      </c>
      <c r="D94" s="9">
        <f t="shared" si="12"/>
        <v>29514</v>
      </c>
      <c r="E94" s="9">
        <f t="shared" si="11"/>
        <v>29515</v>
      </c>
      <c r="F94" s="9" t="s">
        <v>2022</v>
      </c>
      <c r="G94" s="9" t="s">
        <v>1051</v>
      </c>
      <c r="H94" s="9" t="s">
        <v>471</v>
      </c>
      <c r="I94" s="9">
        <v>2</v>
      </c>
      <c r="J94" s="9" t="s">
        <v>2010</v>
      </c>
    </row>
    <row r="95" spans="1:10">
      <c r="B95" s="16" t="str">
        <f t="shared" si="9"/>
        <v>0x734C</v>
      </c>
      <c r="C95" s="16" t="str">
        <f t="shared" si="10"/>
        <v>0x734D</v>
      </c>
      <c r="D95" s="9">
        <f t="shared" si="12"/>
        <v>29516</v>
      </c>
      <c r="E95" s="9">
        <f t="shared" si="11"/>
        <v>29517</v>
      </c>
      <c r="F95" s="9" t="s">
        <v>2023</v>
      </c>
      <c r="G95" s="9" t="s">
        <v>1051</v>
      </c>
      <c r="H95" s="9" t="s">
        <v>471</v>
      </c>
      <c r="I95" s="9">
        <v>2</v>
      </c>
      <c r="J95" s="9" t="s">
        <v>2010</v>
      </c>
    </row>
    <row r="96" spans="1:10">
      <c r="B96" s="16" t="str">
        <f t="shared" si="9"/>
        <v>0x734E</v>
      </c>
      <c r="C96" s="16" t="str">
        <f t="shared" si="10"/>
        <v>0x734F</v>
      </c>
      <c r="D96" s="9">
        <f t="shared" si="12"/>
        <v>29518</v>
      </c>
      <c r="E96" s="9">
        <f t="shared" si="11"/>
        <v>29519</v>
      </c>
      <c r="F96" s="9" t="s">
        <v>2024</v>
      </c>
      <c r="G96" s="9" t="s">
        <v>1051</v>
      </c>
      <c r="H96" s="9" t="s">
        <v>471</v>
      </c>
      <c r="I96" s="9">
        <v>2</v>
      </c>
      <c r="J96" s="9" t="s">
        <v>2010</v>
      </c>
    </row>
    <row r="97" spans="1:10">
      <c r="B97" s="16" t="str">
        <f t="shared" si="9"/>
        <v>0x7350</v>
      </c>
      <c r="C97" s="16" t="str">
        <f t="shared" si="10"/>
        <v>0x7351</v>
      </c>
      <c r="D97" s="9">
        <f t="shared" si="12"/>
        <v>29520</v>
      </c>
      <c r="E97" s="9">
        <f t="shared" si="11"/>
        <v>29521</v>
      </c>
      <c r="F97" s="9" t="s">
        <v>2025</v>
      </c>
      <c r="G97" s="9" t="s">
        <v>1051</v>
      </c>
      <c r="H97" s="9" t="s">
        <v>471</v>
      </c>
      <c r="I97" s="9">
        <v>2</v>
      </c>
      <c r="J97" s="9" t="s">
        <v>2010</v>
      </c>
    </row>
    <row r="98" spans="1:10">
      <c r="B98" s="16" t="str">
        <f t="shared" si="9"/>
        <v>0x7352</v>
      </c>
      <c r="C98" s="16" t="str">
        <f t="shared" si="10"/>
        <v>0x7353</v>
      </c>
      <c r="D98" s="9">
        <f t="shared" si="12"/>
        <v>29522</v>
      </c>
      <c r="E98" s="9">
        <f t="shared" si="11"/>
        <v>29523</v>
      </c>
      <c r="F98" s="9" t="s">
        <v>2026</v>
      </c>
      <c r="G98" s="9" t="s">
        <v>1051</v>
      </c>
      <c r="H98" s="9" t="s">
        <v>471</v>
      </c>
      <c r="I98" s="9">
        <v>2</v>
      </c>
      <c r="J98" s="9" t="s">
        <v>2010</v>
      </c>
    </row>
    <row r="99" spans="1:10">
      <c r="B99" s="16" t="str">
        <f t="shared" si="9"/>
        <v>0x7354</v>
      </c>
      <c r="C99" s="16" t="str">
        <f t="shared" si="10"/>
        <v>0x7355</v>
      </c>
      <c r="D99" s="9">
        <f t="shared" si="12"/>
        <v>29524</v>
      </c>
      <c r="E99" s="9">
        <f t="shared" si="11"/>
        <v>29525</v>
      </c>
      <c r="F99" s="9" t="s">
        <v>2027</v>
      </c>
      <c r="G99" s="9" t="s">
        <v>1051</v>
      </c>
      <c r="H99" s="9" t="s">
        <v>471</v>
      </c>
      <c r="I99" s="9">
        <v>2</v>
      </c>
      <c r="J99" s="9" t="s">
        <v>2010</v>
      </c>
    </row>
    <row r="100" spans="1:10">
      <c r="B100" s="16" t="str">
        <f t="shared" si="9"/>
        <v>0x7356</v>
      </c>
      <c r="C100" s="16" t="str">
        <f t="shared" si="10"/>
        <v>0x7357</v>
      </c>
      <c r="D100" s="9">
        <f t="shared" si="12"/>
        <v>29526</v>
      </c>
      <c r="E100" s="9">
        <f t="shared" si="11"/>
        <v>29527</v>
      </c>
      <c r="F100" s="9" t="s">
        <v>2028</v>
      </c>
      <c r="G100" s="9" t="s">
        <v>1051</v>
      </c>
      <c r="H100" s="9" t="s">
        <v>471</v>
      </c>
      <c r="I100" s="9">
        <v>2</v>
      </c>
      <c r="J100" s="9" t="s">
        <v>2010</v>
      </c>
    </row>
    <row r="101" spans="1:10">
      <c r="B101" s="16" t="str">
        <f t="shared" si="9"/>
        <v>0x7358</v>
      </c>
      <c r="C101" s="16" t="str">
        <f t="shared" si="10"/>
        <v>0x7359</v>
      </c>
      <c r="D101" s="9">
        <f t="shared" si="12"/>
        <v>29528</v>
      </c>
      <c r="E101" s="9">
        <f t="shared" si="11"/>
        <v>29529</v>
      </c>
      <c r="F101" s="9" t="s">
        <v>2029</v>
      </c>
      <c r="G101" s="9" t="s">
        <v>1051</v>
      </c>
      <c r="H101" s="9" t="s">
        <v>471</v>
      </c>
      <c r="I101" s="9">
        <v>2</v>
      </c>
      <c r="J101" s="9" t="s">
        <v>2010</v>
      </c>
    </row>
    <row r="102" spans="1:10">
      <c r="B102" s="16" t="str">
        <f t="shared" si="9"/>
        <v>0x735A</v>
      </c>
      <c r="C102" s="16" t="str">
        <f t="shared" si="10"/>
        <v>0x735B</v>
      </c>
      <c r="D102" s="9">
        <f t="shared" si="12"/>
        <v>29530</v>
      </c>
      <c r="E102" s="9">
        <f t="shared" si="11"/>
        <v>29531</v>
      </c>
      <c r="F102" s="9" t="s">
        <v>2030</v>
      </c>
      <c r="G102" s="9" t="s">
        <v>1051</v>
      </c>
      <c r="H102" s="9" t="s">
        <v>471</v>
      </c>
      <c r="I102" s="9">
        <v>2</v>
      </c>
      <c r="J102" s="9" t="s">
        <v>2010</v>
      </c>
    </row>
    <row r="103" spans="1:10">
      <c r="B103" s="16" t="str">
        <f t="shared" si="9"/>
        <v>0x735C</v>
      </c>
      <c r="C103" s="16" t="str">
        <f t="shared" si="10"/>
        <v>0x735D</v>
      </c>
      <c r="D103" s="9">
        <f t="shared" si="12"/>
        <v>29532</v>
      </c>
      <c r="E103" s="9">
        <f t="shared" si="11"/>
        <v>29533</v>
      </c>
      <c r="F103" s="9" t="s">
        <v>2031</v>
      </c>
      <c r="G103" s="9" t="s">
        <v>1051</v>
      </c>
      <c r="H103" s="9" t="s">
        <v>471</v>
      </c>
      <c r="I103" s="9">
        <v>2</v>
      </c>
      <c r="J103" s="9" t="s">
        <v>2010</v>
      </c>
    </row>
    <row r="104" spans="1:10">
      <c r="B104" s="16" t="str">
        <f t="shared" si="9"/>
        <v>0x735E</v>
      </c>
      <c r="C104" s="16" t="str">
        <f t="shared" si="10"/>
        <v>0x735F</v>
      </c>
      <c r="D104" s="9">
        <f t="shared" si="12"/>
        <v>29534</v>
      </c>
      <c r="E104" s="9">
        <f t="shared" si="11"/>
        <v>29535</v>
      </c>
      <c r="F104" s="9" t="s">
        <v>2032</v>
      </c>
      <c r="G104" s="9" t="s">
        <v>1051</v>
      </c>
      <c r="H104" s="9" t="s">
        <v>471</v>
      </c>
      <c r="I104" s="9">
        <v>2</v>
      </c>
      <c r="J104" s="9" t="s">
        <v>2010</v>
      </c>
    </row>
    <row r="105" spans="1:10">
      <c r="B105" s="16" t="str">
        <f t="shared" si="9"/>
        <v>0x7360</v>
      </c>
      <c r="C105" s="16" t="str">
        <f t="shared" si="10"/>
        <v>0x7361</v>
      </c>
      <c r="D105" s="9">
        <f t="shared" si="12"/>
        <v>29536</v>
      </c>
      <c r="E105" s="9">
        <f t="shared" si="11"/>
        <v>29537</v>
      </c>
      <c r="F105" s="9" t="s">
        <v>2033</v>
      </c>
      <c r="G105" s="9" t="s">
        <v>1051</v>
      </c>
      <c r="H105" s="9" t="s">
        <v>471</v>
      </c>
      <c r="I105" s="9">
        <v>2</v>
      </c>
      <c r="J105" s="9" t="s">
        <v>2010</v>
      </c>
    </row>
    <row r="106" spans="1:10">
      <c r="B106" s="16" t="str">
        <f t="shared" si="9"/>
        <v>0x7362</v>
      </c>
      <c r="C106" s="16" t="str">
        <f t="shared" si="10"/>
        <v>0x7363</v>
      </c>
      <c r="D106" s="9">
        <f t="shared" si="12"/>
        <v>29538</v>
      </c>
      <c r="E106" s="9">
        <f t="shared" si="11"/>
        <v>29539</v>
      </c>
      <c r="F106" s="9" t="s">
        <v>2034</v>
      </c>
      <c r="G106" s="9" t="s">
        <v>1051</v>
      </c>
      <c r="H106" s="9" t="s">
        <v>471</v>
      </c>
      <c r="I106" s="9">
        <v>2</v>
      </c>
      <c r="J106" s="9" t="s">
        <v>2010</v>
      </c>
    </row>
    <row r="108" spans="1:10">
      <c r="A108" s="8" t="s">
        <v>267</v>
      </c>
    </row>
    <row r="109" spans="1:10" ht="51">
      <c r="B109" s="16" t="str">
        <f>"0x"&amp;DEC2HEX(D109,4)</f>
        <v>0x7500</v>
      </c>
      <c r="C109" s="16" t="str">
        <f>"0x"&amp;DEC2HEX(E109,4)</f>
        <v>0x7503</v>
      </c>
      <c r="D109" s="9">
        <v>29952</v>
      </c>
      <c r="E109" s="9">
        <f>D109+I109-1</f>
        <v>29955</v>
      </c>
      <c r="F109" s="7" t="s">
        <v>2038</v>
      </c>
      <c r="G109" s="9" t="s">
        <v>802</v>
      </c>
      <c r="H109" s="9" t="s">
        <v>430</v>
      </c>
      <c r="I109" s="9">
        <v>4</v>
      </c>
    </row>
    <row r="110" spans="1:10">
      <c r="B110" s="16" t="str">
        <f>"0x"&amp;DEC2HEX(D110,4)</f>
        <v>0x7504</v>
      </c>
      <c r="C110" s="16" t="str">
        <f>"0x"&amp;DEC2HEX(E110,4)</f>
        <v>0x7507</v>
      </c>
      <c r="D110" s="9">
        <f>D109+I109</f>
        <v>29956</v>
      </c>
      <c r="E110" s="9">
        <f>D110+I110-1</f>
        <v>29959</v>
      </c>
      <c r="F110" s="9" t="s">
        <v>2039</v>
      </c>
      <c r="G110" s="9" t="s">
        <v>802</v>
      </c>
      <c r="H110" s="9" t="s">
        <v>430</v>
      </c>
      <c r="I110" s="9">
        <v>4</v>
      </c>
    </row>
    <row r="111" spans="1:10">
      <c r="B111" s="16" t="str">
        <f t="shared" ref="B111:B148" si="13">"0x"&amp;DEC2HEX(D111,4)</f>
        <v>0x7508</v>
      </c>
      <c r="C111" s="16" t="str">
        <f t="shared" ref="C111:C148" si="14">"0x"&amp;DEC2HEX(E111,4)</f>
        <v>0x750B</v>
      </c>
      <c r="D111" s="9">
        <f t="shared" ref="D111:D148" si="15">D110+I110</f>
        <v>29960</v>
      </c>
      <c r="E111" s="9">
        <f t="shared" ref="E111:E148" si="16">D111+I111-1</f>
        <v>29963</v>
      </c>
      <c r="F111" s="9" t="s">
        <v>2040</v>
      </c>
      <c r="G111" s="9" t="s">
        <v>802</v>
      </c>
      <c r="H111" s="9" t="s">
        <v>430</v>
      </c>
      <c r="I111" s="9">
        <v>4</v>
      </c>
    </row>
    <row r="112" spans="1:10">
      <c r="B112" s="16" t="str">
        <f t="shared" si="13"/>
        <v>0x750C</v>
      </c>
      <c r="C112" s="16" t="str">
        <f t="shared" si="14"/>
        <v>0x750F</v>
      </c>
      <c r="D112" s="9">
        <f t="shared" si="15"/>
        <v>29964</v>
      </c>
      <c r="E112" s="9">
        <f t="shared" si="16"/>
        <v>29967</v>
      </c>
      <c r="F112" s="9" t="s">
        <v>2041</v>
      </c>
      <c r="G112" s="9" t="s">
        <v>802</v>
      </c>
      <c r="H112" s="9" t="s">
        <v>430</v>
      </c>
      <c r="I112" s="9">
        <v>4</v>
      </c>
    </row>
    <row r="113" spans="2:9">
      <c r="B113" s="16" t="str">
        <f t="shared" si="13"/>
        <v>0x7510</v>
      </c>
      <c r="C113" s="16" t="str">
        <f t="shared" si="14"/>
        <v>0x7513</v>
      </c>
      <c r="D113" s="9">
        <f t="shared" si="15"/>
        <v>29968</v>
      </c>
      <c r="E113" s="9">
        <f t="shared" si="16"/>
        <v>29971</v>
      </c>
      <c r="F113" s="9" t="s">
        <v>2042</v>
      </c>
      <c r="G113" s="9" t="s">
        <v>802</v>
      </c>
      <c r="H113" s="9" t="s">
        <v>430</v>
      </c>
      <c r="I113" s="9">
        <v>4</v>
      </c>
    </row>
    <row r="114" spans="2:9">
      <c r="B114" s="16" t="str">
        <f t="shared" si="13"/>
        <v>0x7514</v>
      </c>
      <c r="C114" s="16" t="str">
        <f t="shared" si="14"/>
        <v>0x7517</v>
      </c>
      <c r="D114" s="9">
        <f t="shared" si="15"/>
        <v>29972</v>
      </c>
      <c r="E114" s="9">
        <f t="shared" si="16"/>
        <v>29975</v>
      </c>
      <c r="F114" s="9" t="s">
        <v>2043</v>
      </c>
      <c r="G114" s="9" t="s">
        <v>802</v>
      </c>
      <c r="H114" s="9" t="s">
        <v>430</v>
      </c>
      <c r="I114" s="9">
        <v>4</v>
      </c>
    </row>
    <row r="115" spans="2:9">
      <c r="B115" s="16" t="str">
        <f t="shared" si="13"/>
        <v>0x7518</v>
      </c>
      <c r="C115" s="16" t="str">
        <f t="shared" si="14"/>
        <v>0x751B</v>
      </c>
      <c r="D115" s="9">
        <f t="shared" si="15"/>
        <v>29976</v>
      </c>
      <c r="E115" s="9">
        <f t="shared" si="16"/>
        <v>29979</v>
      </c>
      <c r="F115" s="9" t="s">
        <v>2044</v>
      </c>
      <c r="G115" s="9" t="s">
        <v>802</v>
      </c>
      <c r="H115" s="9" t="s">
        <v>430</v>
      </c>
      <c r="I115" s="9">
        <v>4</v>
      </c>
    </row>
    <row r="116" spans="2:9">
      <c r="B116" s="16" t="str">
        <f t="shared" si="13"/>
        <v>0x751C</v>
      </c>
      <c r="C116" s="16" t="str">
        <f t="shared" si="14"/>
        <v>0x751F</v>
      </c>
      <c r="D116" s="9">
        <f t="shared" si="15"/>
        <v>29980</v>
      </c>
      <c r="E116" s="9">
        <f t="shared" si="16"/>
        <v>29983</v>
      </c>
      <c r="F116" s="9" t="s">
        <v>2045</v>
      </c>
      <c r="G116" s="9" t="s">
        <v>802</v>
      </c>
      <c r="H116" s="9" t="s">
        <v>430</v>
      </c>
      <c r="I116" s="9">
        <v>4</v>
      </c>
    </row>
    <row r="117" spans="2:9">
      <c r="B117" s="16" t="str">
        <f t="shared" si="13"/>
        <v>0x7520</v>
      </c>
      <c r="C117" s="16" t="str">
        <f t="shared" si="14"/>
        <v>0x7523</v>
      </c>
      <c r="D117" s="9">
        <f t="shared" si="15"/>
        <v>29984</v>
      </c>
      <c r="E117" s="9">
        <f t="shared" si="16"/>
        <v>29987</v>
      </c>
      <c r="F117" s="9" t="s">
        <v>2046</v>
      </c>
      <c r="G117" s="9" t="s">
        <v>802</v>
      </c>
      <c r="H117" s="9" t="s">
        <v>430</v>
      </c>
      <c r="I117" s="9">
        <v>4</v>
      </c>
    </row>
    <row r="118" spans="2:9">
      <c r="B118" s="16" t="str">
        <f t="shared" si="13"/>
        <v>0x7524</v>
      </c>
      <c r="C118" s="16" t="str">
        <f t="shared" si="14"/>
        <v>0x7527</v>
      </c>
      <c r="D118" s="9">
        <f t="shared" si="15"/>
        <v>29988</v>
      </c>
      <c r="E118" s="9">
        <f t="shared" si="16"/>
        <v>29991</v>
      </c>
      <c r="F118" s="9" t="s">
        <v>2047</v>
      </c>
      <c r="G118" s="9" t="s">
        <v>802</v>
      </c>
      <c r="H118" s="9" t="s">
        <v>430</v>
      </c>
      <c r="I118" s="9">
        <v>4</v>
      </c>
    </row>
    <row r="119" spans="2:9">
      <c r="B119" s="16" t="str">
        <f t="shared" si="13"/>
        <v>0x7528</v>
      </c>
      <c r="C119" s="16" t="str">
        <f t="shared" si="14"/>
        <v>0x752B</v>
      </c>
      <c r="D119" s="9">
        <f t="shared" si="15"/>
        <v>29992</v>
      </c>
      <c r="E119" s="9">
        <f t="shared" si="16"/>
        <v>29995</v>
      </c>
      <c r="F119" s="9" t="s">
        <v>2048</v>
      </c>
      <c r="G119" s="9" t="s">
        <v>802</v>
      </c>
      <c r="H119" s="9" t="s">
        <v>430</v>
      </c>
      <c r="I119" s="9">
        <v>4</v>
      </c>
    </row>
    <row r="120" spans="2:9">
      <c r="B120" s="16" t="str">
        <f t="shared" si="13"/>
        <v>0x752C</v>
      </c>
      <c r="C120" s="16" t="str">
        <f t="shared" si="14"/>
        <v>0x752F</v>
      </c>
      <c r="D120" s="9">
        <f t="shared" si="15"/>
        <v>29996</v>
      </c>
      <c r="E120" s="9">
        <f t="shared" si="16"/>
        <v>29999</v>
      </c>
      <c r="F120" s="9" t="s">
        <v>2049</v>
      </c>
      <c r="G120" s="9" t="s">
        <v>802</v>
      </c>
      <c r="H120" s="9" t="s">
        <v>430</v>
      </c>
      <c r="I120" s="9">
        <v>4</v>
      </c>
    </row>
    <row r="121" spans="2:9">
      <c r="B121" s="16" t="str">
        <f t="shared" si="13"/>
        <v>0x7530</v>
      </c>
      <c r="C121" s="16" t="str">
        <f t="shared" si="14"/>
        <v>0x7533</v>
      </c>
      <c r="D121" s="9">
        <f t="shared" si="15"/>
        <v>30000</v>
      </c>
      <c r="E121" s="9">
        <f t="shared" si="16"/>
        <v>30003</v>
      </c>
      <c r="F121" s="9" t="s">
        <v>2050</v>
      </c>
      <c r="G121" s="9" t="s">
        <v>802</v>
      </c>
      <c r="H121" s="9" t="s">
        <v>430</v>
      </c>
      <c r="I121" s="9">
        <v>4</v>
      </c>
    </row>
    <row r="122" spans="2:9">
      <c r="B122" s="16" t="str">
        <f t="shared" si="13"/>
        <v>0x7534</v>
      </c>
      <c r="C122" s="16" t="str">
        <f t="shared" si="14"/>
        <v>0x7537</v>
      </c>
      <c r="D122" s="9">
        <f t="shared" si="15"/>
        <v>30004</v>
      </c>
      <c r="E122" s="9">
        <f t="shared" si="16"/>
        <v>30007</v>
      </c>
      <c r="F122" s="9" t="s">
        <v>2051</v>
      </c>
      <c r="G122" s="9" t="s">
        <v>802</v>
      </c>
      <c r="H122" s="9" t="s">
        <v>430</v>
      </c>
      <c r="I122" s="9">
        <v>4</v>
      </c>
    </row>
    <row r="123" spans="2:9">
      <c r="B123" s="16" t="str">
        <f t="shared" si="13"/>
        <v>0x7538</v>
      </c>
      <c r="C123" s="16" t="str">
        <f t="shared" si="14"/>
        <v>0x753B</v>
      </c>
      <c r="D123" s="9">
        <f t="shared" si="15"/>
        <v>30008</v>
      </c>
      <c r="E123" s="9">
        <f t="shared" si="16"/>
        <v>30011</v>
      </c>
      <c r="F123" s="9" t="s">
        <v>2052</v>
      </c>
      <c r="G123" s="9" t="s">
        <v>802</v>
      </c>
      <c r="H123" s="9" t="s">
        <v>430</v>
      </c>
      <c r="I123" s="9">
        <v>4</v>
      </c>
    </row>
    <row r="124" spans="2:9">
      <c r="B124" s="16" t="str">
        <f t="shared" si="13"/>
        <v>0x753C</v>
      </c>
      <c r="C124" s="16" t="str">
        <f t="shared" si="14"/>
        <v>0x753F</v>
      </c>
      <c r="D124" s="9">
        <f t="shared" si="15"/>
        <v>30012</v>
      </c>
      <c r="E124" s="9">
        <f t="shared" si="16"/>
        <v>30015</v>
      </c>
      <c r="F124" s="9" t="s">
        <v>2053</v>
      </c>
      <c r="G124" s="9" t="s">
        <v>802</v>
      </c>
      <c r="H124" s="9" t="s">
        <v>430</v>
      </c>
      <c r="I124" s="9">
        <v>4</v>
      </c>
    </row>
    <row r="125" spans="2:9">
      <c r="B125" s="16" t="str">
        <f t="shared" si="13"/>
        <v>0x7540</v>
      </c>
      <c r="C125" s="16" t="str">
        <f t="shared" si="14"/>
        <v>0x7543</v>
      </c>
      <c r="D125" s="9">
        <f t="shared" si="15"/>
        <v>30016</v>
      </c>
      <c r="E125" s="9">
        <f t="shared" si="16"/>
        <v>30019</v>
      </c>
      <c r="F125" s="9" t="s">
        <v>2054</v>
      </c>
      <c r="G125" s="9" t="s">
        <v>802</v>
      </c>
      <c r="H125" s="9" t="s">
        <v>430</v>
      </c>
      <c r="I125" s="9">
        <v>4</v>
      </c>
    </row>
    <row r="126" spans="2:9">
      <c r="B126" s="16" t="str">
        <f t="shared" si="13"/>
        <v>0x7544</v>
      </c>
      <c r="C126" s="16" t="str">
        <f t="shared" si="14"/>
        <v>0x7547</v>
      </c>
      <c r="D126" s="9">
        <f t="shared" si="15"/>
        <v>30020</v>
      </c>
      <c r="E126" s="9">
        <f t="shared" si="16"/>
        <v>30023</v>
      </c>
      <c r="F126" s="9" t="s">
        <v>2055</v>
      </c>
      <c r="G126" s="9" t="s">
        <v>802</v>
      </c>
      <c r="H126" s="9" t="s">
        <v>430</v>
      </c>
      <c r="I126" s="9">
        <v>4</v>
      </c>
    </row>
    <row r="127" spans="2:9">
      <c r="B127" s="16" t="str">
        <f t="shared" si="13"/>
        <v>0x7548</v>
      </c>
      <c r="C127" s="16" t="str">
        <f t="shared" si="14"/>
        <v>0x754B</v>
      </c>
      <c r="D127" s="9">
        <f t="shared" si="15"/>
        <v>30024</v>
      </c>
      <c r="E127" s="9">
        <f t="shared" si="16"/>
        <v>30027</v>
      </c>
      <c r="F127" s="9" t="s">
        <v>2056</v>
      </c>
      <c r="G127" s="9" t="s">
        <v>802</v>
      </c>
      <c r="H127" s="9" t="s">
        <v>430</v>
      </c>
      <c r="I127" s="9">
        <v>4</v>
      </c>
    </row>
    <row r="128" spans="2:9">
      <c r="B128" s="16" t="str">
        <f t="shared" si="13"/>
        <v>0x754C</v>
      </c>
      <c r="C128" s="16" t="str">
        <f t="shared" si="14"/>
        <v>0x754F</v>
      </c>
      <c r="D128" s="9">
        <f t="shared" si="15"/>
        <v>30028</v>
      </c>
      <c r="E128" s="9">
        <f t="shared" si="16"/>
        <v>30031</v>
      </c>
      <c r="F128" s="9" t="s">
        <v>2057</v>
      </c>
      <c r="G128" s="9" t="s">
        <v>802</v>
      </c>
      <c r="H128" s="9" t="s">
        <v>430</v>
      </c>
      <c r="I128" s="9">
        <v>4</v>
      </c>
    </row>
    <row r="129" spans="2:9">
      <c r="B129" s="16" t="str">
        <f t="shared" si="13"/>
        <v>0x7550</v>
      </c>
      <c r="C129" s="16" t="str">
        <f t="shared" si="14"/>
        <v>0x7553</v>
      </c>
      <c r="D129" s="9">
        <f t="shared" si="15"/>
        <v>30032</v>
      </c>
      <c r="E129" s="9">
        <f t="shared" si="16"/>
        <v>30035</v>
      </c>
      <c r="F129" s="9" t="s">
        <v>2058</v>
      </c>
      <c r="G129" s="9" t="s">
        <v>802</v>
      </c>
      <c r="H129" s="9" t="s">
        <v>430</v>
      </c>
      <c r="I129" s="9">
        <v>4</v>
      </c>
    </row>
    <row r="130" spans="2:9">
      <c r="B130" s="16" t="str">
        <f t="shared" si="13"/>
        <v>0x7554</v>
      </c>
      <c r="C130" s="16" t="str">
        <f t="shared" si="14"/>
        <v>0x7557</v>
      </c>
      <c r="D130" s="9">
        <f t="shared" si="15"/>
        <v>30036</v>
      </c>
      <c r="E130" s="9">
        <f t="shared" si="16"/>
        <v>30039</v>
      </c>
      <c r="F130" s="9" t="s">
        <v>2059</v>
      </c>
      <c r="G130" s="9" t="s">
        <v>802</v>
      </c>
      <c r="H130" s="9" t="s">
        <v>430</v>
      </c>
      <c r="I130" s="9">
        <v>4</v>
      </c>
    </row>
    <row r="131" spans="2:9">
      <c r="B131" s="16" t="str">
        <f t="shared" si="13"/>
        <v>0x7558</v>
      </c>
      <c r="C131" s="16" t="str">
        <f t="shared" si="14"/>
        <v>0x755B</v>
      </c>
      <c r="D131" s="9">
        <f t="shared" si="15"/>
        <v>30040</v>
      </c>
      <c r="E131" s="9">
        <f t="shared" si="16"/>
        <v>30043</v>
      </c>
      <c r="F131" s="9" t="s">
        <v>2060</v>
      </c>
      <c r="G131" s="9" t="s">
        <v>802</v>
      </c>
      <c r="H131" s="9" t="s">
        <v>430</v>
      </c>
      <c r="I131" s="9">
        <v>4</v>
      </c>
    </row>
    <row r="132" spans="2:9">
      <c r="B132" s="16" t="str">
        <f t="shared" si="13"/>
        <v>0x755C</v>
      </c>
      <c r="C132" s="16" t="str">
        <f t="shared" si="14"/>
        <v>0x755F</v>
      </c>
      <c r="D132" s="9">
        <f t="shared" si="15"/>
        <v>30044</v>
      </c>
      <c r="E132" s="9">
        <f t="shared" si="16"/>
        <v>30047</v>
      </c>
      <c r="F132" s="9" t="s">
        <v>2061</v>
      </c>
      <c r="G132" s="9" t="s">
        <v>802</v>
      </c>
      <c r="H132" s="9" t="s">
        <v>430</v>
      </c>
      <c r="I132" s="9">
        <v>4</v>
      </c>
    </row>
    <row r="133" spans="2:9">
      <c r="B133" s="16" t="str">
        <f t="shared" si="13"/>
        <v>0x7560</v>
      </c>
      <c r="C133" s="16" t="str">
        <f t="shared" si="14"/>
        <v>0x7563</v>
      </c>
      <c r="D133" s="9">
        <f t="shared" si="15"/>
        <v>30048</v>
      </c>
      <c r="E133" s="9">
        <f t="shared" si="16"/>
        <v>30051</v>
      </c>
      <c r="F133" s="9" t="s">
        <v>2062</v>
      </c>
      <c r="G133" s="9" t="s">
        <v>802</v>
      </c>
      <c r="H133" s="9" t="s">
        <v>430</v>
      </c>
      <c r="I133" s="9">
        <v>4</v>
      </c>
    </row>
    <row r="134" spans="2:9">
      <c r="B134" s="16" t="str">
        <f t="shared" si="13"/>
        <v>0x7564</v>
      </c>
      <c r="C134" s="16" t="str">
        <f t="shared" si="14"/>
        <v>0x7567</v>
      </c>
      <c r="D134" s="9">
        <f t="shared" si="15"/>
        <v>30052</v>
      </c>
      <c r="E134" s="9">
        <f t="shared" si="16"/>
        <v>30055</v>
      </c>
      <c r="F134" s="9" t="s">
        <v>2063</v>
      </c>
      <c r="G134" s="9" t="s">
        <v>802</v>
      </c>
      <c r="H134" s="9" t="s">
        <v>430</v>
      </c>
      <c r="I134" s="9">
        <v>4</v>
      </c>
    </row>
    <row r="135" spans="2:9">
      <c r="B135" s="16" t="str">
        <f t="shared" si="13"/>
        <v>0x7568</v>
      </c>
      <c r="C135" s="16" t="str">
        <f t="shared" si="14"/>
        <v>0x756B</v>
      </c>
      <c r="D135" s="9">
        <f t="shared" si="15"/>
        <v>30056</v>
      </c>
      <c r="E135" s="9">
        <f t="shared" si="16"/>
        <v>30059</v>
      </c>
      <c r="F135" s="9" t="s">
        <v>2064</v>
      </c>
      <c r="G135" s="9" t="s">
        <v>802</v>
      </c>
      <c r="H135" s="9" t="s">
        <v>430</v>
      </c>
      <c r="I135" s="9">
        <v>4</v>
      </c>
    </row>
    <row r="136" spans="2:9">
      <c r="B136" s="16" t="str">
        <f t="shared" si="13"/>
        <v>0x756C</v>
      </c>
      <c r="C136" s="16" t="str">
        <f t="shared" si="14"/>
        <v>0x756F</v>
      </c>
      <c r="D136" s="9">
        <f t="shared" si="15"/>
        <v>30060</v>
      </c>
      <c r="E136" s="9">
        <f t="shared" si="16"/>
        <v>30063</v>
      </c>
      <c r="F136" s="9" t="s">
        <v>2065</v>
      </c>
      <c r="G136" s="9" t="s">
        <v>802</v>
      </c>
      <c r="H136" s="9" t="s">
        <v>430</v>
      </c>
      <c r="I136" s="9">
        <v>4</v>
      </c>
    </row>
    <row r="137" spans="2:9">
      <c r="B137" s="16" t="str">
        <f t="shared" si="13"/>
        <v>0x7570</v>
      </c>
      <c r="C137" s="16" t="str">
        <f t="shared" si="14"/>
        <v>0x7573</v>
      </c>
      <c r="D137" s="9">
        <f t="shared" si="15"/>
        <v>30064</v>
      </c>
      <c r="E137" s="9">
        <f t="shared" si="16"/>
        <v>30067</v>
      </c>
      <c r="F137" s="9" t="s">
        <v>2066</v>
      </c>
      <c r="G137" s="9" t="s">
        <v>802</v>
      </c>
      <c r="H137" s="9" t="s">
        <v>430</v>
      </c>
      <c r="I137" s="9">
        <v>4</v>
      </c>
    </row>
    <row r="138" spans="2:9">
      <c r="B138" s="16" t="str">
        <f t="shared" si="13"/>
        <v>0x7574</v>
      </c>
      <c r="C138" s="16" t="str">
        <f t="shared" si="14"/>
        <v>0x7577</v>
      </c>
      <c r="D138" s="9">
        <f t="shared" si="15"/>
        <v>30068</v>
      </c>
      <c r="E138" s="9">
        <f t="shared" si="16"/>
        <v>30071</v>
      </c>
      <c r="F138" s="9" t="s">
        <v>2067</v>
      </c>
      <c r="G138" s="9" t="s">
        <v>802</v>
      </c>
      <c r="H138" s="9" t="s">
        <v>430</v>
      </c>
      <c r="I138" s="9">
        <v>4</v>
      </c>
    </row>
    <row r="139" spans="2:9">
      <c r="B139" s="16" t="str">
        <f t="shared" si="13"/>
        <v>0x7578</v>
      </c>
      <c r="C139" s="16" t="str">
        <f t="shared" si="14"/>
        <v>0x757B</v>
      </c>
      <c r="D139" s="9">
        <f t="shared" si="15"/>
        <v>30072</v>
      </c>
      <c r="E139" s="9">
        <f t="shared" si="16"/>
        <v>30075</v>
      </c>
      <c r="F139" s="9" t="s">
        <v>2068</v>
      </c>
      <c r="G139" s="9" t="s">
        <v>802</v>
      </c>
      <c r="H139" s="9" t="s">
        <v>430</v>
      </c>
      <c r="I139" s="9">
        <v>4</v>
      </c>
    </row>
    <row r="140" spans="2:9">
      <c r="B140" s="16" t="str">
        <f t="shared" si="13"/>
        <v>0x757C</v>
      </c>
      <c r="C140" s="16" t="str">
        <f t="shared" si="14"/>
        <v>0x757F</v>
      </c>
      <c r="D140" s="9">
        <f t="shared" si="15"/>
        <v>30076</v>
      </c>
      <c r="E140" s="9">
        <f t="shared" si="16"/>
        <v>30079</v>
      </c>
      <c r="F140" s="9" t="s">
        <v>2069</v>
      </c>
      <c r="G140" s="9" t="s">
        <v>802</v>
      </c>
      <c r="H140" s="9" t="s">
        <v>430</v>
      </c>
      <c r="I140" s="9">
        <v>4</v>
      </c>
    </row>
    <row r="141" spans="2:9">
      <c r="B141" s="16" t="str">
        <f t="shared" si="13"/>
        <v>0x7580</v>
      </c>
      <c r="C141" s="16" t="str">
        <f t="shared" si="14"/>
        <v>0x7583</v>
      </c>
      <c r="D141" s="9">
        <f t="shared" si="15"/>
        <v>30080</v>
      </c>
      <c r="E141" s="9">
        <f t="shared" si="16"/>
        <v>30083</v>
      </c>
      <c r="F141" s="9" t="s">
        <v>2070</v>
      </c>
      <c r="G141" s="9" t="s">
        <v>802</v>
      </c>
      <c r="H141" s="9" t="s">
        <v>430</v>
      </c>
      <c r="I141" s="9">
        <v>4</v>
      </c>
    </row>
    <row r="142" spans="2:9">
      <c r="B142" s="16" t="str">
        <f t="shared" si="13"/>
        <v>0x7584</v>
      </c>
      <c r="C142" s="16" t="str">
        <f t="shared" si="14"/>
        <v>0x7587</v>
      </c>
      <c r="D142" s="9">
        <f t="shared" si="15"/>
        <v>30084</v>
      </c>
      <c r="E142" s="9">
        <f t="shared" si="16"/>
        <v>30087</v>
      </c>
      <c r="F142" s="9" t="s">
        <v>2071</v>
      </c>
      <c r="G142" s="9" t="s">
        <v>802</v>
      </c>
      <c r="H142" s="9" t="s">
        <v>430</v>
      </c>
      <c r="I142" s="9">
        <v>4</v>
      </c>
    </row>
    <row r="143" spans="2:9">
      <c r="B143" s="16" t="str">
        <f t="shared" si="13"/>
        <v>0x7588</v>
      </c>
      <c r="C143" s="16" t="str">
        <f t="shared" si="14"/>
        <v>0x758B</v>
      </c>
      <c r="D143" s="9">
        <f t="shared" si="15"/>
        <v>30088</v>
      </c>
      <c r="E143" s="9">
        <f t="shared" si="16"/>
        <v>30091</v>
      </c>
      <c r="F143" s="9" t="s">
        <v>2072</v>
      </c>
      <c r="G143" s="9" t="s">
        <v>802</v>
      </c>
      <c r="H143" s="9" t="s">
        <v>430</v>
      </c>
      <c r="I143" s="9">
        <v>4</v>
      </c>
    </row>
    <row r="144" spans="2:9">
      <c r="B144" s="16" t="str">
        <f t="shared" si="13"/>
        <v>0x758C</v>
      </c>
      <c r="C144" s="16" t="str">
        <f t="shared" si="14"/>
        <v>0x758F</v>
      </c>
      <c r="D144" s="9">
        <f t="shared" si="15"/>
        <v>30092</v>
      </c>
      <c r="E144" s="9">
        <f t="shared" si="16"/>
        <v>30095</v>
      </c>
      <c r="F144" s="9" t="s">
        <v>2073</v>
      </c>
      <c r="G144" s="9" t="s">
        <v>802</v>
      </c>
      <c r="H144" s="9" t="s">
        <v>430</v>
      </c>
      <c r="I144" s="9">
        <v>4</v>
      </c>
    </row>
    <row r="145" spans="1:9">
      <c r="B145" s="16" t="str">
        <f t="shared" si="13"/>
        <v>0x7590</v>
      </c>
      <c r="C145" s="16" t="str">
        <f t="shared" si="14"/>
        <v>0x7593</v>
      </c>
      <c r="D145" s="9">
        <f t="shared" si="15"/>
        <v>30096</v>
      </c>
      <c r="E145" s="9">
        <f t="shared" si="16"/>
        <v>30099</v>
      </c>
      <c r="F145" s="9" t="s">
        <v>2074</v>
      </c>
      <c r="G145" s="9" t="s">
        <v>802</v>
      </c>
      <c r="H145" s="9" t="s">
        <v>430</v>
      </c>
      <c r="I145" s="9">
        <v>4</v>
      </c>
    </row>
    <row r="146" spans="1:9">
      <c r="B146" s="16" t="str">
        <f t="shared" si="13"/>
        <v>0x7594</v>
      </c>
      <c r="C146" s="16" t="str">
        <f t="shared" si="14"/>
        <v>0x7597</v>
      </c>
      <c r="D146" s="9">
        <f t="shared" si="15"/>
        <v>30100</v>
      </c>
      <c r="E146" s="9">
        <f t="shared" si="16"/>
        <v>30103</v>
      </c>
      <c r="F146" s="9" t="s">
        <v>2075</v>
      </c>
      <c r="G146" s="9" t="s">
        <v>802</v>
      </c>
      <c r="H146" s="9" t="s">
        <v>430</v>
      </c>
      <c r="I146" s="9">
        <v>4</v>
      </c>
    </row>
    <row r="147" spans="1:9">
      <c r="B147" s="16" t="str">
        <f t="shared" si="13"/>
        <v>0x7598</v>
      </c>
      <c r="C147" s="16" t="str">
        <f t="shared" si="14"/>
        <v>0x759B</v>
      </c>
      <c r="D147" s="9">
        <f t="shared" si="15"/>
        <v>30104</v>
      </c>
      <c r="E147" s="9">
        <f t="shared" si="16"/>
        <v>30107</v>
      </c>
      <c r="F147" s="9" t="s">
        <v>2076</v>
      </c>
      <c r="G147" s="9" t="s">
        <v>802</v>
      </c>
      <c r="H147" s="9" t="s">
        <v>430</v>
      </c>
      <c r="I147" s="9">
        <v>4</v>
      </c>
    </row>
    <row r="148" spans="1:9">
      <c r="B148" s="16" t="str">
        <f t="shared" si="13"/>
        <v>0x759C</v>
      </c>
      <c r="C148" s="16" t="str">
        <f t="shared" si="14"/>
        <v>0x759F</v>
      </c>
      <c r="D148" s="9">
        <f t="shared" si="15"/>
        <v>30108</v>
      </c>
      <c r="E148" s="9">
        <f t="shared" si="16"/>
        <v>30111</v>
      </c>
      <c r="F148" s="9" t="s">
        <v>2077</v>
      </c>
      <c r="G148" s="9" t="s">
        <v>802</v>
      </c>
      <c r="H148" s="9" t="s">
        <v>430</v>
      </c>
      <c r="I148" s="9">
        <v>4</v>
      </c>
    </row>
    <row r="149" spans="1:9">
      <c r="B149" s="16"/>
      <c r="C149" s="16"/>
    </row>
    <row r="150" spans="1:9">
      <c r="A150" s="8" t="s">
        <v>2078</v>
      </c>
    </row>
    <row r="151" spans="1:9" ht="51">
      <c r="B151" s="16" t="str">
        <f t="shared" ref="B151:B190" si="17">"0x"&amp;DEC2HEX(D151,4)</f>
        <v>0x7600</v>
      </c>
      <c r="C151" s="16" t="str">
        <f t="shared" ref="C151:C190" si="18">"0x"&amp;DEC2HEX(E151,4)</f>
        <v>0x7603</v>
      </c>
      <c r="D151" s="9">
        <v>30208</v>
      </c>
      <c r="E151" s="9">
        <f>D151+I151-1</f>
        <v>30211</v>
      </c>
      <c r="F151" s="7" t="s">
        <v>2038</v>
      </c>
      <c r="G151" s="9" t="s">
        <v>802</v>
      </c>
      <c r="H151" s="9" t="s">
        <v>430</v>
      </c>
      <c r="I151" s="9">
        <v>4</v>
      </c>
    </row>
    <row r="152" spans="1:9">
      <c r="B152" s="16" t="str">
        <f t="shared" si="17"/>
        <v>0x7604</v>
      </c>
      <c r="C152" s="16" t="str">
        <f t="shared" si="18"/>
        <v>0x7607</v>
      </c>
      <c r="D152" s="9">
        <f>D151+I151</f>
        <v>30212</v>
      </c>
      <c r="E152" s="9">
        <f t="shared" ref="E152:E190" si="19">D152+I152-1</f>
        <v>30215</v>
      </c>
      <c r="F152" s="9" t="s">
        <v>2039</v>
      </c>
      <c r="G152" s="9" t="s">
        <v>802</v>
      </c>
      <c r="H152" s="9" t="s">
        <v>430</v>
      </c>
      <c r="I152" s="9">
        <v>4</v>
      </c>
    </row>
    <row r="153" spans="1:9">
      <c r="B153" s="16" t="str">
        <f t="shared" si="17"/>
        <v>0x7608</v>
      </c>
      <c r="C153" s="16" t="str">
        <f t="shared" si="18"/>
        <v>0x760B</v>
      </c>
      <c r="D153" s="9">
        <f t="shared" ref="D153:D190" si="20">D152+I152</f>
        <v>30216</v>
      </c>
      <c r="E153" s="9">
        <f t="shared" si="19"/>
        <v>30219</v>
      </c>
      <c r="F153" s="9" t="s">
        <v>2040</v>
      </c>
      <c r="G153" s="9" t="s">
        <v>802</v>
      </c>
      <c r="H153" s="9" t="s">
        <v>430</v>
      </c>
      <c r="I153" s="9">
        <v>4</v>
      </c>
    </row>
    <row r="154" spans="1:9">
      <c r="B154" s="16" t="str">
        <f t="shared" si="17"/>
        <v>0x760C</v>
      </c>
      <c r="C154" s="16" t="str">
        <f t="shared" si="18"/>
        <v>0x760F</v>
      </c>
      <c r="D154" s="9">
        <f t="shared" si="20"/>
        <v>30220</v>
      </c>
      <c r="E154" s="9">
        <f t="shared" si="19"/>
        <v>30223</v>
      </c>
      <c r="F154" s="9" t="s">
        <v>2041</v>
      </c>
      <c r="G154" s="9" t="s">
        <v>802</v>
      </c>
      <c r="H154" s="9" t="s">
        <v>430</v>
      </c>
      <c r="I154" s="9">
        <v>4</v>
      </c>
    </row>
    <row r="155" spans="1:9">
      <c r="B155" s="16" t="str">
        <f t="shared" si="17"/>
        <v>0x7610</v>
      </c>
      <c r="C155" s="16" t="str">
        <f t="shared" si="18"/>
        <v>0x7613</v>
      </c>
      <c r="D155" s="9">
        <f t="shared" si="20"/>
        <v>30224</v>
      </c>
      <c r="E155" s="9">
        <f t="shared" si="19"/>
        <v>30227</v>
      </c>
      <c r="F155" s="9" t="s">
        <v>2042</v>
      </c>
      <c r="G155" s="9" t="s">
        <v>802</v>
      </c>
      <c r="H155" s="9" t="s">
        <v>430</v>
      </c>
      <c r="I155" s="9">
        <v>4</v>
      </c>
    </row>
    <row r="156" spans="1:9">
      <c r="B156" s="16" t="str">
        <f t="shared" si="17"/>
        <v>0x7614</v>
      </c>
      <c r="C156" s="16" t="str">
        <f t="shared" si="18"/>
        <v>0x7617</v>
      </c>
      <c r="D156" s="9">
        <f t="shared" si="20"/>
        <v>30228</v>
      </c>
      <c r="E156" s="9">
        <f t="shared" si="19"/>
        <v>30231</v>
      </c>
      <c r="F156" s="9" t="s">
        <v>2043</v>
      </c>
      <c r="G156" s="9" t="s">
        <v>802</v>
      </c>
      <c r="H156" s="9" t="s">
        <v>430</v>
      </c>
      <c r="I156" s="9">
        <v>4</v>
      </c>
    </row>
    <row r="157" spans="1:9">
      <c r="B157" s="16" t="str">
        <f t="shared" si="17"/>
        <v>0x7618</v>
      </c>
      <c r="C157" s="16" t="str">
        <f t="shared" si="18"/>
        <v>0x761B</v>
      </c>
      <c r="D157" s="9">
        <f t="shared" si="20"/>
        <v>30232</v>
      </c>
      <c r="E157" s="9">
        <f t="shared" si="19"/>
        <v>30235</v>
      </c>
      <c r="F157" s="9" t="s">
        <v>2044</v>
      </c>
      <c r="G157" s="9" t="s">
        <v>802</v>
      </c>
      <c r="H157" s="9" t="s">
        <v>430</v>
      </c>
      <c r="I157" s="9">
        <v>4</v>
      </c>
    </row>
    <row r="158" spans="1:9">
      <c r="B158" s="16" t="str">
        <f t="shared" si="17"/>
        <v>0x761C</v>
      </c>
      <c r="C158" s="16" t="str">
        <f t="shared" si="18"/>
        <v>0x761F</v>
      </c>
      <c r="D158" s="9">
        <f t="shared" si="20"/>
        <v>30236</v>
      </c>
      <c r="E158" s="9">
        <f t="shared" si="19"/>
        <v>30239</v>
      </c>
      <c r="F158" s="9" t="s">
        <v>2045</v>
      </c>
      <c r="G158" s="9" t="s">
        <v>802</v>
      </c>
      <c r="H158" s="9" t="s">
        <v>430</v>
      </c>
      <c r="I158" s="9">
        <v>4</v>
      </c>
    </row>
    <row r="159" spans="1:9">
      <c r="B159" s="16" t="str">
        <f t="shared" si="17"/>
        <v>0x7620</v>
      </c>
      <c r="C159" s="16" t="str">
        <f t="shared" si="18"/>
        <v>0x7623</v>
      </c>
      <c r="D159" s="9">
        <f t="shared" si="20"/>
        <v>30240</v>
      </c>
      <c r="E159" s="9">
        <f t="shared" si="19"/>
        <v>30243</v>
      </c>
      <c r="F159" s="9" t="s">
        <v>2046</v>
      </c>
      <c r="G159" s="9" t="s">
        <v>802</v>
      </c>
      <c r="H159" s="9" t="s">
        <v>430</v>
      </c>
      <c r="I159" s="9">
        <v>4</v>
      </c>
    </row>
    <row r="160" spans="1:9">
      <c r="B160" s="16" t="str">
        <f t="shared" si="17"/>
        <v>0x7624</v>
      </c>
      <c r="C160" s="16" t="str">
        <f t="shared" si="18"/>
        <v>0x7627</v>
      </c>
      <c r="D160" s="9">
        <f t="shared" si="20"/>
        <v>30244</v>
      </c>
      <c r="E160" s="9">
        <f t="shared" si="19"/>
        <v>30247</v>
      </c>
      <c r="F160" s="9" t="s">
        <v>2047</v>
      </c>
      <c r="G160" s="9" t="s">
        <v>802</v>
      </c>
      <c r="H160" s="9" t="s">
        <v>430</v>
      </c>
      <c r="I160" s="9">
        <v>4</v>
      </c>
    </row>
    <row r="161" spans="2:9">
      <c r="B161" s="16" t="str">
        <f t="shared" si="17"/>
        <v>0x7628</v>
      </c>
      <c r="C161" s="16" t="str">
        <f t="shared" si="18"/>
        <v>0x762B</v>
      </c>
      <c r="D161" s="9">
        <f t="shared" si="20"/>
        <v>30248</v>
      </c>
      <c r="E161" s="9">
        <f t="shared" si="19"/>
        <v>30251</v>
      </c>
      <c r="F161" s="9" t="s">
        <v>2048</v>
      </c>
      <c r="G161" s="9" t="s">
        <v>802</v>
      </c>
      <c r="H161" s="9" t="s">
        <v>430</v>
      </c>
      <c r="I161" s="9">
        <v>4</v>
      </c>
    </row>
    <row r="162" spans="2:9">
      <c r="B162" s="16" t="str">
        <f t="shared" si="17"/>
        <v>0x762C</v>
      </c>
      <c r="C162" s="16" t="str">
        <f t="shared" si="18"/>
        <v>0x762F</v>
      </c>
      <c r="D162" s="9">
        <f t="shared" si="20"/>
        <v>30252</v>
      </c>
      <c r="E162" s="9">
        <f t="shared" si="19"/>
        <v>30255</v>
      </c>
      <c r="F162" s="9" t="s">
        <v>2049</v>
      </c>
      <c r="G162" s="9" t="s">
        <v>802</v>
      </c>
      <c r="H162" s="9" t="s">
        <v>430</v>
      </c>
      <c r="I162" s="9">
        <v>4</v>
      </c>
    </row>
    <row r="163" spans="2:9">
      <c r="B163" s="16" t="str">
        <f t="shared" si="17"/>
        <v>0x7630</v>
      </c>
      <c r="C163" s="16" t="str">
        <f t="shared" si="18"/>
        <v>0x7633</v>
      </c>
      <c r="D163" s="9">
        <f t="shared" si="20"/>
        <v>30256</v>
      </c>
      <c r="E163" s="9">
        <f t="shared" si="19"/>
        <v>30259</v>
      </c>
      <c r="F163" s="9" t="s">
        <v>2050</v>
      </c>
      <c r="G163" s="9" t="s">
        <v>802</v>
      </c>
      <c r="H163" s="9" t="s">
        <v>430</v>
      </c>
      <c r="I163" s="9">
        <v>4</v>
      </c>
    </row>
    <row r="164" spans="2:9">
      <c r="B164" s="16" t="str">
        <f t="shared" si="17"/>
        <v>0x7634</v>
      </c>
      <c r="C164" s="16" t="str">
        <f t="shared" si="18"/>
        <v>0x7637</v>
      </c>
      <c r="D164" s="9">
        <f t="shared" si="20"/>
        <v>30260</v>
      </c>
      <c r="E164" s="9">
        <f t="shared" si="19"/>
        <v>30263</v>
      </c>
      <c r="F164" s="9" t="s">
        <v>2051</v>
      </c>
      <c r="G164" s="9" t="s">
        <v>802</v>
      </c>
      <c r="H164" s="9" t="s">
        <v>430</v>
      </c>
      <c r="I164" s="9">
        <v>4</v>
      </c>
    </row>
    <row r="165" spans="2:9">
      <c r="B165" s="16" t="str">
        <f t="shared" si="17"/>
        <v>0x7638</v>
      </c>
      <c r="C165" s="16" t="str">
        <f t="shared" si="18"/>
        <v>0x763B</v>
      </c>
      <c r="D165" s="9">
        <f t="shared" si="20"/>
        <v>30264</v>
      </c>
      <c r="E165" s="9">
        <f t="shared" si="19"/>
        <v>30267</v>
      </c>
      <c r="F165" s="9" t="s">
        <v>2052</v>
      </c>
      <c r="G165" s="9" t="s">
        <v>802</v>
      </c>
      <c r="H165" s="9" t="s">
        <v>430</v>
      </c>
      <c r="I165" s="9">
        <v>4</v>
      </c>
    </row>
    <row r="166" spans="2:9">
      <c r="B166" s="16" t="str">
        <f t="shared" si="17"/>
        <v>0x763C</v>
      </c>
      <c r="C166" s="16" t="str">
        <f t="shared" si="18"/>
        <v>0x763F</v>
      </c>
      <c r="D166" s="9">
        <f t="shared" si="20"/>
        <v>30268</v>
      </c>
      <c r="E166" s="9">
        <f t="shared" si="19"/>
        <v>30271</v>
      </c>
      <c r="F166" s="9" t="s">
        <v>2053</v>
      </c>
      <c r="G166" s="9" t="s">
        <v>802</v>
      </c>
      <c r="H166" s="9" t="s">
        <v>430</v>
      </c>
      <c r="I166" s="9">
        <v>4</v>
      </c>
    </row>
    <row r="167" spans="2:9">
      <c r="B167" s="16" t="str">
        <f t="shared" si="17"/>
        <v>0x7640</v>
      </c>
      <c r="C167" s="16" t="str">
        <f t="shared" si="18"/>
        <v>0x7643</v>
      </c>
      <c r="D167" s="9">
        <f t="shared" si="20"/>
        <v>30272</v>
      </c>
      <c r="E167" s="9">
        <f t="shared" si="19"/>
        <v>30275</v>
      </c>
      <c r="F167" s="9" t="s">
        <v>2054</v>
      </c>
      <c r="G167" s="9" t="s">
        <v>802</v>
      </c>
      <c r="H167" s="9" t="s">
        <v>430</v>
      </c>
      <c r="I167" s="9">
        <v>4</v>
      </c>
    </row>
    <row r="168" spans="2:9">
      <c r="B168" s="16" t="str">
        <f t="shared" si="17"/>
        <v>0x7644</v>
      </c>
      <c r="C168" s="16" t="str">
        <f t="shared" si="18"/>
        <v>0x7647</v>
      </c>
      <c r="D168" s="9">
        <f t="shared" si="20"/>
        <v>30276</v>
      </c>
      <c r="E168" s="9">
        <f t="shared" si="19"/>
        <v>30279</v>
      </c>
      <c r="F168" s="9" t="s">
        <v>2055</v>
      </c>
      <c r="G168" s="9" t="s">
        <v>802</v>
      </c>
      <c r="H168" s="9" t="s">
        <v>430</v>
      </c>
      <c r="I168" s="9">
        <v>4</v>
      </c>
    </row>
    <row r="169" spans="2:9">
      <c r="B169" s="16" t="str">
        <f t="shared" si="17"/>
        <v>0x7648</v>
      </c>
      <c r="C169" s="16" t="str">
        <f t="shared" si="18"/>
        <v>0x764B</v>
      </c>
      <c r="D169" s="9">
        <f t="shared" si="20"/>
        <v>30280</v>
      </c>
      <c r="E169" s="9">
        <f t="shared" si="19"/>
        <v>30283</v>
      </c>
      <c r="F169" s="9" t="s">
        <v>2056</v>
      </c>
      <c r="G169" s="9" t="s">
        <v>802</v>
      </c>
      <c r="H169" s="9" t="s">
        <v>430</v>
      </c>
      <c r="I169" s="9">
        <v>4</v>
      </c>
    </row>
    <row r="170" spans="2:9">
      <c r="B170" s="16" t="str">
        <f t="shared" si="17"/>
        <v>0x764C</v>
      </c>
      <c r="C170" s="16" t="str">
        <f t="shared" si="18"/>
        <v>0x764F</v>
      </c>
      <c r="D170" s="9">
        <f t="shared" si="20"/>
        <v>30284</v>
      </c>
      <c r="E170" s="9">
        <f t="shared" si="19"/>
        <v>30287</v>
      </c>
      <c r="F170" s="9" t="s">
        <v>2057</v>
      </c>
      <c r="G170" s="9" t="s">
        <v>802</v>
      </c>
      <c r="H170" s="9" t="s">
        <v>430</v>
      </c>
      <c r="I170" s="9">
        <v>4</v>
      </c>
    </row>
    <row r="171" spans="2:9">
      <c r="B171" s="16" t="str">
        <f t="shared" si="17"/>
        <v>0x7650</v>
      </c>
      <c r="C171" s="16" t="str">
        <f t="shared" si="18"/>
        <v>0x7653</v>
      </c>
      <c r="D171" s="9">
        <f t="shared" si="20"/>
        <v>30288</v>
      </c>
      <c r="E171" s="9">
        <f t="shared" si="19"/>
        <v>30291</v>
      </c>
      <c r="F171" s="9" t="s">
        <v>2058</v>
      </c>
      <c r="G171" s="9" t="s">
        <v>802</v>
      </c>
      <c r="H171" s="9" t="s">
        <v>430</v>
      </c>
      <c r="I171" s="9">
        <v>4</v>
      </c>
    </row>
    <row r="172" spans="2:9">
      <c r="B172" s="16" t="str">
        <f t="shared" si="17"/>
        <v>0x7654</v>
      </c>
      <c r="C172" s="16" t="str">
        <f t="shared" si="18"/>
        <v>0x7657</v>
      </c>
      <c r="D172" s="9">
        <f t="shared" si="20"/>
        <v>30292</v>
      </c>
      <c r="E172" s="9">
        <f t="shared" si="19"/>
        <v>30295</v>
      </c>
      <c r="F172" s="9" t="s">
        <v>2059</v>
      </c>
      <c r="G172" s="9" t="s">
        <v>802</v>
      </c>
      <c r="H172" s="9" t="s">
        <v>430</v>
      </c>
      <c r="I172" s="9">
        <v>4</v>
      </c>
    </row>
    <row r="173" spans="2:9">
      <c r="B173" s="16" t="str">
        <f t="shared" si="17"/>
        <v>0x7658</v>
      </c>
      <c r="C173" s="16" t="str">
        <f t="shared" si="18"/>
        <v>0x765B</v>
      </c>
      <c r="D173" s="9">
        <f t="shared" si="20"/>
        <v>30296</v>
      </c>
      <c r="E173" s="9">
        <f t="shared" si="19"/>
        <v>30299</v>
      </c>
      <c r="F173" s="9" t="s">
        <v>2060</v>
      </c>
      <c r="G173" s="9" t="s">
        <v>802</v>
      </c>
      <c r="H173" s="9" t="s">
        <v>430</v>
      </c>
      <c r="I173" s="9">
        <v>4</v>
      </c>
    </row>
    <row r="174" spans="2:9">
      <c r="B174" s="16" t="str">
        <f t="shared" si="17"/>
        <v>0x765C</v>
      </c>
      <c r="C174" s="16" t="str">
        <f t="shared" si="18"/>
        <v>0x765F</v>
      </c>
      <c r="D174" s="9">
        <f t="shared" si="20"/>
        <v>30300</v>
      </c>
      <c r="E174" s="9">
        <f t="shared" si="19"/>
        <v>30303</v>
      </c>
      <c r="F174" s="9" t="s">
        <v>2061</v>
      </c>
      <c r="G174" s="9" t="s">
        <v>802</v>
      </c>
      <c r="H174" s="9" t="s">
        <v>430</v>
      </c>
      <c r="I174" s="9">
        <v>4</v>
      </c>
    </row>
    <row r="175" spans="2:9">
      <c r="B175" s="16" t="str">
        <f t="shared" si="17"/>
        <v>0x7660</v>
      </c>
      <c r="C175" s="16" t="str">
        <f t="shared" si="18"/>
        <v>0x7663</v>
      </c>
      <c r="D175" s="9">
        <f t="shared" si="20"/>
        <v>30304</v>
      </c>
      <c r="E175" s="9">
        <f t="shared" si="19"/>
        <v>30307</v>
      </c>
      <c r="F175" s="9" t="s">
        <v>2062</v>
      </c>
      <c r="G175" s="9" t="s">
        <v>802</v>
      </c>
      <c r="H175" s="9" t="s">
        <v>430</v>
      </c>
      <c r="I175" s="9">
        <v>4</v>
      </c>
    </row>
    <row r="176" spans="2:9">
      <c r="B176" s="16" t="str">
        <f t="shared" si="17"/>
        <v>0x7664</v>
      </c>
      <c r="C176" s="16" t="str">
        <f t="shared" si="18"/>
        <v>0x7667</v>
      </c>
      <c r="D176" s="9">
        <f t="shared" si="20"/>
        <v>30308</v>
      </c>
      <c r="E176" s="9">
        <f t="shared" si="19"/>
        <v>30311</v>
      </c>
      <c r="F176" s="9" t="s">
        <v>2063</v>
      </c>
      <c r="G176" s="9" t="s">
        <v>802</v>
      </c>
      <c r="H176" s="9" t="s">
        <v>430</v>
      </c>
      <c r="I176" s="9">
        <v>4</v>
      </c>
    </row>
    <row r="177" spans="2:9">
      <c r="B177" s="16" t="str">
        <f t="shared" si="17"/>
        <v>0x7668</v>
      </c>
      <c r="C177" s="16" t="str">
        <f t="shared" si="18"/>
        <v>0x766B</v>
      </c>
      <c r="D177" s="9">
        <f t="shared" si="20"/>
        <v>30312</v>
      </c>
      <c r="E177" s="9">
        <f t="shared" si="19"/>
        <v>30315</v>
      </c>
      <c r="F177" s="9" t="s">
        <v>2064</v>
      </c>
      <c r="G177" s="9" t="s">
        <v>802</v>
      </c>
      <c r="H177" s="9" t="s">
        <v>430</v>
      </c>
      <c r="I177" s="9">
        <v>4</v>
      </c>
    </row>
    <row r="178" spans="2:9">
      <c r="B178" s="16" t="str">
        <f t="shared" si="17"/>
        <v>0x766C</v>
      </c>
      <c r="C178" s="16" t="str">
        <f t="shared" si="18"/>
        <v>0x766F</v>
      </c>
      <c r="D178" s="9">
        <f t="shared" si="20"/>
        <v>30316</v>
      </c>
      <c r="E178" s="9">
        <f t="shared" si="19"/>
        <v>30319</v>
      </c>
      <c r="F178" s="9" t="s">
        <v>2065</v>
      </c>
      <c r="G178" s="9" t="s">
        <v>802</v>
      </c>
      <c r="H178" s="9" t="s">
        <v>430</v>
      </c>
      <c r="I178" s="9">
        <v>4</v>
      </c>
    </row>
    <row r="179" spans="2:9">
      <c r="B179" s="16" t="str">
        <f t="shared" si="17"/>
        <v>0x7670</v>
      </c>
      <c r="C179" s="16" t="str">
        <f t="shared" si="18"/>
        <v>0x7673</v>
      </c>
      <c r="D179" s="9">
        <f t="shared" si="20"/>
        <v>30320</v>
      </c>
      <c r="E179" s="9">
        <f t="shared" si="19"/>
        <v>30323</v>
      </c>
      <c r="F179" s="9" t="s">
        <v>2066</v>
      </c>
      <c r="G179" s="9" t="s">
        <v>802</v>
      </c>
      <c r="H179" s="9" t="s">
        <v>430</v>
      </c>
      <c r="I179" s="9">
        <v>4</v>
      </c>
    </row>
    <row r="180" spans="2:9">
      <c r="B180" s="16" t="str">
        <f t="shared" si="17"/>
        <v>0x7674</v>
      </c>
      <c r="C180" s="16" t="str">
        <f t="shared" si="18"/>
        <v>0x7677</v>
      </c>
      <c r="D180" s="9">
        <f t="shared" si="20"/>
        <v>30324</v>
      </c>
      <c r="E180" s="9">
        <f t="shared" si="19"/>
        <v>30327</v>
      </c>
      <c r="F180" s="9" t="s">
        <v>2067</v>
      </c>
      <c r="G180" s="9" t="s">
        <v>802</v>
      </c>
      <c r="H180" s="9" t="s">
        <v>430</v>
      </c>
      <c r="I180" s="9">
        <v>4</v>
      </c>
    </row>
    <row r="181" spans="2:9">
      <c r="B181" s="16" t="str">
        <f t="shared" si="17"/>
        <v>0x7678</v>
      </c>
      <c r="C181" s="16" t="str">
        <f t="shared" si="18"/>
        <v>0x767B</v>
      </c>
      <c r="D181" s="9">
        <f t="shared" si="20"/>
        <v>30328</v>
      </c>
      <c r="E181" s="9">
        <f t="shared" si="19"/>
        <v>30331</v>
      </c>
      <c r="F181" s="9" t="s">
        <v>2068</v>
      </c>
      <c r="G181" s="9" t="s">
        <v>802</v>
      </c>
      <c r="H181" s="9" t="s">
        <v>430</v>
      </c>
      <c r="I181" s="9">
        <v>4</v>
      </c>
    </row>
    <row r="182" spans="2:9">
      <c r="B182" s="16" t="str">
        <f t="shared" si="17"/>
        <v>0x767C</v>
      </c>
      <c r="C182" s="16" t="str">
        <f t="shared" si="18"/>
        <v>0x767F</v>
      </c>
      <c r="D182" s="9">
        <f t="shared" si="20"/>
        <v>30332</v>
      </c>
      <c r="E182" s="9">
        <f t="shared" si="19"/>
        <v>30335</v>
      </c>
      <c r="F182" s="9" t="s">
        <v>2069</v>
      </c>
      <c r="G182" s="9" t="s">
        <v>802</v>
      </c>
      <c r="H182" s="9" t="s">
        <v>430</v>
      </c>
      <c r="I182" s="9">
        <v>4</v>
      </c>
    </row>
    <row r="183" spans="2:9">
      <c r="B183" s="16" t="str">
        <f t="shared" si="17"/>
        <v>0x7680</v>
      </c>
      <c r="C183" s="16" t="str">
        <f t="shared" si="18"/>
        <v>0x7683</v>
      </c>
      <c r="D183" s="9">
        <f t="shared" si="20"/>
        <v>30336</v>
      </c>
      <c r="E183" s="9">
        <f t="shared" si="19"/>
        <v>30339</v>
      </c>
      <c r="F183" s="9" t="s">
        <v>2070</v>
      </c>
      <c r="G183" s="9" t="s">
        <v>802</v>
      </c>
      <c r="H183" s="9" t="s">
        <v>430</v>
      </c>
      <c r="I183" s="9">
        <v>4</v>
      </c>
    </row>
    <row r="184" spans="2:9">
      <c r="B184" s="16" t="str">
        <f t="shared" si="17"/>
        <v>0x7684</v>
      </c>
      <c r="C184" s="16" t="str">
        <f t="shared" si="18"/>
        <v>0x7687</v>
      </c>
      <c r="D184" s="9">
        <f t="shared" si="20"/>
        <v>30340</v>
      </c>
      <c r="E184" s="9">
        <f t="shared" si="19"/>
        <v>30343</v>
      </c>
      <c r="F184" s="9" t="s">
        <v>2071</v>
      </c>
      <c r="G184" s="9" t="s">
        <v>802</v>
      </c>
      <c r="H184" s="9" t="s">
        <v>430</v>
      </c>
      <c r="I184" s="9">
        <v>4</v>
      </c>
    </row>
    <row r="185" spans="2:9">
      <c r="B185" s="16" t="str">
        <f t="shared" si="17"/>
        <v>0x7688</v>
      </c>
      <c r="C185" s="16" t="str">
        <f t="shared" si="18"/>
        <v>0x768B</v>
      </c>
      <c r="D185" s="9">
        <f t="shared" si="20"/>
        <v>30344</v>
      </c>
      <c r="E185" s="9">
        <f t="shared" si="19"/>
        <v>30347</v>
      </c>
      <c r="F185" s="9" t="s">
        <v>2072</v>
      </c>
      <c r="G185" s="9" t="s">
        <v>802</v>
      </c>
      <c r="H185" s="9" t="s">
        <v>430</v>
      </c>
      <c r="I185" s="9">
        <v>4</v>
      </c>
    </row>
    <row r="186" spans="2:9">
      <c r="B186" s="16" t="str">
        <f t="shared" si="17"/>
        <v>0x768C</v>
      </c>
      <c r="C186" s="16" t="str">
        <f t="shared" si="18"/>
        <v>0x768F</v>
      </c>
      <c r="D186" s="9">
        <f t="shared" si="20"/>
        <v>30348</v>
      </c>
      <c r="E186" s="9">
        <f t="shared" si="19"/>
        <v>30351</v>
      </c>
      <c r="F186" s="9" t="s">
        <v>2073</v>
      </c>
      <c r="G186" s="9" t="s">
        <v>802</v>
      </c>
      <c r="H186" s="9" t="s">
        <v>430</v>
      </c>
      <c r="I186" s="9">
        <v>4</v>
      </c>
    </row>
    <row r="187" spans="2:9">
      <c r="B187" s="16" t="str">
        <f t="shared" si="17"/>
        <v>0x7690</v>
      </c>
      <c r="C187" s="16" t="str">
        <f t="shared" si="18"/>
        <v>0x7693</v>
      </c>
      <c r="D187" s="9">
        <f t="shared" si="20"/>
        <v>30352</v>
      </c>
      <c r="E187" s="9">
        <f t="shared" si="19"/>
        <v>30355</v>
      </c>
      <c r="F187" s="9" t="s">
        <v>2074</v>
      </c>
      <c r="G187" s="9" t="s">
        <v>802</v>
      </c>
      <c r="H187" s="9" t="s">
        <v>430</v>
      </c>
      <c r="I187" s="9">
        <v>4</v>
      </c>
    </row>
    <row r="188" spans="2:9">
      <c r="B188" s="16" t="str">
        <f t="shared" si="17"/>
        <v>0x7694</v>
      </c>
      <c r="C188" s="16" t="str">
        <f t="shared" si="18"/>
        <v>0x7697</v>
      </c>
      <c r="D188" s="9">
        <f t="shared" si="20"/>
        <v>30356</v>
      </c>
      <c r="E188" s="9">
        <f t="shared" si="19"/>
        <v>30359</v>
      </c>
      <c r="F188" s="9" t="s">
        <v>2075</v>
      </c>
      <c r="G188" s="9" t="s">
        <v>802</v>
      </c>
      <c r="H188" s="9" t="s">
        <v>430</v>
      </c>
      <c r="I188" s="9">
        <v>4</v>
      </c>
    </row>
    <row r="189" spans="2:9">
      <c r="B189" s="16" t="str">
        <f t="shared" si="17"/>
        <v>0x7698</v>
      </c>
      <c r="C189" s="16" t="str">
        <f t="shared" si="18"/>
        <v>0x769B</v>
      </c>
      <c r="D189" s="9">
        <f t="shared" si="20"/>
        <v>30360</v>
      </c>
      <c r="E189" s="9">
        <f t="shared" si="19"/>
        <v>30363</v>
      </c>
      <c r="F189" s="9" t="s">
        <v>2076</v>
      </c>
      <c r="G189" s="9" t="s">
        <v>802</v>
      </c>
      <c r="H189" s="9" t="s">
        <v>430</v>
      </c>
      <c r="I189" s="9">
        <v>4</v>
      </c>
    </row>
    <row r="190" spans="2:9">
      <c r="B190" s="16" t="str">
        <f t="shared" si="17"/>
        <v>0x769C</v>
      </c>
      <c r="C190" s="16" t="str">
        <f t="shared" si="18"/>
        <v>0x769F</v>
      </c>
      <c r="D190" s="9">
        <f t="shared" si="20"/>
        <v>30364</v>
      </c>
      <c r="E190" s="9">
        <f t="shared" si="19"/>
        <v>30367</v>
      </c>
      <c r="F190" s="9" t="s">
        <v>2077</v>
      </c>
      <c r="G190" s="9" t="s">
        <v>802</v>
      </c>
      <c r="H190" s="9" t="s">
        <v>430</v>
      </c>
      <c r="I190" s="9">
        <v>4</v>
      </c>
    </row>
  </sheetData>
  <phoneticPr fontId="4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0ADDB-1CB9-4142-9664-911BE94A6F08}">
  <dimension ref="A1:L543"/>
  <sheetViews>
    <sheetView workbookViewId="0">
      <pane ySplit="1" topLeftCell="A529" activePane="bottomLeft" state="frozen"/>
      <selection pane="bottomLeft" activeCell="F45" sqref="F45"/>
    </sheetView>
  </sheetViews>
  <sheetFormatPr defaultColWidth="8.7109375" defaultRowHeight="12.75"/>
  <cols>
    <col min="1" max="1" width="21.42578125" style="8" customWidth="1"/>
    <col min="2" max="2" width="9.5703125" style="9" customWidth="1"/>
    <col min="3" max="3" width="8.7109375" style="9"/>
    <col min="4" max="4" width="21.42578125" style="9" customWidth="1"/>
    <col min="5" max="5" width="8.7109375" style="9"/>
    <col min="6" max="6" width="48.140625" style="9" customWidth="1"/>
    <col min="7" max="9" width="8.7109375" style="9"/>
    <col min="10" max="10" width="24.42578125" style="9" customWidth="1"/>
    <col min="11" max="16384" width="8.7109375" style="9"/>
  </cols>
  <sheetData>
    <row r="1" spans="1:12" s="39" customFormat="1">
      <c r="A1" s="39" t="s">
        <v>27</v>
      </c>
      <c r="B1" s="39" t="s">
        <v>414</v>
      </c>
      <c r="C1" s="39" t="s">
        <v>415</v>
      </c>
      <c r="D1" s="39" t="s">
        <v>416</v>
      </c>
      <c r="E1" s="39" t="s">
        <v>417</v>
      </c>
      <c r="F1" s="39" t="s">
        <v>418</v>
      </c>
      <c r="G1" s="39" t="s">
        <v>419</v>
      </c>
      <c r="H1" s="54" t="s">
        <v>421</v>
      </c>
      <c r="I1" s="39" t="s">
        <v>420</v>
      </c>
      <c r="J1" s="39" t="s">
        <v>422</v>
      </c>
      <c r="K1" s="39" t="s">
        <v>480</v>
      </c>
      <c r="L1" s="39" t="s">
        <v>481</v>
      </c>
    </row>
    <row r="2" spans="1:12">
      <c r="A2" s="8" t="s">
        <v>2079</v>
      </c>
    </row>
    <row r="3" spans="1:12" ht="56.1" customHeight="1">
      <c r="B3" s="9" t="str">
        <f>"0x"&amp;DEC2HEX(D3,4)</f>
        <v>0x7700</v>
      </c>
      <c r="D3" s="9">
        <v>30464</v>
      </c>
      <c r="F3" s="9" t="s">
        <v>2080</v>
      </c>
      <c r="G3" s="9" t="s">
        <v>474</v>
      </c>
      <c r="H3" s="15" t="s">
        <v>471</v>
      </c>
      <c r="I3" s="9">
        <v>1</v>
      </c>
      <c r="J3" s="7" t="s">
        <v>2081</v>
      </c>
    </row>
    <row r="4" spans="1:12" ht="126" customHeight="1">
      <c r="B4" s="9" t="str">
        <f>"0x"&amp;DEC2HEX(D4,4)</f>
        <v>0x7701</v>
      </c>
      <c r="D4" s="9">
        <v>30465</v>
      </c>
      <c r="F4" s="9" t="s">
        <v>2082</v>
      </c>
      <c r="G4" s="9" t="s">
        <v>474</v>
      </c>
      <c r="H4" s="15" t="s">
        <v>471</v>
      </c>
      <c r="I4" s="9">
        <v>1</v>
      </c>
      <c r="J4" s="7" t="s">
        <v>2083</v>
      </c>
    </row>
    <row r="5" spans="1:12">
      <c r="A5" s="8" t="s">
        <v>2084</v>
      </c>
    </row>
    <row r="6" spans="1:12">
      <c r="B6" s="9" t="str">
        <f t="shared" ref="B6:B15" si="0">"0x"&amp;DEC2HEX(D6,4)</f>
        <v>0x7702</v>
      </c>
      <c r="D6" s="9">
        <v>30466</v>
      </c>
      <c r="F6" s="9" t="s">
        <v>2085</v>
      </c>
      <c r="G6" s="9" t="s">
        <v>474</v>
      </c>
      <c r="H6" s="15" t="s">
        <v>471</v>
      </c>
      <c r="I6" s="9">
        <v>1</v>
      </c>
      <c r="J6" s="9" t="s">
        <v>2086</v>
      </c>
    </row>
    <row r="7" spans="1:12">
      <c r="B7" s="9" t="str">
        <f t="shared" si="0"/>
        <v>0x7703</v>
      </c>
      <c r="D7" s="9">
        <v>30467</v>
      </c>
      <c r="F7" s="9" t="s">
        <v>2087</v>
      </c>
      <c r="G7" s="9" t="s">
        <v>474</v>
      </c>
      <c r="H7" s="15" t="s">
        <v>471</v>
      </c>
      <c r="I7" s="9">
        <v>1</v>
      </c>
      <c r="J7" s="9" t="s">
        <v>2088</v>
      </c>
    </row>
    <row r="8" spans="1:12">
      <c r="B8" s="9" t="str">
        <f t="shared" si="0"/>
        <v>0x7704</v>
      </c>
      <c r="D8" s="9">
        <v>30468</v>
      </c>
      <c r="F8" s="9" t="s">
        <v>2089</v>
      </c>
      <c r="G8" s="9" t="s">
        <v>474</v>
      </c>
      <c r="H8" s="15" t="s">
        <v>471</v>
      </c>
      <c r="I8" s="9">
        <v>1</v>
      </c>
      <c r="J8" s="9" t="s">
        <v>2090</v>
      </c>
    </row>
    <row r="9" spans="1:12">
      <c r="B9" s="9" t="str">
        <f t="shared" si="0"/>
        <v>0x7705</v>
      </c>
      <c r="D9" s="9">
        <v>30469</v>
      </c>
      <c r="F9" s="9" t="s">
        <v>2091</v>
      </c>
      <c r="G9" s="9" t="s">
        <v>474</v>
      </c>
      <c r="H9" s="15" t="s">
        <v>471</v>
      </c>
      <c r="I9" s="9">
        <v>1</v>
      </c>
      <c r="J9" s="9" t="s">
        <v>2092</v>
      </c>
    </row>
    <row r="10" spans="1:12">
      <c r="B10" s="9" t="str">
        <f t="shared" si="0"/>
        <v>0x7706</v>
      </c>
      <c r="D10" s="9">
        <v>30470</v>
      </c>
      <c r="F10" s="9" t="s">
        <v>2093</v>
      </c>
      <c r="G10" s="9" t="s">
        <v>474</v>
      </c>
      <c r="H10" s="15" t="s">
        <v>471</v>
      </c>
      <c r="I10" s="9">
        <v>1</v>
      </c>
      <c r="J10" s="9" t="s">
        <v>2094</v>
      </c>
    </row>
    <row r="11" spans="1:12">
      <c r="B11" s="9" t="str">
        <f t="shared" si="0"/>
        <v>0x7707</v>
      </c>
      <c r="D11" s="9">
        <v>30471</v>
      </c>
      <c r="F11" s="9" t="s">
        <v>2095</v>
      </c>
      <c r="G11" s="9" t="s">
        <v>474</v>
      </c>
      <c r="H11" s="15" t="s">
        <v>471</v>
      </c>
      <c r="I11" s="9">
        <v>1</v>
      </c>
      <c r="J11" s="9" t="s">
        <v>2086</v>
      </c>
    </row>
    <row r="12" spans="1:12">
      <c r="B12" s="9" t="str">
        <f t="shared" si="0"/>
        <v>0x7708</v>
      </c>
      <c r="D12" s="9">
        <v>30472</v>
      </c>
      <c r="F12" s="9" t="s">
        <v>2096</v>
      </c>
      <c r="G12" s="9" t="s">
        <v>474</v>
      </c>
      <c r="H12" s="15" t="s">
        <v>471</v>
      </c>
      <c r="I12" s="9">
        <v>1</v>
      </c>
      <c r="J12" s="9" t="s">
        <v>2088</v>
      </c>
    </row>
    <row r="13" spans="1:12">
      <c r="B13" s="9" t="str">
        <f t="shared" si="0"/>
        <v>0x7709</v>
      </c>
      <c r="D13" s="9">
        <v>30473</v>
      </c>
      <c r="F13" s="9" t="s">
        <v>2097</v>
      </c>
      <c r="G13" s="9" t="s">
        <v>474</v>
      </c>
      <c r="H13" s="15" t="s">
        <v>471</v>
      </c>
      <c r="I13" s="9">
        <v>1</v>
      </c>
      <c r="J13" s="9" t="s">
        <v>2090</v>
      </c>
    </row>
    <row r="14" spans="1:12">
      <c r="B14" s="9" t="str">
        <f t="shared" si="0"/>
        <v>0x770A</v>
      </c>
      <c r="D14" s="9">
        <v>30474</v>
      </c>
      <c r="F14" s="9" t="s">
        <v>2098</v>
      </c>
      <c r="G14" s="9" t="s">
        <v>474</v>
      </c>
      <c r="H14" s="15" t="s">
        <v>471</v>
      </c>
      <c r="I14" s="9">
        <v>1</v>
      </c>
      <c r="J14" s="9" t="s">
        <v>2092</v>
      </c>
    </row>
    <row r="15" spans="1:12">
      <c r="B15" s="9" t="str">
        <f t="shared" si="0"/>
        <v>0x770B</v>
      </c>
      <c r="D15" s="9">
        <v>30475</v>
      </c>
      <c r="F15" s="9" t="s">
        <v>2099</v>
      </c>
      <c r="G15" s="9" t="s">
        <v>474</v>
      </c>
      <c r="H15" s="15" t="s">
        <v>471</v>
      </c>
      <c r="I15" s="9">
        <v>1</v>
      </c>
      <c r="J15" s="9" t="s">
        <v>2094</v>
      </c>
    </row>
    <row r="16" spans="1:12">
      <c r="A16" s="8" t="s">
        <v>2100</v>
      </c>
    </row>
    <row r="17" spans="1:10">
      <c r="B17" s="9" t="str">
        <f t="shared" ref="B17:B28" si="1">"0x"&amp;DEC2HEX(D17,4)</f>
        <v>0x770C</v>
      </c>
      <c r="D17" s="9">
        <v>30476</v>
      </c>
      <c r="F17" s="9" t="s">
        <v>2085</v>
      </c>
      <c r="G17" s="9" t="s">
        <v>474</v>
      </c>
      <c r="H17" s="15" t="s">
        <v>471</v>
      </c>
      <c r="I17" s="9">
        <v>1</v>
      </c>
      <c r="J17" s="9" t="s">
        <v>2086</v>
      </c>
    </row>
    <row r="18" spans="1:10" ht="98.1" customHeight="1">
      <c r="B18" s="9" t="str">
        <f t="shared" si="1"/>
        <v>0x770D</v>
      </c>
      <c r="D18" s="9">
        <v>30477</v>
      </c>
      <c r="F18" s="9" t="s">
        <v>2101</v>
      </c>
      <c r="G18" s="9" t="s">
        <v>474</v>
      </c>
      <c r="H18" s="15" t="s">
        <v>471</v>
      </c>
      <c r="I18" s="9">
        <v>1</v>
      </c>
      <c r="J18" s="7" t="s">
        <v>2102</v>
      </c>
    </row>
    <row r="19" spans="1:10">
      <c r="B19" s="9" t="str">
        <f t="shared" si="1"/>
        <v>0x770E</v>
      </c>
      <c r="D19" s="9">
        <v>30478</v>
      </c>
      <c r="F19" s="9" t="s">
        <v>2103</v>
      </c>
      <c r="G19" s="9" t="s">
        <v>474</v>
      </c>
      <c r="H19" s="15" t="s">
        <v>471</v>
      </c>
      <c r="I19" s="9">
        <v>1</v>
      </c>
      <c r="J19" s="9" t="s">
        <v>2104</v>
      </c>
    </row>
    <row r="20" spans="1:10">
      <c r="B20" s="9" t="str">
        <f t="shared" si="1"/>
        <v>0x770F</v>
      </c>
      <c r="D20" s="9">
        <v>30479</v>
      </c>
      <c r="F20" s="9" t="s">
        <v>2089</v>
      </c>
      <c r="G20" s="9" t="s">
        <v>474</v>
      </c>
      <c r="H20" s="15" t="s">
        <v>471</v>
      </c>
      <c r="I20" s="9">
        <v>1</v>
      </c>
      <c r="J20" s="9" t="s">
        <v>2090</v>
      </c>
    </row>
    <row r="21" spans="1:10">
      <c r="B21" s="9" t="str">
        <f t="shared" si="1"/>
        <v>0x7710</v>
      </c>
      <c r="D21" s="9">
        <v>30480</v>
      </c>
      <c r="F21" s="9" t="s">
        <v>2105</v>
      </c>
      <c r="G21" s="9" t="s">
        <v>474</v>
      </c>
      <c r="H21" s="15" t="s">
        <v>471</v>
      </c>
      <c r="I21" s="9">
        <v>1</v>
      </c>
      <c r="J21" s="9" t="s">
        <v>2092</v>
      </c>
    </row>
    <row r="22" spans="1:10">
      <c r="B22" s="9" t="str">
        <f t="shared" si="1"/>
        <v>0x7711</v>
      </c>
      <c r="D22" s="9">
        <v>30481</v>
      </c>
      <c r="F22" s="9" t="s">
        <v>2106</v>
      </c>
      <c r="G22" s="9" t="s">
        <v>474</v>
      </c>
      <c r="H22" s="15" t="s">
        <v>471</v>
      </c>
      <c r="I22" s="9">
        <v>1</v>
      </c>
      <c r="J22" s="9" t="s">
        <v>2094</v>
      </c>
    </row>
    <row r="23" spans="1:10">
      <c r="B23" s="9" t="str">
        <f t="shared" si="1"/>
        <v>0x7712</v>
      </c>
      <c r="D23" s="9">
        <v>30482</v>
      </c>
      <c r="F23" s="9" t="s">
        <v>2095</v>
      </c>
      <c r="G23" s="9" t="s">
        <v>474</v>
      </c>
      <c r="H23" s="15" t="s">
        <v>471</v>
      </c>
      <c r="I23" s="9">
        <v>1</v>
      </c>
      <c r="J23" s="9" t="s">
        <v>2086</v>
      </c>
    </row>
    <row r="24" spans="1:10" ht="98.1" customHeight="1">
      <c r="B24" s="9" t="str">
        <f t="shared" si="1"/>
        <v>0x7713</v>
      </c>
      <c r="D24" s="9">
        <v>30483</v>
      </c>
      <c r="F24" s="9" t="s">
        <v>2096</v>
      </c>
      <c r="G24" s="9" t="s">
        <v>474</v>
      </c>
      <c r="H24" s="15" t="s">
        <v>471</v>
      </c>
      <c r="I24" s="9">
        <v>1</v>
      </c>
      <c r="J24" s="7" t="s">
        <v>2107</v>
      </c>
    </row>
    <row r="25" spans="1:10">
      <c r="B25" s="9" t="str">
        <f t="shared" si="1"/>
        <v>0x7714</v>
      </c>
      <c r="D25" s="9">
        <v>30484</v>
      </c>
      <c r="F25" s="9" t="s">
        <v>2108</v>
      </c>
      <c r="G25" s="9" t="s">
        <v>474</v>
      </c>
      <c r="H25" s="15" t="s">
        <v>471</v>
      </c>
      <c r="I25" s="9">
        <v>1</v>
      </c>
      <c r="J25" s="9" t="s">
        <v>2104</v>
      </c>
    </row>
    <row r="26" spans="1:10">
      <c r="B26" s="9" t="str">
        <f t="shared" si="1"/>
        <v>0x7715</v>
      </c>
      <c r="D26" s="9">
        <v>30485</v>
      </c>
      <c r="F26" s="9" t="s">
        <v>2097</v>
      </c>
      <c r="G26" s="9" t="s">
        <v>474</v>
      </c>
      <c r="H26" s="15" t="s">
        <v>471</v>
      </c>
      <c r="I26" s="9">
        <v>1</v>
      </c>
      <c r="J26" s="9" t="s">
        <v>2090</v>
      </c>
    </row>
    <row r="27" spans="1:10">
      <c r="B27" s="9" t="str">
        <f t="shared" si="1"/>
        <v>0x7716</v>
      </c>
      <c r="D27" s="9">
        <v>30486</v>
      </c>
      <c r="F27" s="9" t="s">
        <v>2098</v>
      </c>
      <c r="G27" s="9" t="s">
        <v>474</v>
      </c>
      <c r="H27" s="15" t="s">
        <v>471</v>
      </c>
      <c r="I27" s="9">
        <v>1</v>
      </c>
      <c r="J27" s="9" t="s">
        <v>2092</v>
      </c>
    </row>
    <row r="28" spans="1:10">
      <c r="B28" s="9" t="str">
        <f t="shared" si="1"/>
        <v>0x7717</v>
      </c>
      <c r="D28" s="9">
        <v>30487</v>
      </c>
      <c r="F28" s="9" t="s">
        <v>2099</v>
      </c>
      <c r="G28" s="9" t="s">
        <v>474</v>
      </c>
      <c r="H28" s="15" t="s">
        <v>471</v>
      </c>
      <c r="I28" s="9">
        <v>1</v>
      </c>
      <c r="J28" s="9" t="s">
        <v>2094</v>
      </c>
    </row>
    <row r="29" spans="1:10">
      <c r="H29" s="15"/>
    </row>
    <row r="30" spans="1:10">
      <c r="A30" s="8" t="s">
        <v>277</v>
      </c>
    </row>
    <row r="31" spans="1:10">
      <c r="B31" s="9" t="str">
        <f t="shared" ref="B31:B45" si="2">"0x"&amp;DEC2HEX(D31,4)</f>
        <v>0x7800</v>
      </c>
      <c r="D31" s="9">
        <v>30720</v>
      </c>
      <c r="F31" s="9" t="s">
        <v>2109</v>
      </c>
      <c r="H31" s="15" t="s">
        <v>471</v>
      </c>
      <c r="I31" s="9">
        <v>1</v>
      </c>
      <c r="J31" s="9" t="s">
        <v>2110</v>
      </c>
    </row>
    <row r="32" spans="1:10">
      <c r="B32" s="9" t="str">
        <f t="shared" si="2"/>
        <v>0x7801</v>
      </c>
      <c r="D32" s="9">
        <v>30721</v>
      </c>
      <c r="F32" s="9" t="s">
        <v>2111</v>
      </c>
      <c r="H32" s="15" t="s">
        <v>471</v>
      </c>
      <c r="I32" s="9">
        <v>1</v>
      </c>
      <c r="J32" s="9" t="s">
        <v>2112</v>
      </c>
    </row>
    <row r="33" spans="1:10">
      <c r="B33" s="9" t="str">
        <f t="shared" si="2"/>
        <v>0x7802</v>
      </c>
      <c r="D33" s="9">
        <v>30722</v>
      </c>
      <c r="F33" s="9" t="s">
        <v>2113</v>
      </c>
      <c r="H33" s="15" t="s">
        <v>471</v>
      </c>
      <c r="I33" s="9">
        <v>1</v>
      </c>
      <c r="J33" s="9" t="s">
        <v>2112</v>
      </c>
    </row>
    <row r="34" spans="1:10">
      <c r="B34" s="9" t="str">
        <f t="shared" si="2"/>
        <v>0x7803</v>
      </c>
      <c r="D34" s="9">
        <v>30723</v>
      </c>
      <c r="F34" s="9" t="s">
        <v>2114</v>
      </c>
      <c r="H34" s="15" t="s">
        <v>471</v>
      </c>
      <c r="I34" s="9">
        <v>1</v>
      </c>
      <c r="J34" s="9" t="s">
        <v>2115</v>
      </c>
    </row>
    <row r="35" spans="1:10" ht="38.25">
      <c r="B35" s="9" t="str">
        <f t="shared" si="2"/>
        <v>0x7804</v>
      </c>
      <c r="D35" s="9">
        <v>30724</v>
      </c>
      <c r="F35" s="7" t="s">
        <v>2116</v>
      </c>
      <c r="H35" s="15" t="s">
        <v>471</v>
      </c>
      <c r="I35" s="9">
        <v>1</v>
      </c>
      <c r="J35" s="9" t="s">
        <v>2117</v>
      </c>
    </row>
    <row r="36" spans="1:10">
      <c r="B36" s="9" t="str">
        <f t="shared" si="2"/>
        <v>0x7805</v>
      </c>
      <c r="D36" s="9">
        <v>30725</v>
      </c>
      <c r="F36" s="9" t="s">
        <v>2118</v>
      </c>
      <c r="H36" s="15" t="s">
        <v>471</v>
      </c>
      <c r="I36" s="9">
        <v>1</v>
      </c>
      <c r="J36" s="9" t="s">
        <v>2112</v>
      </c>
    </row>
    <row r="37" spans="1:10">
      <c r="B37" s="9" t="str">
        <f t="shared" si="2"/>
        <v>0x7806</v>
      </c>
      <c r="D37" s="9">
        <v>30726</v>
      </c>
      <c r="F37" s="9" t="s">
        <v>2119</v>
      </c>
      <c r="H37" s="15" t="s">
        <v>471</v>
      </c>
      <c r="I37" s="9">
        <v>1</v>
      </c>
      <c r="J37" s="9" t="s">
        <v>2120</v>
      </c>
    </row>
    <row r="38" spans="1:10">
      <c r="B38" s="9" t="str">
        <f t="shared" si="2"/>
        <v>0x7807</v>
      </c>
      <c r="D38" s="9">
        <v>30727</v>
      </c>
      <c r="F38" s="9" t="s">
        <v>2121</v>
      </c>
      <c r="H38" s="15" t="s">
        <v>471</v>
      </c>
      <c r="I38" s="9">
        <v>1</v>
      </c>
      <c r="J38" s="9" t="s">
        <v>2122</v>
      </c>
    </row>
    <row r="39" spans="1:10">
      <c r="B39" s="9" t="str">
        <f t="shared" si="2"/>
        <v>0x7808</v>
      </c>
      <c r="D39" s="9">
        <v>30728</v>
      </c>
      <c r="F39" s="9" t="s">
        <v>2123</v>
      </c>
      <c r="H39" s="15" t="s">
        <v>471</v>
      </c>
      <c r="I39" s="9">
        <v>1</v>
      </c>
    </row>
    <row r="40" spans="1:10">
      <c r="B40" s="9" t="str">
        <f t="shared" si="2"/>
        <v>0x7809</v>
      </c>
      <c r="D40" s="9">
        <v>30729</v>
      </c>
      <c r="F40" s="9" t="s">
        <v>2124</v>
      </c>
      <c r="H40" s="15" t="s">
        <v>471</v>
      </c>
      <c r="I40" s="9">
        <v>1</v>
      </c>
    </row>
    <row r="41" spans="1:10">
      <c r="B41" s="9" t="str">
        <f t="shared" si="2"/>
        <v>0x780A</v>
      </c>
      <c r="D41" s="9">
        <v>30730</v>
      </c>
      <c r="F41" s="9" t="s">
        <v>2125</v>
      </c>
      <c r="H41" s="15" t="s">
        <v>471</v>
      </c>
      <c r="I41" s="9">
        <v>1</v>
      </c>
      <c r="J41" s="9" t="s">
        <v>2088</v>
      </c>
    </row>
    <row r="42" spans="1:10">
      <c r="B42" s="9" t="str">
        <f t="shared" si="2"/>
        <v>0x780B</v>
      </c>
      <c r="D42" s="9">
        <v>30731</v>
      </c>
      <c r="F42" s="9" t="s">
        <v>2126</v>
      </c>
      <c r="H42" s="15" t="s">
        <v>471</v>
      </c>
      <c r="I42" s="9">
        <v>1</v>
      </c>
      <c r="J42" s="9" t="s">
        <v>2127</v>
      </c>
    </row>
    <row r="43" spans="1:10">
      <c r="B43" s="9" t="str">
        <f t="shared" si="2"/>
        <v>0x780C</v>
      </c>
      <c r="D43" s="9">
        <v>30732</v>
      </c>
      <c r="F43" s="9" t="s">
        <v>2128</v>
      </c>
      <c r="H43" s="15" t="s">
        <v>471</v>
      </c>
      <c r="I43" s="9">
        <v>1</v>
      </c>
      <c r="J43" s="9" t="s">
        <v>2129</v>
      </c>
    </row>
    <row r="44" spans="1:10">
      <c r="B44" s="9" t="str">
        <f t="shared" si="2"/>
        <v>0x780D</v>
      </c>
      <c r="D44" s="9">
        <v>30733</v>
      </c>
      <c r="F44" s="9" t="s">
        <v>2130</v>
      </c>
      <c r="H44" s="15" t="s">
        <v>471</v>
      </c>
      <c r="I44" s="9">
        <v>1</v>
      </c>
      <c r="J44" s="9" t="s">
        <v>2129</v>
      </c>
    </row>
    <row r="45" spans="1:10">
      <c r="B45" s="9" t="str">
        <f t="shared" si="2"/>
        <v>0x780E</v>
      </c>
      <c r="D45" s="9">
        <v>30734</v>
      </c>
      <c r="F45" s="9" t="s">
        <v>2131</v>
      </c>
      <c r="H45" s="15" t="s">
        <v>471</v>
      </c>
      <c r="I45" s="9">
        <v>1</v>
      </c>
      <c r="J45" s="9" t="s">
        <v>2132</v>
      </c>
    </row>
    <row r="46" spans="1:10">
      <c r="H46" s="15"/>
    </row>
    <row r="47" spans="1:10">
      <c r="A47" s="8" t="s">
        <v>280</v>
      </c>
    </row>
    <row r="48" spans="1:10">
      <c r="B48" s="9" t="str">
        <f>"0x"&amp;DEC2HEX(D48,4)</f>
        <v>0x7820</v>
      </c>
      <c r="C48" s="9" t="str">
        <f>"0x"&amp;DEC2HEX(E48,4)</f>
        <v>0x7822</v>
      </c>
      <c r="D48" s="9">
        <v>30752</v>
      </c>
      <c r="E48" s="9">
        <v>30754</v>
      </c>
      <c r="F48" s="9" t="s">
        <v>2133</v>
      </c>
      <c r="H48" s="15" t="s">
        <v>471</v>
      </c>
      <c r="I48" s="9">
        <v>3</v>
      </c>
      <c r="J48" s="9" t="s">
        <v>2134</v>
      </c>
    </row>
    <row r="49" spans="1:9">
      <c r="B49" s="9" t="str">
        <f t="shared" ref="B49:B59" si="3">"0x"&amp;DEC2HEX(D49,4)</f>
        <v>0x7823</v>
      </c>
      <c r="C49" s="9" t="str">
        <f t="shared" ref="C49:C59" si="4">"0x"&amp;DEC2HEX(E49,4)</f>
        <v>0x7825</v>
      </c>
      <c r="D49" s="9">
        <v>30755</v>
      </c>
      <c r="E49" s="9">
        <v>30757</v>
      </c>
      <c r="F49" s="9" t="s">
        <v>2135</v>
      </c>
      <c r="H49" s="15" t="s">
        <v>471</v>
      </c>
      <c r="I49" s="9">
        <v>3</v>
      </c>
    </row>
    <row r="50" spans="1:9">
      <c r="B50" s="9" t="str">
        <f t="shared" si="3"/>
        <v>0x7826</v>
      </c>
      <c r="C50" s="9" t="str">
        <f t="shared" si="4"/>
        <v>0x7828</v>
      </c>
      <c r="D50" s="9">
        <v>30758</v>
      </c>
      <c r="E50" s="9">
        <v>30760</v>
      </c>
      <c r="F50" s="9" t="s">
        <v>2136</v>
      </c>
      <c r="H50" s="15" t="s">
        <v>471</v>
      </c>
      <c r="I50" s="9">
        <v>3</v>
      </c>
    </row>
    <row r="51" spans="1:9">
      <c r="B51" s="9" t="str">
        <f t="shared" si="3"/>
        <v>0x7829</v>
      </c>
      <c r="C51" s="9" t="str">
        <f t="shared" si="4"/>
        <v>0x782B</v>
      </c>
      <c r="D51" s="9">
        <v>30761</v>
      </c>
      <c r="E51" s="9">
        <v>30763</v>
      </c>
      <c r="F51" s="9" t="s">
        <v>2137</v>
      </c>
      <c r="H51" s="15" t="s">
        <v>471</v>
      </c>
      <c r="I51" s="9">
        <v>3</v>
      </c>
    </row>
    <row r="52" spans="1:9">
      <c r="B52" s="9" t="str">
        <f t="shared" si="3"/>
        <v>0x782C</v>
      </c>
      <c r="C52" s="9" t="str">
        <f t="shared" si="4"/>
        <v>0x782E</v>
      </c>
      <c r="D52" s="9">
        <v>30764</v>
      </c>
      <c r="E52" s="9">
        <v>30766</v>
      </c>
      <c r="F52" s="9" t="s">
        <v>2138</v>
      </c>
      <c r="H52" s="15" t="s">
        <v>471</v>
      </c>
      <c r="I52" s="9">
        <v>3</v>
      </c>
    </row>
    <row r="53" spans="1:9">
      <c r="B53" s="9" t="str">
        <f t="shared" si="3"/>
        <v>0x782F</v>
      </c>
      <c r="C53" s="9" t="str">
        <f t="shared" si="4"/>
        <v>0x7831</v>
      </c>
      <c r="D53" s="9">
        <v>30767</v>
      </c>
      <c r="E53" s="9">
        <v>30769</v>
      </c>
      <c r="F53" s="9" t="s">
        <v>2139</v>
      </c>
      <c r="H53" s="15" t="s">
        <v>471</v>
      </c>
      <c r="I53" s="9">
        <v>3</v>
      </c>
    </row>
    <row r="54" spans="1:9">
      <c r="B54" s="9" t="str">
        <f t="shared" si="3"/>
        <v>0x7832</v>
      </c>
      <c r="C54" s="9" t="str">
        <f t="shared" si="4"/>
        <v>0x7834</v>
      </c>
      <c r="D54" s="9">
        <v>30770</v>
      </c>
      <c r="E54" s="9">
        <v>30772</v>
      </c>
      <c r="F54" s="9" t="s">
        <v>2140</v>
      </c>
      <c r="H54" s="15" t="s">
        <v>471</v>
      </c>
      <c r="I54" s="9">
        <v>3</v>
      </c>
    </row>
    <row r="55" spans="1:9">
      <c r="B55" s="9" t="str">
        <f t="shared" si="3"/>
        <v>0x7835</v>
      </c>
      <c r="C55" s="9" t="str">
        <f t="shared" si="4"/>
        <v>0x7837</v>
      </c>
      <c r="D55" s="9">
        <v>30773</v>
      </c>
      <c r="E55" s="9">
        <v>30775</v>
      </c>
      <c r="F55" s="9" t="s">
        <v>2141</v>
      </c>
      <c r="H55" s="15" t="s">
        <v>471</v>
      </c>
      <c r="I55" s="9">
        <v>3</v>
      </c>
    </row>
    <row r="56" spans="1:9">
      <c r="B56" s="9" t="str">
        <f t="shared" si="3"/>
        <v>0x7838</v>
      </c>
      <c r="C56" s="9" t="str">
        <f t="shared" si="4"/>
        <v>0x783A</v>
      </c>
      <c r="D56" s="9">
        <v>30776</v>
      </c>
      <c r="E56" s="9">
        <v>30778</v>
      </c>
      <c r="F56" s="9" t="s">
        <v>2142</v>
      </c>
      <c r="H56" s="15" t="s">
        <v>471</v>
      </c>
      <c r="I56" s="9">
        <v>3</v>
      </c>
    </row>
    <row r="57" spans="1:9">
      <c r="B57" s="9" t="str">
        <f t="shared" si="3"/>
        <v>0x783B</v>
      </c>
      <c r="C57" s="9" t="str">
        <f t="shared" si="4"/>
        <v>0x783D</v>
      </c>
      <c r="D57" s="9">
        <v>30779</v>
      </c>
      <c r="E57" s="9">
        <v>30781</v>
      </c>
      <c r="F57" s="9" t="s">
        <v>2143</v>
      </c>
      <c r="H57" s="15" t="s">
        <v>471</v>
      </c>
      <c r="I57" s="9">
        <v>3</v>
      </c>
    </row>
    <row r="58" spans="1:9">
      <c r="B58" s="9" t="str">
        <f t="shared" si="3"/>
        <v>0x783E</v>
      </c>
      <c r="C58" s="9" t="str">
        <f t="shared" si="4"/>
        <v>0x7840</v>
      </c>
      <c r="D58" s="9">
        <v>30782</v>
      </c>
      <c r="E58" s="9">
        <v>30784</v>
      </c>
      <c r="F58" s="9" t="s">
        <v>2144</v>
      </c>
      <c r="H58" s="15" t="s">
        <v>471</v>
      </c>
      <c r="I58" s="9">
        <v>3</v>
      </c>
    </row>
    <row r="59" spans="1:9">
      <c r="B59" s="9" t="str">
        <f t="shared" si="3"/>
        <v>0x7841</v>
      </c>
      <c r="C59" s="9" t="str">
        <f t="shared" si="4"/>
        <v>0x7843</v>
      </c>
      <c r="D59" s="9">
        <v>30785</v>
      </c>
      <c r="E59" s="9">
        <v>30787</v>
      </c>
      <c r="F59" s="9" t="s">
        <v>2145</v>
      </c>
      <c r="H59" s="15" t="s">
        <v>471</v>
      </c>
      <c r="I59" s="9">
        <v>3</v>
      </c>
    </row>
    <row r="60" spans="1:9">
      <c r="A60" s="8" t="s">
        <v>283</v>
      </c>
    </row>
    <row r="61" spans="1:9" ht="25.5">
      <c r="B61" s="9" t="str">
        <f t="shared" ref="B61:B87" si="5">"0x"&amp;DEC2HEX(D61,4)</f>
        <v>0x7844</v>
      </c>
      <c r="C61" s="9" t="str">
        <f t="shared" ref="C61:C87" si="6">"0x"&amp;DEC2HEX(E61,4)</f>
        <v>0x7846</v>
      </c>
      <c r="D61" s="9">
        <v>30788</v>
      </c>
      <c r="E61" s="9">
        <f>D61+I61-1</f>
        <v>30790</v>
      </c>
      <c r="F61" s="7" t="s">
        <v>2146</v>
      </c>
      <c r="H61" s="15" t="s">
        <v>471</v>
      </c>
      <c r="I61" s="9">
        <v>3</v>
      </c>
    </row>
    <row r="62" spans="1:9">
      <c r="B62" s="9" t="str">
        <f t="shared" si="5"/>
        <v>0x7847</v>
      </c>
      <c r="C62" s="9" t="str">
        <f t="shared" si="6"/>
        <v>0x7849</v>
      </c>
      <c r="D62" s="9">
        <f>E61+1</f>
        <v>30791</v>
      </c>
      <c r="E62" s="9">
        <f>D62+I62-1</f>
        <v>30793</v>
      </c>
      <c r="F62" s="9" t="s">
        <v>2147</v>
      </c>
      <c r="H62" s="15" t="s">
        <v>471</v>
      </c>
      <c r="I62" s="9">
        <v>3</v>
      </c>
    </row>
    <row r="63" spans="1:9">
      <c r="B63" s="9" t="str">
        <f t="shared" si="5"/>
        <v>0x784A</v>
      </c>
      <c r="C63" s="9" t="str">
        <f t="shared" si="6"/>
        <v>0x784C</v>
      </c>
      <c r="D63" s="9">
        <f t="shared" ref="D63:D74" si="7">E62+1</f>
        <v>30794</v>
      </c>
      <c r="E63" s="9">
        <f t="shared" ref="E63:E74" si="8">D63+I63-1</f>
        <v>30796</v>
      </c>
      <c r="F63" s="9" t="s">
        <v>2148</v>
      </c>
      <c r="H63" s="15" t="s">
        <v>471</v>
      </c>
      <c r="I63" s="9">
        <v>3</v>
      </c>
    </row>
    <row r="64" spans="1:9">
      <c r="B64" s="9" t="str">
        <f t="shared" si="5"/>
        <v>0x784D</v>
      </c>
      <c r="C64" s="9" t="str">
        <f t="shared" si="6"/>
        <v>0x784F</v>
      </c>
      <c r="D64" s="9">
        <f t="shared" si="7"/>
        <v>30797</v>
      </c>
      <c r="E64" s="9">
        <f t="shared" si="8"/>
        <v>30799</v>
      </c>
      <c r="F64" s="9" t="s">
        <v>2149</v>
      </c>
      <c r="H64" s="15" t="s">
        <v>471</v>
      </c>
      <c r="I64" s="9">
        <v>3</v>
      </c>
    </row>
    <row r="65" spans="2:10">
      <c r="B65" s="9" t="str">
        <f t="shared" si="5"/>
        <v>0x7850</v>
      </c>
      <c r="C65" s="9" t="str">
        <f t="shared" si="6"/>
        <v>0x7852</v>
      </c>
      <c r="D65" s="9">
        <f t="shared" si="7"/>
        <v>30800</v>
      </c>
      <c r="E65" s="9">
        <f t="shared" si="8"/>
        <v>30802</v>
      </c>
      <c r="F65" s="9" t="s">
        <v>2150</v>
      </c>
      <c r="H65" s="15" t="s">
        <v>471</v>
      </c>
      <c r="I65" s="9">
        <v>3</v>
      </c>
    </row>
    <row r="66" spans="2:10">
      <c r="B66" s="9" t="str">
        <f t="shared" si="5"/>
        <v>0x7853</v>
      </c>
      <c r="C66" s="9" t="str">
        <f t="shared" si="6"/>
        <v>0x7855</v>
      </c>
      <c r="D66" s="9">
        <f t="shared" si="7"/>
        <v>30803</v>
      </c>
      <c r="E66" s="9">
        <f t="shared" si="8"/>
        <v>30805</v>
      </c>
      <c r="F66" s="9" t="s">
        <v>2151</v>
      </c>
      <c r="H66" s="15" t="s">
        <v>471</v>
      </c>
      <c r="I66" s="9">
        <v>3</v>
      </c>
    </row>
    <row r="67" spans="2:10">
      <c r="B67" s="9" t="str">
        <f t="shared" si="5"/>
        <v>0x7856</v>
      </c>
      <c r="C67" s="9" t="str">
        <f t="shared" si="6"/>
        <v>0x7858</v>
      </c>
      <c r="D67" s="9">
        <f t="shared" si="7"/>
        <v>30806</v>
      </c>
      <c r="E67" s="9">
        <f t="shared" si="8"/>
        <v>30808</v>
      </c>
      <c r="F67" s="9" t="s">
        <v>2152</v>
      </c>
      <c r="H67" s="15" t="s">
        <v>471</v>
      </c>
      <c r="I67" s="9">
        <v>3</v>
      </c>
    </row>
    <row r="68" spans="2:10">
      <c r="B68" s="9" t="str">
        <f t="shared" si="5"/>
        <v>0x7859</v>
      </c>
      <c r="C68" s="9" t="str">
        <f t="shared" si="6"/>
        <v>0x785B</v>
      </c>
      <c r="D68" s="9">
        <f t="shared" si="7"/>
        <v>30809</v>
      </c>
      <c r="E68" s="9">
        <f t="shared" si="8"/>
        <v>30811</v>
      </c>
      <c r="F68" s="9" t="s">
        <v>2153</v>
      </c>
      <c r="H68" s="15" t="s">
        <v>471</v>
      </c>
      <c r="I68" s="9">
        <v>3</v>
      </c>
    </row>
    <row r="69" spans="2:10">
      <c r="B69" s="9" t="str">
        <f t="shared" si="5"/>
        <v>0x785C</v>
      </c>
      <c r="C69" s="9" t="str">
        <f t="shared" si="6"/>
        <v>0x785E</v>
      </c>
      <c r="D69" s="9">
        <f t="shared" si="7"/>
        <v>30812</v>
      </c>
      <c r="E69" s="9">
        <f t="shared" si="8"/>
        <v>30814</v>
      </c>
      <c r="F69" s="9" t="s">
        <v>2154</v>
      </c>
      <c r="H69" s="15" t="s">
        <v>471</v>
      </c>
      <c r="I69" s="9">
        <v>3</v>
      </c>
    </row>
    <row r="70" spans="2:10">
      <c r="B70" s="9" t="str">
        <f t="shared" si="5"/>
        <v>0x785F</v>
      </c>
      <c r="C70" s="9" t="str">
        <f t="shared" si="6"/>
        <v>0x7861</v>
      </c>
      <c r="D70" s="9">
        <f t="shared" si="7"/>
        <v>30815</v>
      </c>
      <c r="E70" s="9">
        <f t="shared" si="8"/>
        <v>30817</v>
      </c>
      <c r="F70" s="9" t="s">
        <v>2155</v>
      </c>
      <c r="H70" s="15" t="s">
        <v>471</v>
      </c>
      <c r="I70" s="9">
        <v>3</v>
      </c>
    </row>
    <row r="71" spans="2:10">
      <c r="B71" s="9" t="str">
        <f t="shared" si="5"/>
        <v>0x7862</v>
      </c>
      <c r="C71" s="9" t="str">
        <f t="shared" si="6"/>
        <v>0x7864</v>
      </c>
      <c r="D71" s="9">
        <f t="shared" si="7"/>
        <v>30818</v>
      </c>
      <c r="E71" s="9">
        <f t="shared" si="8"/>
        <v>30820</v>
      </c>
      <c r="F71" s="9" t="s">
        <v>2156</v>
      </c>
      <c r="H71" s="15" t="s">
        <v>471</v>
      </c>
      <c r="I71" s="9">
        <v>3</v>
      </c>
    </row>
    <row r="72" spans="2:10">
      <c r="B72" s="9" t="str">
        <f t="shared" si="5"/>
        <v>0x7865</v>
      </c>
      <c r="C72" s="9" t="str">
        <f t="shared" si="6"/>
        <v>0x7867</v>
      </c>
      <c r="D72" s="9">
        <f t="shared" si="7"/>
        <v>30821</v>
      </c>
      <c r="E72" s="9">
        <f t="shared" si="8"/>
        <v>30823</v>
      </c>
      <c r="F72" s="9" t="s">
        <v>2157</v>
      </c>
      <c r="H72" s="15" t="s">
        <v>471</v>
      </c>
      <c r="I72" s="9">
        <v>3</v>
      </c>
    </row>
    <row r="73" spans="2:10">
      <c r="B73" s="9" t="str">
        <f t="shared" si="5"/>
        <v>0x7868</v>
      </c>
      <c r="C73" s="9" t="str">
        <f t="shared" si="6"/>
        <v>0x786A</v>
      </c>
      <c r="D73" s="9">
        <f t="shared" si="7"/>
        <v>30824</v>
      </c>
      <c r="E73" s="9">
        <f t="shared" si="8"/>
        <v>30826</v>
      </c>
      <c r="F73" s="9" t="s">
        <v>2158</v>
      </c>
      <c r="H73" s="15" t="s">
        <v>471</v>
      </c>
      <c r="I73" s="9">
        <v>3</v>
      </c>
    </row>
    <row r="74" spans="2:10">
      <c r="B74" s="9" t="str">
        <f t="shared" si="5"/>
        <v>0x786B</v>
      </c>
      <c r="C74" s="9" t="str">
        <f t="shared" si="6"/>
        <v>0x786D</v>
      </c>
      <c r="D74" s="9">
        <f t="shared" si="7"/>
        <v>30827</v>
      </c>
      <c r="E74" s="9">
        <f t="shared" si="8"/>
        <v>30829</v>
      </c>
      <c r="F74" s="9" t="s">
        <v>2159</v>
      </c>
      <c r="H74" s="15" t="s">
        <v>471</v>
      </c>
      <c r="I74" s="9">
        <v>3</v>
      </c>
    </row>
    <row r="75" spans="2:10">
      <c r="B75" s="9" t="str">
        <f t="shared" si="5"/>
        <v>0x786E</v>
      </c>
      <c r="C75" s="9" t="str">
        <f t="shared" si="6"/>
        <v>0x7897</v>
      </c>
      <c r="D75" s="9">
        <v>30830</v>
      </c>
      <c r="E75" s="9">
        <v>30871</v>
      </c>
      <c r="F75" s="9" t="s">
        <v>2160</v>
      </c>
      <c r="H75" s="15" t="s">
        <v>471</v>
      </c>
      <c r="I75" s="9">
        <v>42</v>
      </c>
      <c r="J75" s="9" t="s">
        <v>2161</v>
      </c>
    </row>
    <row r="76" spans="2:10">
      <c r="B76" s="9" t="str">
        <f t="shared" si="5"/>
        <v>0x7898</v>
      </c>
      <c r="C76" s="9" t="str">
        <f t="shared" si="6"/>
        <v>0x78C1</v>
      </c>
      <c r="D76" s="9">
        <v>30872</v>
      </c>
      <c r="E76" s="9">
        <v>30913</v>
      </c>
      <c r="F76" s="9" t="s">
        <v>2162</v>
      </c>
      <c r="H76" s="15" t="s">
        <v>471</v>
      </c>
      <c r="I76" s="9">
        <v>42</v>
      </c>
      <c r="J76" s="9" t="s">
        <v>2161</v>
      </c>
    </row>
    <row r="77" spans="2:10">
      <c r="B77" s="9" t="str">
        <f t="shared" si="5"/>
        <v>0x78C2</v>
      </c>
      <c r="C77" s="9" t="str">
        <f t="shared" si="6"/>
        <v>0x78EB</v>
      </c>
      <c r="D77" s="9">
        <v>30914</v>
      </c>
      <c r="E77" s="9">
        <v>30955</v>
      </c>
      <c r="F77" s="9" t="s">
        <v>2163</v>
      </c>
      <c r="H77" s="15" t="s">
        <v>471</v>
      </c>
      <c r="I77" s="9">
        <v>42</v>
      </c>
      <c r="J77" s="9" t="s">
        <v>2161</v>
      </c>
    </row>
    <row r="78" spans="2:10">
      <c r="B78" s="9" t="str">
        <f t="shared" si="5"/>
        <v>0x78EC</v>
      </c>
      <c r="C78" s="9" t="str">
        <f t="shared" si="6"/>
        <v>0x7915</v>
      </c>
      <c r="D78" s="9">
        <v>30956</v>
      </c>
      <c r="E78" s="9">
        <v>30997</v>
      </c>
      <c r="F78" s="9" t="s">
        <v>2164</v>
      </c>
      <c r="H78" s="15" t="s">
        <v>471</v>
      </c>
      <c r="I78" s="9">
        <v>42</v>
      </c>
      <c r="J78" s="9" t="s">
        <v>2161</v>
      </c>
    </row>
    <row r="79" spans="2:10">
      <c r="B79" s="9" t="str">
        <f t="shared" si="5"/>
        <v>0x7916</v>
      </c>
      <c r="C79" s="9" t="str">
        <f t="shared" si="6"/>
        <v>0x793F</v>
      </c>
      <c r="D79" s="9">
        <v>30998</v>
      </c>
      <c r="E79" s="9">
        <v>31039</v>
      </c>
      <c r="F79" s="9" t="s">
        <v>2165</v>
      </c>
      <c r="H79" s="15" t="s">
        <v>471</v>
      </c>
      <c r="I79" s="9">
        <v>42</v>
      </c>
      <c r="J79" s="9" t="s">
        <v>2161</v>
      </c>
    </row>
    <row r="80" spans="2:10">
      <c r="B80" s="9" t="str">
        <f t="shared" si="5"/>
        <v>0x7940</v>
      </c>
      <c r="C80" s="9" t="str">
        <f t="shared" si="6"/>
        <v>0x7969</v>
      </c>
      <c r="D80" s="9">
        <v>31040</v>
      </c>
      <c r="E80" s="9">
        <v>31081</v>
      </c>
      <c r="F80" s="9" t="s">
        <v>2166</v>
      </c>
      <c r="H80" s="15" t="s">
        <v>471</v>
      </c>
      <c r="I80" s="9">
        <v>42</v>
      </c>
      <c r="J80" s="9" t="s">
        <v>2161</v>
      </c>
    </row>
    <row r="81" spans="1:10">
      <c r="B81" s="9" t="str">
        <f t="shared" si="5"/>
        <v>0x796A</v>
      </c>
      <c r="C81" s="9" t="str">
        <f t="shared" si="6"/>
        <v>0x7993</v>
      </c>
      <c r="D81" s="9">
        <v>31082</v>
      </c>
      <c r="E81" s="9">
        <v>31123</v>
      </c>
      <c r="F81" s="9" t="s">
        <v>2167</v>
      </c>
      <c r="H81" s="15" t="s">
        <v>471</v>
      </c>
      <c r="I81" s="9">
        <v>42</v>
      </c>
      <c r="J81" s="9" t="s">
        <v>2161</v>
      </c>
    </row>
    <row r="82" spans="1:10">
      <c r="B82" s="9" t="str">
        <f t="shared" si="5"/>
        <v>0x7994</v>
      </c>
      <c r="C82" s="9" t="str">
        <f t="shared" si="6"/>
        <v>0x79BD</v>
      </c>
      <c r="D82" s="9">
        <v>31124</v>
      </c>
      <c r="E82" s="9">
        <v>31165</v>
      </c>
      <c r="F82" s="9" t="s">
        <v>2168</v>
      </c>
      <c r="H82" s="15" t="s">
        <v>471</v>
      </c>
      <c r="I82" s="9">
        <v>42</v>
      </c>
      <c r="J82" s="9" t="s">
        <v>2161</v>
      </c>
    </row>
    <row r="83" spans="1:10">
      <c r="B83" s="9" t="str">
        <f t="shared" si="5"/>
        <v>0x79BE</v>
      </c>
      <c r="C83" s="9" t="str">
        <f t="shared" si="6"/>
        <v>0x79E7</v>
      </c>
      <c r="D83" s="9">
        <v>31166</v>
      </c>
      <c r="E83" s="9">
        <v>31207</v>
      </c>
      <c r="F83" s="9" t="s">
        <v>2169</v>
      </c>
      <c r="H83" s="15" t="s">
        <v>471</v>
      </c>
      <c r="I83" s="9">
        <v>42</v>
      </c>
      <c r="J83" s="9" t="s">
        <v>2161</v>
      </c>
    </row>
    <row r="84" spans="1:10">
      <c r="B84" s="9" t="str">
        <f t="shared" si="5"/>
        <v>0x79E8</v>
      </c>
      <c r="C84" s="9" t="str">
        <f t="shared" si="6"/>
        <v>0x7A11</v>
      </c>
      <c r="D84" s="9">
        <v>31208</v>
      </c>
      <c r="E84" s="9">
        <v>31249</v>
      </c>
      <c r="F84" s="9" t="s">
        <v>2170</v>
      </c>
      <c r="H84" s="15" t="s">
        <v>471</v>
      </c>
      <c r="I84" s="9">
        <v>42</v>
      </c>
      <c r="J84" s="9" t="s">
        <v>2161</v>
      </c>
    </row>
    <row r="85" spans="1:10">
      <c r="B85" s="9" t="str">
        <f t="shared" si="5"/>
        <v>0x7A12</v>
      </c>
      <c r="C85" s="9" t="str">
        <f t="shared" si="6"/>
        <v>0x7A3B</v>
      </c>
      <c r="D85" s="9">
        <v>31250</v>
      </c>
      <c r="E85" s="9">
        <v>31291</v>
      </c>
      <c r="F85" s="9" t="s">
        <v>2171</v>
      </c>
      <c r="H85" s="15" t="s">
        <v>471</v>
      </c>
      <c r="I85" s="9">
        <v>42</v>
      </c>
      <c r="J85" s="9" t="s">
        <v>2161</v>
      </c>
    </row>
    <row r="86" spans="1:10">
      <c r="B86" s="9" t="str">
        <f t="shared" si="5"/>
        <v>0x7A3C</v>
      </c>
      <c r="C86" s="9" t="str">
        <f t="shared" si="6"/>
        <v>0x7A65</v>
      </c>
      <c r="D86" s="9">
        <v>31292</v>
      </c>
      <c r="E86" s="9">
        <v>31333</v>
      </c>
      <c r="F86" s="9" t="s">
        <v>2172</v>
      </c>
      <c r="H86" s="15" t="s">
        <v>471</v>
      </c>
      <c r="I86" s="9">
        <v>42</v>
      </c>
      <c r="J86" s="9" t="s">
        <v>2161</v>
      </c>
    </row>
    <row r="87" spans="1:10">
      <c r="B87" s="9" t="str">
        <f t="shared" si="5"/>
        <v>0x7A66</v>
      </c>
      <c r="C87" s="9" t="str">
        <f t="shared" si="6"/>
        <v>0x7A8F</v>
      </c>
      <c r="D87" s="9">
        <v>31334</v>
      </c>
      <c r="E87" s="9">
        <v>31375</v>
      </c>
      <c r="F87" s="9" t="s">
        <v>2173</v>
      </c>
      <c r="H87" s="15" t="s">
        <v>471</v>
      </c>
      <c r="I87" s="9">
        <v>42</v>
      </c>
      <c r="J87" s="9" t="s">
        <v>2161</v>
      </c>
    </row>
    <row r="88" spans="1:10">
      <c r="A88" s="8" t="s">
        <v>286</v>
      </c>
      <c r="H88" s="15"/>
    </row>
    <row r="89" spans="1:10" ht="25.5">
      <c r="B89" s="9" t="str">
        <f t="shared" ref="B89:B118" si="9">"0x"&amp;DEC2HEX(D89,4)</f>
        <v>0x7A90</v>
      </c>
      <c r="C89" s="9" t="str">
        <f t="shared" ref="C89:C118" si="10">"0x"&amp;DEC2HEX(E89,4)</f>
        <v>0x7A92</v>
      </c>
      <c r="D89" s="9">
        <v>31376</v>
      </c>
      <c r="E89" s="9">
        <v>31378</v>
      </c>
      <c r="F89" s="7" t="s">
        <v>2174</v>
      </c>
      <c r="H89" s="15" t="s">
        <v>471</v>
      </c>
      <c r="I89" s="9">
        <v>3</v>
      </c>
    </row>
    <row r="90" spans="1:10">
      <c r="B90" s="9" t="str">
        <f t="shared" si="9"/>
        <v>0x7A93</v>
      </c>
      <c r="C90" s="9" t="str">
        <f t="shared" si="10"/>
        <v>0x7A95</v>
      </c>
      <c r="D90" s="9">
        <v>31379</v>
      </c>
      <c r="E90" s="9">
        <v>31381</v>
      </c>
      <c r="F90" s="9" t="s">
        <v>2175</v>
      </c>
      <c r="H90" s="15" t="s">
        <v>471</v>
      </c>
      <c r="I90" s="9">
        <v>3</v>
      </c>
    </row>
    <row r="91" spans="1:10">
      <c r="B91" s="9" t="str">
        <f t="shared" si="9"/>
        <v>0x7A96</v>
      </c>
      <c r="C91" s="9" t="str">
        <f t="shared" si="10"/>
        <v>0x7A98</v>
      </c>
      <c r="D91" s="9">
        <v>31382</v>
      </c>
      <c r="E91" s="9">
        <v>31384</v>
      </c>
      <c r="F91" s="9" t="s">
        <v>2176</v>
      </c>
      <c r="H91" s="15" t="s">
        <v>471</v>
      </c>
      <c r="I91" s="9">
        <v>3</v>
      </c>
    </row>
    <row r="92" spans="1:10">
      <c r="B92" s="9" t="str">
        <f t="shared" si="9"/>
        <v>0x7A99</v>
      </c>
      <c r="C92" s="9" t="str">
        <f t="shared" si="10"/>
        <v>0x7A9B</v>
      </c>
      <c r="D92" s="9">
        <v>31385</v>
      </c>
      <c r="E92" s="9">
        <v>31387</v>
      </c>
      <c r="F92" s="9" t="s">
        <v>2177</v>
      </c>
      <c r="H92" s="15" t="s">
        <v>471</v>
      </c>
      <c r="I92" s="9">
        <v>3</v>
      </c>
    </row>
    <row r="93" spans="1:10">
      <c r="B93" s="9" t="str">
        <f t="shared" si="9"/>
        <v>0x7A9C</v>
      </c>
      <c r="C93" s="9" t="str">
        <f t="shared" si="10"/>
        <v>0x7A9E</v>
      </c>
      <c r="D93" s="9">
        <v>31388</v>
      </c>
      <c r="E93" s="9">
        <v>31390</v>
      </c>
      <c r="F93" s="9" t="s">
        <v>2178</v>
      </c>
      <c r="H93" s="15" t="s">
        <v>471</v>
      </c>
      <c r="I93" s="9">
        <v>3</v>
      </c>
    </row>
    <row r="94" spans="1:10">
      <c r="B94" s="9" t="str">
        <f t="shared" si="9"/>
        <v>0x7A9F</v>
      </c>
      <c r="C94" s="9" t="str">
        <f t="shared" si="10"/>
        <v>0x7AA1</v>
      </c>
      <c r="D94" s="9">
        <v>31391</v>
      </c>
      <c r="E94" s="9">
        <v>31393</v>
      </c>
      <c r="F94" s="9" t="s">
        <v>2179</v>
      </c>
      <c r="H94" s="15" t="s">
        <v>471</v>
      </c>
      <c r="I94" s="9">
        <v>3</v>
      </c>
    </row>
    <row r="95" spans="1:10">
      <c r="B95" s="9" t="str">
        <f t="shared" si="9"/>
        <v>0x7AA2</v>
      </c>
      <c r="C95" s="9" t="str">
        <f t="shared" si="10"/>
        <v>0x7AA4</v>
      </c>
      <c r="D95" s="9">
        <v>31394</v>
      </c>
      <c r="E95" s="9">
        <v>31396</v>
      </c>
      <c r="F95" s="9" t="s">
        <v>2180</v>
      </c>
      <c r="H95" s="15" t="s">
        <v>471</v>
      </c>
      <c r="I95" s="9">
        <v>3</v>
      </c>
    </row>
    <row r="96" spans="1:10">
      <c r="B96" s="9" t="str">
        <f t="shared" si="9"/>
        <v>0x7AA5</v>
      </c>
      <c r="C96" s="9" t="str">
        <f t="shared" si="10"/>
        <v>0x7AA7</v>
      </c>
      <c r="D96" s="9">
        <v>31397</v>
      </c>
      <c r="E96" s="9">
        <v>31399</v>
      </c>
      <c r="F96" s="9" t="s">
        <v>2181</v>
      </c>
      <c r="H96" s="15" t="s">
        <v>471</v>
      </c>
      <c r="I96" s="9">
        <v>3</v>
      </c>
    </row>
    <row r="97" spans="2:9">
      <c r="B97" s="9" t="str">
        <f t="shared" si="9"/>
        <v>0x7AA8</v>
      </c>
      <c r="C97" s="9" t="str">
        <f t="shared" si="10"/>
        <v>0x7AAA</v>
      </c>
      <c r="D97" s="9">
        <v>31400</v>
      </c>
      <c r="E97" s="9">
        <v>31402</v>
      </c>
      <c r="F97" s="9" t="s">
        <v>2182</v>
      </c>
      <c r="H97" s="15" t="s">
        <v>471</v>
      </c>
      <c r="I97" s="9">
        <v>3</v>
      </c>
    </row>
    <row r="98" spans="2:9">
      <c r="B98" s="9" t="str">
        <f t="shared" si="9"/>
        <v>0x7AAB</v>
      </c>
      <c r="C98" s="9" t="str">
        <f t="shared" si="10"/>
        <v>0x7AAD</v>
      </c>
      <c r="D98" s="9">
        <v>31403</v>
      </c>
      <c r="E98" s="9">
        <v>31405</v>
      </c>
      <c r="F98" s="9" t="s">
        <v>2183</v>
      </c>
      <c r="H98" s="15" t="s">
        <v>471</v>
      </c>
      <c r="I98" s="9">
        <v>3</v>
      </c>
    </row>
    <row r="99" spans="2:9">
      <c r="B99" s="9" t="str">
        <f t="shared" si="9"/>
        <v>0x7AAE</v>
      </c>
      <c r="C99" s="9" t="str">
        <f t="shared" si="10"/>
        <v>0x7AB0</v>
      </c>
      <c r="D99" s="9">
        <v>31406</v>
      </c>
      <c r="E99" s="9">
        <v>31408</v>
      </c>
      <c r="F99" s="9" t="s">
        <v>2184</v>
      </c>
      <c r="H99" s="15" t="s">
        <v>471</v>
      </c>
      <c r="I99" s="9">
        <v>3</v>
      </c>
    </row>
    <row r="100" spans="2:9">
      <c r="B100" s="9" t="str">
        <f t="shared" si="9"/>
        <v>0x7AB1</v>
      </c>
      <c r="C100" s="9" t="str">
        <f t="shared" si="10"/>
        <v>0x7AB3</v>
      </c>
      <c r="D100" s="9">
        <v>31409</v>
      </c>
      <c r="E100" s="9">
        <v>31411</v>
      </c>
      <c r="F100" s="9" t="s">
        <v>2185</v>
      </c>
      <c r="H100" s="15" t="s">
        <v>471</v>
      </c>
      <c r="I100" s="9">
        <v>3</v>
      </c>
    </row>
    <row r="101" spans="2:9">
      <c r="B101" s="9" t="str">
        <f t="shared" si="9"/>
        <v>0x7AB4</v>
      </c>
      <c r="C101" s="9" t="str">
        <f t="shared" si="10"/>
        <v>0x7AB6</v>
      </c>
      <c r="D101" s="9">
        <v>31412</v>
      </c>
      <c r="E101" s="9">
        <v>31414</v>
      </c>
      <c r="F101" s="9" t="s">
        <v>2186</v>
      </c>
      <c r="H101" s="15" t="s">
        <v>471</v>
      </c>
      <c r="I101" s="9">
        <v>3</v>
      </c>
    </row>
    <row r="102" spans="2:9">
      <c r="B102" s="9" t="str">
        <f t="shared" si="9"/>
        <v>0x7AB7</v>
      </c>
      <c r="C102" s="9" t="str">
        <f t="shared" si="10"/>
        <v>0x7AB9</v>
      </c>
      <c r="D102" s="9">
        <v>31415</v>
      </c>
      <c r="E102" s="9">
        <v>31417</v>
      </c>
      <c r="F102" s="9" t="s">
        <v>2187</v>
      </c>
      <c r="H102" s="15" t="s">
        <v>471</v>
      </c>
      <c r="I102" s="9">
        <v>3</v>
      </c>
    </row>
    <row r="103" spans="2:9">
      <c r="B103" s="9" t="str">
        <f t="shared" si="9"/>
        <v>0x7ABA</v>
      </c>
      <c r="C103" s="9" t="str">
        <f t="shared" si="10"/>
        <v>0x7ABC</v>
      </c>
      <c r="D103" s="9">
        <v>31418</v>
      </c>
      <c r="E103" s="9">
        <v>31420</v>
      </c>
      <c r="F103" s="9" t="s">
        <v>2188</v>
      </c>
      <c r="H103" s="15" t="s">
        <v>471</v>
      </c>
      <c r="I103" s="9">
        <v>3</v>
      </c>
    </row>
    <row r="104" spans="2:9">
      <c r="B104" s="9" t="str">
        <f t="shared" si="9"/>
        <v>0x7ABD</v>
      </c>
      <c r="C104" s="9" t="str">
        <f t="shared" si="10"/>
        <v>0x7ABF</v>
      </c>
      <c r="D104" s="9">
        <v>31421</v>
      </c>
      <c r="E104" s="9">
        <v>31423</v>
      </c>
      <c r="F104" s="9" t="s">
        <v>2189</v>
      </c>
      <c r="H104" s="15" t="s">
        <v>471</v>
      </c>
      <c r="I104" s="9">
        <v>3</v>
      </c>
    </row>
    <row r="105" spans="2:9">
      <c r="B105" s="9" t="str">
        <f t="shared" si="9"/>
        <v>0x7AC0</v>
      </c>
      <c r="C105" s="9" t="str">
        <f t="shared" si="10"/>
        <v>0x7AC2</v>
      </c>
      <c r="D105" s="9">
        <v>31424</v>
      </c>
      <c r="E105" s="9">
        <v>31426</v>
      </c>
      <c r="F105" s="9" t="s">
        <v>2190</v>
      </c>
      <c r="H105" s="15" t="s">
        <v>471</v>
      </c>
      <c r="I105" s="9">
        <v>3</v>
      </c>
    </row>
    <row r="106" spans="2:9">
      <c r="B106" s="9" t="str">
        <f t="shared" si="9"/>
        <v>0x7AC3</v>
      </c>
      <c r="C106" s="9" t="str">
        <f t="shared" si="10"/>
        <v>0x7AC5</v>
      </c>
      <c r="D106" s="9">
        <v>31427</v>
      </c>
      <c r="E106" s="9">
        <v>31429</v>
      </c>
      <c r="F106" s="9" t="s">
        <v>2191</v>
      </c>
      <c r="H106" s="15" t="s">
        <v>471</v>
      </c>
      <c r="I106" s="9">
        <v>3</v>
      </c>
    </row>
    <row r="107" spans="2:9">
      <c r="B107" s="9" t="str">
        <f t="shared" si="9"/>
        <v>0x7AC6</v>
      </c>
      <c r="C107" s="9" t="str">
        <f t="shared" si="10"/>
        <v>0x7AC8</v>
      </c>
      <c r="D107" s="9">
        <v>31430</v>
      </c>
      <c r="E107" s="9">
        <v>31432</v>
      </c>
      <c r="F107" s="9" t="s">
        <v>2192</v>
      </c>
      <c r="H107" s="15" t="s">
        <v>471</v>
      </c>
      <c r="I107" s="9">
        <v>3</v>
      </c>
    </row>
    <row r="108" spans="2:9">
      <c r="B108" s="9" t="str">
        <f t="shared" si="9"/>
        <v>0x7AC9</v>
      </c>
      <c r="C108" s="9" t="str">
        <f t="shared" si="10"/>
        <v>0x7ACB</v>
      </c>
      <c r="D108" s="9">
        <v>31433</v>
      </c>
      <c r="E108" s="9">
        <v>31435</v>
      </c>
      <c r="F108" s="9" t="s">
        <v>2193</v>
      </c>
      <c r="H108" s="15" t="s">
        <v>471</v>
      </c>
      <c r="I108" s="9">
        <v>3</v>
      </c>
    </row>
    <row r="109" spans="2:9">
      <c r="B109" s="9" t="str">
        <f t="shared" si="9"/>
        <v>0x7ACC</v>
      </c>
      <c r="C109" s="9" t="str">
        <f t="shared" si="10"/>
        <v>0x7ACE</v>
      </c>
      <c r="D109" s="9">
        <v>31436</v>
      </c>
      <c r="E109" s="9">
        <v>31438</v>
      </c>
      <c r="F109" s="9" t="s">
        <v>2194</v>
      </c>
      <c r="H109" s="15" t="s">
        <v>471</v>
      </c>
      <c r="I109" s="9">
        <v>3</v>
      </c>
    </row>
    <row r="110" spans="2:9">
      <c r="B110" s="9" t="str">
        <f t="shared" si="9"/>
        <v>0x7ACF</v>
      </c>
      <c r="C110" s="9" t="str">
        <f t="shared" si="10"/>
        <v>0x7AD1</v>
      </c>
      <c r="D110" s="9">
        <v>31439</v>
      </c>
      <c r="E110" s="9">
        <v>31441</v>
      </c>
      <c r="F110" s="9" t="s">
        <v>2195</v>
      </c>
      <c r="H110" s="15" t="s">
        <v>471</v>
      </c>
      <c r="I110" s="9">
        <v>3</v>
      </c>
    </row>
    <row r="111" spans="2:9">
      <c r="B111" s="9" t="str">
        <f t="shared" si="9"/>
        <v>0x7AD2</v>
      </c>
      <c r="C111" s="9" t="str">
        <f t="shared" si="10"/>
        <v>0x7AD4</v>
      </c>
      <c r="D111" s="9">
        <v>31442</v>
      </c>
      <c r="E111" s="9">
        <v>31444</v>
      </c>
      <c r="F111" s="9" t="s">
        <v>2196</v>
      </c>
      <c r="H111" s="15" t="s">
        <v>471</v>
      </c>
      <c r="I111" s="9">
        <v>3</v>
      </c>
    </row>
    <row r="112" spans="2:9">
      <c r="B112" s="9" t="str">
        <f t="shared" si="9"/>
        <v>0x7AD5</v>
      </c>
      <c r="C112" s="9" t="str">
        <f t="shared" si="10"/>
        <v>0x7AD7</v>
      </c>
      <c r="D112" s="9">
        <v>31445</v>
      </c>
      <c r="E112" s="9">
        <v>31447</v>
      </c>
      <c r="F112" s="9" t="s">
        <v>2197</v>
      </c>
      <c r="H112" s="15" t="s">
        <v>471</v>
      </c>
      <c r="I112" s="9">
        <v>3</v>
      </c>
    </row>
    <row r="113" spans="1:9">
      <c r="B113" s="9" t="str">
        <f t="shared" si="9"/>
        <v>0x7AD8</v>
      </c>
      <c r="C113" s="9" t="str">
        <f t="shared" si="10"/>
        <v>0x7ADA</v>
      </c>
      <c r="D113" s="9">
        <v>31448</v>
      </c>
      <c r="E113" s="9">
        <v>31450</v>
      </c>
      <c r="F113" s="9" t="s">
        <v>2198</v>
      </c>
      <c r="H113" s="15" t="s">
        <v>471</v>
      </c>
      <c r="I113" s="9">
        <v>3</v>
      </c>
    </row>
    <row r="114" spans="1:9">
      <c r="B114" s="9" t="str">
        <f t="shared" si="9"/>
        <v>0x7ADB</v>
      </c>
      <c r="C114" s="9" t="str">
        <f t="shared" si="10"/>
        <v>0x7ADD</v>
      </c>
      <c r="D114" s="9">
        <v>31451</v>
      </c>
      <c r="E114" s="9">
        <v>31453</v>
      </c>
      <c r="F114" s="9" t="s">
        <v>2199</v>
      </c>
      <c r="H114" s="15" t="s">
        <v>471</v>
      </c>
      <c r="I114" s="9">
        <v>3</v>
      </c>
    </row>
    <row r="115" spans="1:9">
      <c r="B115" s="9" t="str">
        <f t="shared" si="9"/>
        <v>0x7ADE</v>
      </c>
      <c r="C115" s="9" t="str">
        <f t="shared" si="10"/>
        <v>0x7AE0</v>
      </c>
      <c r="D115" s="9">
        <v>31454</v>
      </c>
      <c r="E115" s="9">
        <v>31456</v>
      </c>
      <c r="F115" s="9" t="s">
        <v>2200</v>
      </c>
      <c r="H115" s="15" t="s">
        <v>471</v>
      </c>
      <c r="I115" s="9">
        <v>3</v>
      </c>
    </row>
    <row r="116" spans="1:9">
      <c r="B116" s="9" t="str">
        <f t="shared" si="9"/>
        <v>0x7AE1</v>
      </c>
      <c r="C116" s="9" t="str">
        <f t="shared" si="10"/>
        <v>0x7AE3</v>
      </c>
      <c r="D116" s="9">
        <v>31457</v>
      </c>
      <c r="E116" s="9">
        <v>31459</v>
      </c>
      <c r="F116" s="9" t="s">
        <v>2201</v>
      </c>
      <c r="H116" s="15" t="s">
        <v>471</v>
      </c>
      <c r="I116" s="9">
        <v>3</v>
      </c>
    </row>
    <row r="117" spans="1:9">
      <c r="B117" s="9" t="str">
        <f t="shared" si="9"/>
        <v>0x7AE4</v>
      </c>
      <c r="C117" s="9" t="str">
        <f t="shared" si="10"/>
        <v>0x7AE6</v>
      </c>
      <c r="D117" s="9">
        <v>31460</v>
      </c>
      <c r="E117" s="9">
        <v>31462</v>
      </c>
      <c r="F117" s="9" t="s">
        <v>2202</v>
      </c>
      <c r="H117" s="15" t="s">
        <v>471</v>
      </c>
      <c r="I117" s="9">
        <v>3</v>
      </c>
    </row>
    <row r="118" spans="1:9">
      <c r="B118" s="9" t="str">
        <f t="shared" si="9"/>
        <v>0x7AE7</v>
      </c>
      <c r="C118" s="9" t="str">
        <f t="shared" si="10"/>
        <v>0x7AE9</v>
      </c>
      <c r="D118" s="9">
        <v>31463</v>
      </c>
      <c r="E118" s="9">
        <v>31465</v>
      </c>
      <c r="F118" s="9" t="s">
        <v>2203</v>
      </c>
      <c r="H118" s="15" t="s">
        <v>471</v>
      </c>
      <c r="I118" s="9">
        <v>3</v>
      </c>
    </row>
    <row r="119" spans="1:9">
      <c r="B119" s="9" t="str">
        <f>"0x"&amp;DEC2HEX(D119,4)</f>
        <v>0x7AEA</v>
      </c>
      <c r="D119" s="9">
        <v>31466</v>
      </c>
      <c r="F119" s="9" t="s">
        <v>2204</v>
      </c>
      <c r="H119" s="15" t="s">
        <v>471</v>
      </c>
    </row>
    <row r="120" spans="1:9">
      <c r="B120" s="9" t="str">
        <f>"0x"&amp;DEC2HEX(D120,4)</f>
        <v>0x7AEB</v>
      </c>
      <c r="D120" s="9">
        <v>31467</v>
      </c>
      <c r="F120" s="9" t="s">
        <v>2205</v>
      </c>
      <c r="H120" s="15" t="s">
        <v>471</v>
      </c>
    </row>
    <row r="121" spans="1:9">
      <c r="B121" s="9" t="str">
        <f>"0x"&amp;DEC2HEX(D121,4)</f>
        <v>0x7AEC</v>
      </c>
      <c r="D121" s="9">
        <v>31468</v>
      </c>
      <c r="F121" s="9" t="s">
        <v>2206</v>
      </c>
      <c r="H121" s="15" t="s">
        <v>471</v>
      </c>
    </row>
    <row r="122" spans="1:9">
      <c r="H122" s="15"/>
    </row>
    <row r="123" spans="1:9">
      <c r="A123" s="8" t="s">
        <v>2858</v>
      </c>
    </row>
    <row r="124" spans="1:9" ht="25.5">
      <c r="B124" s="9" t="str">
        <f t="shared" ref="B124:B155" si="11">"0x"&amp;DEC2HEX(D124,4)</f>
        <v>0x7B00</v>
      </c>
      <c r="C124" s="9" t="str">
        <f t="shared" ref="C124:C153" si="12">"0x"&amp;DEC2HEX(E124,4)</f>
        <v>0x7B02</v>
      </c>
      <c r="D124" s="9">
        <v>31488</v>
      </c>
      <c r="E124" s="9">
        <v>31490</v>
      </c>
      <c r="F124" s="7" t="s">
        <v>2207</v>
      </c>
      <c r="H124" s="15" t="s">
        <v>471</v>
      </c>
      <c r="I124" s="9">
        <v>3</v>
      </c>
    </row>
    <row r="125" spans="1:9">
      <c r="B125" s="9" t="str">
        <f t="shared" si="11"/>
        <v>0x7B03</v>
      </c>
      <c r="C125" s="9" t="str">
        <f t="shared" si="12"/>
        <v>0x7B05</v>
      </c>
      <c r="D125" s="9">
        <v>31491</v>
      </c>
      <c r="E125" s="9">
        <v>31493</v>
      </c>
      <c r="F125" s="9" t="s">
        <v>2208</v>
      </c>
      <c r="H125" s="15" t="s">
        <v>471</v>
      </c>
      <c r="I125" s="9">
        <v>3</v>
      </c>
    </row>
    <row r="126" spans="1:9">
      <c r="B126" s="9" t="str">
        <f t="shared" si="11"/>
        <v>0x7B06</v>
      </c>
      <c r="C126" s="9" t="str">
        <f t="shared" si="12"/>
        <v>0x7B08</v>
      </c>
      <c r="D126" s="9">
        <v>31494</v>
      </c>
      <c r="E126" s="9">
        <v>31496</v>
      </c>
      <c r="F126" s="9" t="s">
        <v>2209</v>
      </c>
      <c r="H126" s="15" t="s">
        <v>471</v>
      </c>
      <c r="I126" s="9">
        <v>3</v>
      </c>
    </row>
    <row r="127" spans="1:9">
      <c r="B127" s="9" t="str">
        <f t="shared" si="11"/>
        <v>0x7B09</v>
      </c>
      <c r="C127" s="9" t="str">
        <f t="shared" si="12"/>
        <v>0x7B0B</v>
      </c>
      <c r="D127" s="9">
        <v>31497</v>
      </c>
      <c r="E127" s="9">
        <v>31499</v>
      </c>
      <c r="F127" s="9" t="s">
        <v>2210</v>
      </c>
      <c r="H127" s="15" t="s">
        <v>471</v>
      </c>
      <c r="I127" s="9">
        <v>3</v>
      </c>
    </row>
    <row r="128" spans="1:9">
      <c r="B128" s="9" t="str">
        <f t="shared" si="11"/>
        <v>0x7B0C</v>
      </c>
      <c r="C128" s="9" t="str">
        <f t="shared" si="12"/>
        <v>0x7B0E</v>
      </c>
      <c r="D128" s="9">
        <v>31500</v>
      </c>
      <c r="E128" s="9">
        <v>31502</v>
      </c>
      <c r="F128" s="9" t="s">
        <v>2211</v>
      </c>
      <c r="H128" s="15" t="s">
        <v>471</v>
      </c>
      <c r="I128" s="9">
        <v>3</v>
      </c>
    </row>
    <row r="129" spans="2:9">
      <c r="B129" s="9" t="str">
        <f t="shared" si="11"/>
        <v>0x7B0F</v>
      </c>
      <c r="C129" s="9" t="str">
        <f t="shared" si="12"/>
        <v>0x7B11</v>
      </c>
      <c r="D129" s="9">
        <v>31503</v>
      </c>
      <c r="E129" s="9">
        <v>31505</v>
      </c>
      <c r="F129" s="9" t="s">
        <v>2212</v>
      </c>
      <c r="H129" s="15" t="s">
        <v>471</v>
      </c>
      <c r="I129" s="9">
        <v>3</v>
      </c>
    </row>
    <row r="130" spans="2:9">
      <c r="B130" s="9" t="str">
        <f t="shared" si="11"/>
        <v>0x7B12</v>
      </c>
      <c r="C130" s="9" t="str">
        <f t="shared" si="12"/>
        <v>0x7B14</v>
      </c>
      <c r="D130" s="9">
        <v>31506</v>
      </c>
      <c r="E130" s="9">
        <v>31508</v>
      </c>
      <c r="F130" s="9" t="s">
        <v>2213</v>
      </c>
      <c r="H130" s="15" t="s">
        <v>471</v>
      </c>
      <c r="I130" s="9">
        <v>3</v>
      </c>
    </row>
    <row r="131" spans="2:9">
      <c r="B131" s="9" t="str">
        <f t="shared" si="11"/>
        <v>0x7B15</v>
      </c>
      <c r="C131" s="9" t="str">
        <f t="shared" si="12"/>
        <v>0x7B17</v>
      </c>
      <c r="D131" s="9">
        <v>31509</v>
      </c>
      <c r="E131" s="9">
        <v>31511</v>
      </c>
      <c r="F131" s="9" t="s">
        <v>2214</v>
      </c>
      <c r="H131" s="15" t="s">
        <v>471</v>
      </c>
      <c r="I131" s="9">
        <v>3</v>
      </c>
    </row>
    <row r="132" spans="2:9">
      <c r="B132" s="9" t="str">
        <f t="shared" si="11"/>
        <v>0x7B18</v>
      </c>
      <c r="C132" s="9" t="str">
        <f t="shared" si="12"/>
        <v>0x7B1A</v>
      </c>
      <c r="D132" s="9">
        <v>31512</v>
      </c>
      <c r="E132" s="9">
        <v>31514</v>
      </c>
      <c r="F132" s="9" t="s">
        <v>2215</v>
      </c>
      <c r="H132" s="15" t="s">
        <v>471</v>
      </c>
      <c r="I132" s="9">
        <v>3</v>
      </c>
    </row>
    <row r="133" spans="2:9">
      <c r="B133" s="9" t="str">
        <f t="shared" si="11"/>
        <v>0x7B1B</v>
      </c>
      <c r="C133" s="9" t="str">
        <f t="shared" si="12"/>
        <v>0x7B1D</v>
      </c>
      <c r="D133" s="9">
        <v>31515</v>
      </c>
      <c r="E133" s="9">
        <v>31517</v>
      </c>
      <c r="F133" s="9" t="s">
        <v>2216</v>
      </c>
      <c r="H133" s="15" t="s">
        <v>471</v>
      </c>
      <c r="I133" s="9">
        <v>3</v>
      </c>
    </row>
    <row r="134" spans="2:9">
      <c r="B134" s="9" t="str">
        <f t="shared" si="11"/>
        <v>0x7B1E</v>
      </c>
      <c r="C134" s="9" t="str">
        <f t="shared" si="12"/>
        <v>0x7B20</v>
      </c>
      <c r="D134" s="9">
        <v>31518</v>
      </c>
      <c r="E134" s="9">
        <v>31520</v>
      </c>
      <c r="F134" s="9" t="s">
        <v>2217</v>
      </c>
      <c r="H134" s="15" t="s">
        <v>471</v>
      </c>
      <c r="I134" s="9">
        <v>3</v>
      </c>
    </row>
    <row r="135" spans="2:9">
      <c r="B135" s="9" t="str">
        <f t="shared" si="11"/>
        <v>0x7B21</v>
      </c>
      <c r="C135" s="9" t="str">
        <f t="shared" si="12"/>
        <v>0x7B23</v>
      </c>
      <c r="D135" s="9">
        <v>31521</v>
      </c>
      <c r="E135" s="9">
        <v>31523</v>
      </c>
      <c r="F135" s="9" t="s">
        <v>2218</v>
      </c>
      <c r="H135" s="15" t="s">
        <v>471</v>
      </c>
      <c r="I135" s="9">
        <v>3</v>
      </c>
    </row>
    <row r="136" spans="2:9">
      <c r="B136" s="9" t="str">
        <f t="shared" si="11"/>
        <v>0x7B24</v>
      </c>
      <c r="C136" s="9" t="str">
        <f t="shared" si="12"/>
        <v>0x7B26</v>
      </c>
      <c r="D136" s="9">
        <v>31524</v>
      </c>
      <c r="E136" s="9">
        <v>31526</v>
      </c>
      <c r="F136" s="9" t="s">
        <v>2219</v>
      </c>
      <c r="H136" s="15" t="s">
        <v>471</v>
      </c>
      <c r="I136" s="9">
        <v>3</v>
      </c>
    </row>
    <row r="137" spans="2:9">
      <c r="B137" s="9" t="str">
        <f t="shared" si="11"/>
        <v>0x7B27</v>
      </c>
      <c r="C137" s="9" t="str">
        <f t="shared" si="12"/>
        <v>0x7B29</v>
      </c>
      <c r="D137" s="9">
        <v>31527</v>
      </c>
      <c r="E137" s="9">
        <v>31529</v>
      </c>
      <c r="F137" s="9" t="s">
        <v>2220</v>
      </c>
      <c r="H137" s="15" t="s">
        <v>471</v>
      </c>
      <c r="I137" s="9">
        <v>3</v>
      </c>
    </row>
    <row r="138" spans="2:9">
      <c r="B138" s="9" t="str">
        <f t="shared" si="11"/>
        <v>0x7B2A</v>
      </c>
      <c r="C138" s="9" t="str">
        <f t="shared" si="12"/>
        <v>0x7B2C</v>
      </c>
      <c r="D138" s="9">
        <v>31530</v>
      </c>
      <c r="E138" s="9">
        <v>31532</v>
      </c>
      <c r="F138" s="9" t="s">
        <v>2221</v>
      </c>
      <c r="H138" s="15" t="s">
        <v>471</v>
      </c>
      <c r="I138" s="9">
        <v>3</v>
      </c>
    </row>
    <row r="139" spans="2:9">
      <c r="B139" s="9" t="str">
        <f t="shared" si="11"/>
        <v>0x7B2D</v>
      </c>
      <c r="C139" s="9" t="str">
        <f t="shared" si="12"/>
        <v>0x7B2F</v>
      </c>
      <c r="D139" s="9">
        <v>31533</v>
      </c>
      <c r="E139" s="9">
        <v>31535</v>
      </c>
      <c r="F139" s="9" t="s">
        <v>2222</v>
      </c>
      <c r="H139" s="15" t="s">
        <v>471</v>
      </c>
      <c r="I139" s="9">
        <v>3</v>
      </c>
    </row>
    <row r="140" spans="2:9">
      <c r="B140" s="9" t="str">
        <f t="shared" si="11"/>
        <v>0x7B30</v>
      </c>
      <c r="C140" s="9" t="str">
        <f t="shared" si="12"/>
        <v>0x7B32</v>
      </c>
      <c r="D140" s="9">
        <v>31536</v>
      </c>
      <c r="E140" s="9">
        <v>31538</v>
      </c>
      <c r="F140" s="9" t="s">
        <v>2223</v>
      </c>
      <c r="H140" s="15" t="s">
        <v>471</v>
      </c>
      <c r="I140" s="9">
        <v>3</v>
      </c>
    </row>
    <row r="141" spans="2:9">
      <c r="B141" s="9" t="str">
        <f t="shared" si="11"/>
        <v>0x7B33</v>
      </c>
      <c r="C141" s="9" t="str">
        <f t="shared" si="12"/>
        <v>0x7B35</v>
      </c>
      <c r="D141" s="9">
        <v>31539</v>
      </c>
      <c r="E141" s="9">
        <v>31541</v>
      </c>
      <c r="F141" s="9" t="s">
        <v>2224</v>
      </c>
      <c r="H141" s="15" t="s">
        <v>471</v>
      </c>
      <c r="I141" s="9">
        <v>3</v>
      </c>
    </row>
    <row r="142" spans="2:9">
      <c r="B142" s="9" t="str">
        <f t="shared" si="11"/>
        <v>0x7B36</v>
      </c>
      <c r="C142" s="9" t="str">
        <f t="shared" si="12"/>
        <v>0x7B38</v>
      </c>
      <c r="D142" s="9">
        <v>31542</v>
      </c>
      <c r="E142" s="9">
        <v>31544</v>
      </c>
      <c r="F142" s="9" t="s">
        <v>2225</v>
      </c>
      <c r="H142" s="15" t="s">
        <v>471</v>
      </c>
      <c r="I142" s="9">
        <v>3</v>
      </c>
    </row>
    <row r="143" spans="2:9">
      <c r="B143" s="9" t="str">
        <f t="shared" si="11"/>
        <v>0x7B39</v>
      </c>
      <c r="C143" s="9" t="str">
        <f t="shared" si="12"/>
        <v>0x7B3B</v>
      </c>
      <c r="D143" s="9">
        <v>31545</v>
      </c>
      <c r="E143" s="9">
        <v>31547</v>
      </c>
      <c r="F143" s="9" t="s">
        <v>2226</v>
      </c>
      <c r="H143" s="15" t="s">
        <v>471</v>
      </c>
      <c r="I143" s="9">
        <v>3</v>
      </c>
    </row>
    <row r="144" spans="2:9">
      <c r="B144" s="9" t="str">
        <f t="shared" si="11"/>
        <v>0x7B3C</v>
      </c>
      <c r="C144" s="9" t="str">
        <f t="shared" si="12"/>
        <v>0x7B3E</v>
      </c>
      <c r="D144" s="9">
        <v>31548</v>
      </c>
      <c r="E144" s="9">
        <v>31550</v>
      </c>
      <c r="F144" s="9" t="s">
        <v>2227</v>
      </c>
      <c r="H144" s="15" t="s">
        <v>471</v>
      </c>
      <c r="I144" s="9">
        <v>3</v>
      </c>
    </row>
    <row r="145" spans="2:9">
      <c r="B145" s="9" t="str">
        <f t="shared" si="11"/>
        <v>0x7B3F</v>
      </c>
      <c r="C145" s="9" t="str">
        <f t="shared" si="12"/>
        <v>0x7B41</v>
      </c>
      <c r="D145" s="9">
        <v>31551</v>
      </c>
      <c r="E145" s="9">
        <v>31553</v>
      </c>
      <c r="F145" s="9" t="s">
        <v>2228</v>
      </c>
      <c r="H145" s="15" t="s">
        <v>471</v>
      </c>
      <c r="I145" s="9">
        <v>3</v>
      </c>
    </row>
    <row r="146" spans="2:9">
      <c r="B146" s="9" t="str">
        <f t="shared" si="11"/>
        <v>0x7B42</v>
      </c>
      <c r="C146" s="9" t="str">
        <f t="shared" si="12"/>
        <v>0x7B44</v>
      </c>
      <c r="D146" s="9">
        <v>31554</v>
      </c>
      <c r="E146" s="9">
        <v>31556</v>
      </c>
      <c r="F146" s="9" t="s">
        <v>2229</v>
      </c>
      <c r="H146" s="15" t="s">
        <v>471</v>
      </c>
      <c r="I146" s="9">
        <v>3</v>
      </c>
    </row>
    <row r="147" spans="2:9">
      <c r="B147" s="9" t="str">
        <f t="shared" si="11"/>
        <v>0x7B45</v>
      </c>
      <c r="C147" s="9" t="str">
        <f t="shared" si="12"/>
        <v>0x7B47</v>
      </c>
      <c r="D147" s="9">
        <v>31557</v>
      </c>
      <c r="E147" s="9">
        <v>31559</v>
      </c>
      <c r="F147" s="9" t="s">
        <v>2230</v>
      </c>
      <c r="H147" s="15" t="s">
        <v>471</v>
      </c>
      <c r="I147" s="9">
        <v>3</v>
      </c>
    </row>
    <row r="148" spans="2:9">
      <c r="B148" s="9" t="str">
        <f t="shared" si="11"/>
        <v>0x7B48</v>
      </c>
      <c r="C148" s="9" t="str">
        <f t="shared" si="12"/>
        <v>0x7B4A</v>
      </c>
      <c r="D148" s="9">
        <v>31560</v>
      </c>
      <c r="E148" s="9">
        <v>31562</v>
      </c>
      <c r="F148" s="9" t="s">
        <v>2231</v>
      </c>
      <c r="H148" s="15" t="s">
        <v>471</v>
      </c>
      <c r="I148" s="9">
        <v>3</v>
      </c>
    </row>
    <row r="149" spans="2:9">
      <c r="B149" s="9" t="str">
        <f t="shared" si="11"/>
        <v>0x7B4B</v>
      </c>
      <c r="C149" s="9" t="str">
        <f t="shared" si="12"/>
        <v>0x7B4D</v>
      </c>
      <c r="D149" s="9">
        <v>31563</v>
      </c>
      <c r="E149" s="9">
        <v>31565</v>
      </c>
      <c r="F149" s="9" t="s">
        <v>2232</v>
      </c>
      <c r="H149" s="15" t="s">
        <v>471</v>
      </c>
      <c r="I149" s="9">
        <v>3</v>
      </c>
    </row>
    <row r="150" spans="2:9">
      <c r="B150" s="9" t="str">
        <f t="shared" si="11"/>
        <v>0x7B4E</v>
      </c>
      <c r="C150" s="9" t="str">
        <f t="shared" si="12"/>
        <v>0x7B50</v>
      </c>
      <c r="D150" s="9">
        <v>31566</v>
      </c>
      <c r="E150" s="9">
        <v>31568</v>
      </c>
      <c r="F150" s="9" t="s">
        <v>2233</v>
      </c>
      <c r="H150" s="15" t="s">
        <v>471</v>
      </c>
      <c r="I150" s="9">
        <v>3</v>
      </c>
    </row>
    <row r="151" spans="2:9">
      <c r="B151" s="9" t="str">
        <f t="shared" si="11"/>
        <v>0x7B51</v>
      </c>
      <c r="C151" s="9" t="str">
        <f t="shared" si="12"/>
        <v>0x7B53</v>
      </c>
      <c r="D151" s="9">
        <v>31569</v>
      </c>
      <c r="E151" s="9">
        <v>31571</v>
      </c>
      <c r="F151" s="9" t="s">
        <v>2234</v>
      </c>
      <c r="H151" s="15" t="s">
        <v>471</v>
      </c>
      <c r="I151" s="9">
        <v>3</v>
      </c>
    </row>
    <row r="152" spans="2:9">
      <c r="B152" s="9" t="str">
        <f t="shared" si="11"/>
        <v>0x7B54</v>
      </c>
      <c r="C152" s="9" t="str">
        <f t="shared" si="12"/>
        <v>0x7B56</v>
      </c>
      <c r="D152" s="9">
        <v>31572</v>
      </c>
      <c r="E152" s="9">
        <v>31574</v>
      </c>
      <c r="F152" s="9" t="s">
        <v>2235</v>
      </c>
      <c r="H152" s="15" t="s">
        <v>471</v>
      </c>
      <c r="I152" s="9">
        <v>3</v>
      </c>
    </row>
    <row r="153" spans="2:9">
      <c r="B153" s="9" t="str">
        <f t="shared" si="11"/>
        <v>0x7B57</v>
      </c>
      <c r="C153" s="9" t="str">
        <f t="shared" si="12"/>
        <v>0x7B59</v>
      </c>
      <c r="D153" s="9">
        <v>31575</v>
      </c>
      <c r="E153" s="9">
        <v>31577</v>
      </c>
      <c r="F153" s="9" t="s">
        <v>2236</v>
      </c>
      <c r="H153" s="15" t="s">
        <v>471</v>
      </c>
      <c r="I153" s="9">
        <v>3</v>
      </c>
    </row>
    <row r="154" spans="2:9">
      <c r="B154" s="9" t="str">
        <f t="shared" si="11"/>
        <v>0x7B5A</v>
      </c>
      <c r="D154" s="9">
        <v>31578</v>
      </c>
      <c r="F154" s="9" t="s">
        <v>2237</v>
      </c>
      <c r="H154" s="15" t="s">
        <v>471</v>
      </c>
    </row>
    <row r="155" spans="2:9">
      <c r="B155" s="9" t="str">
        <f t="shared" si="11"/>
        <v>0x7B5B</v>
      </c>
      <c r="D155" s="9">
        <v>31579</v>
      </c>
      <c r="F155" s="9" t="s">
        <v>2238</v>
      </c>
      <c r="H155" s="15" t="s">
        <v>471</v>
      </c>
    </row>
    <row r="156" spans="2:9">
      <c r="B156" s="9" t="str">
        <f t="shared" ref="B156:B187" si="13">"0x"&amp;DEC2HEX(D156,4)</f>
        <v>0x7B5C</v>
      </c>
      <c r="C156" s="9" t="str">
        <f t="shared" ref="C156:C185" si="14">"0x"&amp;DEC2HEX(E156,4)</f>
        <v>0x7B5E</v>
      </c>
      <c r="D156" s="9">
        <v>31580</v>
      </c>
      <c r="E156" s="9">
        <v>31582</v>
      </c>
      <c r="F156" s="7" t="s">
        <v>2239</v>
      </c>
      <c r="H156" s="15" t="s">
        <v>471</v>
      </c>
      <c r="I156" s="9">
        <v>3</v>
      </c>
    </row>
    <row r="157" spans="2:9">
      <c r="B157" s="9" t="str">
        <f t="shared" si="13"/>
        <v>0x7B5F</v>
      </c>
      <c r="C157" s="9" t="str">
        <f t="shared" si="14"/>
        <v>0x7B61</v>
      </c>
      <c r="D157" s="9">
        <v>31583</v>
      </c>
      <c r="E157" s="9">
        <v>31585</v>
      </c>
      <c r="F157" s="9" t="s">
        <v>2240</v>
      </c>
      <c r="H157" s="15" t="s">
        <v>471</v>
      </c>
      <c r="I157" s="9">
        <v>3</v>
      </c>
    </row>
    <row r="158" spans="2:9">
      <c r="B158" s="9" t="str">
        <f t="shared" si="13"/>
        <v>0x7B62</v>
      </c>
      <c r="C158" s="9" t="str">
        <f t="shared" si="14"/>
        <v>0x7B64</v>
      </c>
      <c r="D158" s="9">
        <v>31586</v>
      </c>
      <c r="E158" s="9">
        <v>31588</v>
      </c>
      <c r="F158" s="9" t="s">
        <v>2241</v>
      </c>
      <c r="H158" s="15" t="s">
        <v>471</v>
      </c>
      <c r="I158" s="9">
        <v>3</v>
      </c>
    </row>
    <row r="159" spans="2:9">
      <c r="B159" s="9" t="str">
        <f t="shared" si="13"/>
        <v>0x7B65</v>
      </c>
      <c r="C159" s="9" t="str">
        <f t="shared" si="14"/>
        <v>0x7B67</v>
      </c>
      <c r="D159" s="9">
        <v>31589</v>
      </c>
      <c r="E159" s="9">
        <v>31591</v>
      </c>
      <c r="F159" s="9" t="s">
        <v>2242</v>
      </c>
      <c r="H159" s="15" t="s">
        <v>471</v>
      </c>
      <c r="I159" s="9">
        <v>3</v>
      </c>
    </row>
    <row r="160" spans="2:9">
      <c r="B160" s="9" t="str">
        <f t="shared" si="13"/>
        <v>0x7B68</v>
      </c>
      <c r="C160" s="9" t="str">
        <f t="shared" si="14"/>
        <v>0x7B6A</v>
      </c>
      <c r="D160" s="9">
        <v>31592</v>
      </c>
      <c r="E160" s="9">
        <v>31594</v>
      </c>
      <c r="F160" s="9" t="s">
        <v>2243</v>
      </c>
      <c r="H160" s="15" t="s">
        <v>471</v>
      </c>
      <c r="I160" s="9">
        <v>3</v>
      </c>
    </row>
    <row r="161" spans="2:9">
      <c r="B161" s="9" t="str">
        <f t="shared" si="13"/>
        <v>0x7B6B</v>
      </c>
      <c r="C161" s="9" t="str">
        <f t="shared" si="14"/>
        <v>0x7B6D</v>
      </c>
      <c r="D161" s="9">
        <v>31595</v>
      </c>
      <c r="E161" s="9">
        <v>31597</v>
      </c>
      <c r="F161" s="9" t="s">
        <v>2244</v>
      </c>
      <c r="H161" s="15" t="s">
        <v>471</v>
      </c>
      <c r="I161" s="9">
        <v>3</v>
      </c>
    </row>
    <row r="162" spans="2:9">
      <c r="B162" s="9" t="str">
        <f t="shared" si="13"/>
        <v>0x7B6E</v>
      </c>
      <c r="C162" s="9" t="str">
        <f t="shared" si="14"/>
        <v>0x7B70</v>
      </c>
      <c r="D162" s="9">
        <v>31598</v>
      </c>
      <c r="E162" s="9">
        <v>31600</v>
      </c>
      <c r="F162" s="9" t="s">
        <v>2245</v>
      </c>
      <c r="H162" s="15" t="s">
        <v>471</v>
      </c>
      <c r="I162" s="9">
        <v>3</v>
      </c>
    </row>
    <row r="163" spans="2:9">
      <c r="B163" s="9" t="str">
        <f t="shared" si="13"/>
        <v>0x7B71</v>
      </c>
      <c r="C163" s="9" t="str">
        <f t="shared" si="14"/>
        <v>0x7B73</v>
      </c>
      <c r="D163" s="9">
        <v>31601</v>
      </c>
      <c r="E163" s="9">
        <v>31603</v>
      </c>
      <c r="F163" s="9" t="s">
        <v>2246</v>
      </c>
      <c r="H163" s="15" t="s">
        <v>471</v>
      </c>
      <c r="I163" s="9">
        <v>3</v>
      </c>
    </row>
    <row r="164" spans="2:9">
      <c r="B164" s="9" t="str">
        <f t="shared" si="13"/>
        <v>0x7B74</v>
      </c>
      <c r="C164" s="9" t="str">
        <f t="shared" si="14"/>
        <v>0x7B76</v>
      </c>
      <c r="D164" s="9">
        <v>31604</v>
      </c>
      <c r="E164" s="9">
        <v>31606</v>
      </c>
      <c r="F164" s="9" t="s">
        <v>2247</v>
      </c>
      <c r="H164" s="15" t="s">
        <v>471</v>
      </c>
      <c r="I164" s="9">
        <v>3</v>
      </c>
    </row>
    <row r="165" spans="2:9">
      <c r="B165" s="9" t="str">
        <f t="shared" si="13"/>
        <v>0x7B77</v>
      </c>
      <c r="C165" s="9" t="str">
        <f t="shared" si="14"/>
        <v>0x7B79</v>
      </c>
      <c r="D165" s="9">
        <v>31607</v>
      </c>
      <c r="E165" s="9">
        <v>31609</v>
      </c>
      <c r="F165" s="9" t="s">
        <v>2248</v>
      </c>
      <c r="H165" s="15" t="s">
        <v>471</v>
      </c>
      <c r="I165" s="9">
        <v>3</v>
      </c>
    </row>
    <row r="166" spans="2:9">
      <c r="B166" s="9" t="str">
        <f t="shared" si="13"/>
        <v>0x7B7A</v>
      </c>
      <c r="C166" s="9" t="str">
        <f t="shared" si="14"/>
        <v>0x7B7C</v>
      </c>
      <c r="D166" s="9">
        <v>31610</v>
      </c>
      <c r="E166" s="9">
        <v>31612</v>
      </c>
      <c r="F166" s="9" t="s">
        <v>2249</v>
      </c>
      <c r="H166" s="15" t="s">
        <v>471</v>
      </c>
      <c r="I166" s="9">
        <v>3</v>
      </c>
    </row>
    <row r="167" spans="2:9">
      <c r="B167" s="9" t="str">
        <f t="shared" si="13"/>
        <v>0x7B7D</v>
      </c>
      <c r="C167" s="9" t="str">
        <f t="shared" si="14"/>
        <v>0x7B7F</v>
      </c>
      <c r="D167" s="9">
        <v>31613</v>
      </c>
      <c r="E167" s="9">
        <v>31615</v>
      </c>
      <c r="F167" s="9" t="s">
        <v>2250</v>
      </c>
      <c r="H167" s="15" t="s">
        <v>471</v>
      </c>
      <c r="I167" s="9">
        <v>3</v>
      </c>
    </row>
    <row r="168" spans="2:9">
      <c r="B168" s="9" t="str">
        <f t="shared" si="13"/>
        <v>0x7B80</v>
      </c>
      <c r="C168" s="9" t="str">
        <f t="shared" si="14"/>
        <v>0x7B82</v>
      </c>
      <c r="D168" s="9">
        <v>31616</v>
      </c>
      <c r="E168" s="9">
        <v>31618</v>
      </c>
      <c r="F168" s="9" t="s">
        <v>2251</v>
      </c>
      <c r="H168" s="15" t="s">
        <v>471</v>
      </c>
      <c r="I168" s="9">
        <v>3</v>
      </c>
    </row>
    <row r="169" spans="2:9">
      <c r="B169" s="9" t="str">
        <f t="shared" si="13"/>
        <v>0x7B83</v>
      </c>
      <c r="C169" s="9" t="str">
        <f t="shared" si="14"/>
        <v>0x7B85</v>
      </c>
      <c r="D169" s="9">
        <v>31619</v>
      </c>
      <c r="E169" s="9">
        <v>31621</v>
      </c>
      <c r="F169" s="9" t="s">
        <v>2252</v>
      </c>
      <c r="H169" s="15" t="s">
        <v>471</v>
      </c>
      <c r="I169" s="9">
        <v>3</v>
      </c>
    </row>
    <row r="170" spans="2:9">
      <c r="B170" s="9" t="str">
        <f t="shared" si="13"/>
        <v>0x7B86</v>
      </c>
      <c r="C170" s="9" t="str">
        <f t="shared" si="14"/>
        <v>0x7B88</v>
      </c>
      <c r="D170" s="9">
        <v>31622</v>
      </c>
      <c r="E170" s="9">
        <v>31624</v>
      </c>
      <c r="F170" s="9" t="s">
        <v>2253</v>
      </c>
      <c r="H170" s="15" t="s">
        <v>471</v>
      </c>
      <c r="I170" s="9">
        <v>3</v>
      </c>
    </row>
    <row r="171" spans="2:9">
      <c r="B171" s="9" t="str">
        <f t="shared" si="13"/>
        <v>0x7B89</v>
      </c>
      <c r="C171" s="9" t="str">
        <f t="shared" si="14"/>
        <v>0x7B8B</v>
      </c>
      <c r="D171" s="9">
        <v>31625</v>
      </c>
      <c r="E171" s="9">
        <v>31627</v>
      </c>
      <c r="F171" s="9" t="s">
        <v>2254</v>
      </c>
      <c r="H171" s="15" t="s">
        <v>471</v>
      </c>
      <c r="I171" s="9">
        <v>3</v>
      </c>
    </row>
    <row r="172" spans="2:9">
      <c r="B172" s="9" t="str">
        <f t="shared" si="13"/>
        <v>0x7B8C</v>
      </c>
      <c r="C172" s="9" t="str">
        <f t="shared" si="14"/>
        <v>0x7B8E</v>
      </c>
      <c r="D172" s="9">
        <v>31628</v>
      </c>
      <c r="E172" s="9">
        <v>31630</v>
      </c>
      <c r="F172" s="9" t="s">
        <v>2255</v>
      </c>
      <c r="H172" s="15" t="s">
        <v>471</v>
      </c>
      <c r="I172" s="9">
        <v>3</v>
      </c>
    </row>
    <row r="173" spans="2:9">
      <c r="B173" s="9" t="str">
        <f t="shared" si="13"/>
        <v>0x7B8F</v>
      </c>
      <c r="C173" s="9" t="str">
        <f t="shared" si="14"/>
        <v>0x7B91</v>
      </c>
      <c r="D173" s="9">
        <v>31631</v>
      </c>
      <c r="E173" s="9">
        <v>31633</v>
      </c>
      <c r="F173" s="9" t="s">
        <v>2256</v>
      </c>
      <c r="H173" s="15" t="s">
        <v>471</v>
      </c>
      <c r="I173" s="9">
        <v>3</v>
      </c>
    </row>
    <row r="174" spans="2:9">
      <c r="B174" s="9" t="str">
        <f t="shared" si="13"/>
        <v>0x7B92</v>
      </c>
      <c r="C174" s="9" t="str">
        <f t="shared" si="14"/>
        <v>0x7B94</v>
      </c>
      <c r="D174" s="9">
        <v>31634</v>
      </c>
      <c r="E174" s="9">
        <v>31636</v>
      </c>
      <c r="F174" s="9" t="s">
        <v>2257</v>
      </c>
      <c r="H174" s="15" t="s">
        <v>471</v>
      </c>
      <c r="I174" s="9">
        <v>3</v>
      </c>
    </row>
    <row r="175" spans="2:9">
      <c r="B175" s="9" t="str">
        <f t="shared" si="13"/>
        <v>0x7B95</v>
      </c>
      <c r="C175" s="9" t="str">
        <f t="shared" si="14"/>
        <v>0x7B97</v>
      </c>
      <c r="D175" s="9">
        <v>31637</v>
      </c>
      <c r="E175" s="9">
        <v>31639</v>
      </c>
      <c r="F175" s="9" t="s">
        <v>2258</v>
      </c>
      <c r="H175" s="15" t="s">
        <v>471</v>
      </c>
      <c r="I175" s="9">
        <v>3</v>
      </c>
    </row>
    <row r="176" spans="2:9">
      <c r="B176" s="9" t="str">
        <f t="shared" si="13"/>
        <v>0x7B98</v>
      </c>
      <c r="C176" s="9" t="str">
        <f t="shared" si="14"/>
        <v>0x7B9A</v>
      </c>
      <c r="D176" s="9">
        <v>31640</v>
      </c>
      <c r="E176" s="9">
        <v>31642</v>
      </c>
      <c r="F176" s="9" t="s">
        <v>2259</v>
      </c>
      <c r="H176" s="15" t="s">
        <v>471</v>
      </c>
      <c r="I176" s="9">
        <v>3</v>
      </c>
    </row>
    <row r="177" spans="2:9">
      <c r="B177" s="9" t="str">
        <f t="shared" si="13"/>
        <v>0x7B9B</v>
      </c>
      <c r="C177" s="9" t="str">
        <f t="shared" si="14"/>
        <v>0x7B9D</v>
      </c>
      <c r="D177" s="9">
        <v>31643</v>
      </c>
      <c r="E177" s="9">
        <v>31645</v>
      </c>
      <c r="F177" s="9" t="s">
        <v>2260</v>
      </c>
      <c r="H177" s="15" t="s">
        <v>471</v>
      </c>
      <c r="I177" s="9">
        <v>3</v>
      </c>
    </row>
    <row r="178" spans="2:9">
      <c r="B178" s="9" t="str">
        <f t="shared" si="13"/>
        <v>0x7B9E</v>
      </c>
      <c r="C178" s="9" t="str">
        <f t="shared" si="14"/>
        <v>0x7BA0</v>
      </c>
      <c r="D178" s="9">
        <v>31646</v>
      </c>
      <c r="E178" s="9">
        <v>31648</v>
      </c>
      <c r="F178" s="9" t="s">
        <v>2261</v>
      </c>
      <c r="H178" s="15" t="s">
        <v>471</v>
      </c>
      <c r="I178" s="9">
        <v>3</v>
      </c>
    </row>
    <row r="179" spans="2:9">
      <c r="B179" s="9" t="str">
        <f t="shared" si="13"/>
        <v>0x7BA1</v>
      </c>
      <c r="C179" s="9" t="str">
        <f t="shared" si="14"/>
        <v>0x7BA3</v>
      </c>
      <c r="D179" s="9">
        <v>31649</v>
      </c>
      <c r="E179" s="9">
        <v>31651</v>
      </c>
      <c r="F179" s="9" t="s">
        <v>2262</v>
      </c>
      <c r="H179" s="15" t="s">
        <v>471</v>
      </c>
      <c r="I179" s="9">
        <v>3</v>
      </c>
    </row>
    <row r="180" spans="2:9">
      <c r="B180" s="9" t="str">
        <f t="shared" si="13"/>
        <v>0x7BA4</v>
      </c>
      <c r="C180" s="9" t="str">
        <f t="shared" si="14"/>
        <v>0x7BA6</v>
      </c>
      <c r="D180" s="9">
        <v>31652</v>
      </c>
      <c r="E180" s="9">
        <v>31654</v>
      </c>
      <c r="F180" s="9" t="s">
        <v>2263</v>
      </c>
      <c r="H180" s="15" t="s">
        <v>471</v>
      </c>
      <c r="I180" s="9">
        <v>3</v>
      </c>
    </row>
    <row r="181" spans="2:9">
      <c r="B181" s="9" t="str">
        <f t="shared" si="13"/>
        <v>0x7BA7</v>
      </c>
      <c r="C181" s="9" t="str">
        <f t="shared" si="14"/>
        <v>0x7BA9</v>
      </c>
      <c r="D181" s="9">
        <v>31655</v>
      </c>
      <c r="E181" s="9">
        <v>31657</v>
      </c>
      <c r="F181" s="9" t="s">
        <v>2264</v>
      </c>
      <c r="H181" s="15" t="s">
        <v>471</v>
      </c>
      <c r="I181" s="9">
        <v>3</v>
      </c>
    </row>
    <row r="182" spans="2:9">
      <c r="B182" s="9" t="str">
        <f t="shared" si="13"/>
        <v>0x7BAA</v>
      </c>
      <c r="C182" s="9" t="str">
        <f t="shared" si="14"/>
        <v>0x7BAC</v>
      </c>
      <c r="D182" s="9">
        <v>31658</v>
      </c>
      <c r="E182" s="9">
        <v>31660</v>
      </c>
      <c r="F182" s="9" t="s">
        <v>2265</v>
      </c>
      <c r="H182" s="15" t="s">
        <v>471</v>
      </c>
      <c r="I182" s="9">
        <v>3</v>
      </c>
    </row>
    <row r="183" spans="2:9">
      <c r="B183" s="9" t="str">
        <f t="shared" si="13"/>
        <v>0x7BAD</v>
      </c>
      <c r="C183" s="9" t="str">
        <f t="shared" si="14"/>
        <v>0x7BAF</v>
      </c>
      <c r="D183" s="9">
        <v>31661</v>
      </c>
      <c r="E183" s="9">
        <v>31663</v>
      </c>
      <c r="F183" s="9" t="s">
        <v>2266</v>
      </c>
      <c r="H183" s="15" t="s">
        <v>471</v>
      </c>
      <c r="I183" s="9">
        <v>3</v>
      </c>
    </row>
    <row r="184" spans="2:9">
      <c r="B184" s="9" t="str">
        <f t="shared" si="13"/>
        <v>0x7BB0</v>
      </c>
      <c r="C184" s="9" t="str">
        <f t="shared" si="14"/>
        <v>0x7BB2</v>
      </c>
      <c r="D184" s="9">
        <v>31664</v>
      </c>
      <c r="E184" s="9">
        <v>31666</v>
      </c>
      <c r="F184" s="9" t="s">
        <v>2267</v>
      </c>
      <c r="H184" s="15" t="s">
        <v>471</v>
      </c>
      <c r="I184" s="9">
        <v>3</v>
      </c>
    </row>
    <row r="185" spans="2:9">
      <c r="B185" s="9" t="str">
        <f t="shared" si="13"/>
        <v>0x7BB3</v>
      </c>
      <c r="C185" s="9" t="str">
        <f t="shared" si="14"/>
        <v>0x7BB5</v>
      </c>
      <c r="D185" s="9">
        <v>31667</v>
      </c>
      <c r="E185" s="9">
        <v>31669</v>
      </c>
      <c r="F185" s="9" t="s">
        <v>2268</v>
      </c>
      <c r="H185" s="15" t="s">
        <v>471</v>
      </c>
      <c r="I185" s="9">
        <v>3</v>
      </c>
    </row>
    <row r="186" spans="2:9">
      <c r="B186" s="9" t="str">
        <f t="shared" si="13"/>
        <v>0x7BB6</v>
      </c>
      <c r="D186" s="9">
        <v>31670</v>
      </c>
      <c r="F186" s="9" t="s">
        <v>2269</v>
      </c>
      <c r="H186" s="15" t="s">
        <v>471</v>
      </c>
    </row>
    <row r="187" spans="2:9">
      <c r="B187" s="9" t="str">
        <f t="shared" si="13"/>
        <v>0x7BB7</v>
      </c>
      <c r="D187" s="9">
        <v>31671</v>
      </c>
      <c r="F187" s="9" t="s">
        <v>2270</v>
      </c>
      <c r="H187" s="15" t="s">
        <v>471</v>
      </c>
    </row>
    <row r="188" spans="2:9">
      <c r="B188" s="9" t="str">
        <f t="shared" ref="B188:B219" si="15">"0x"&amp;DEC2HEX(D188,4)</f>
        <v>0x7BB8</v>
      </c>
      <c r="C188" s="9" t="str">
        <f t="shared" ref="C188:C217" si="16">"0x"&amp;DEC2HEX(E188,4)</f>
        <v>0x7BBA</v>
      </c>
      <c r="D188" s="9">
        <v>31672</v>
      </c>
      <c r="E188" s="9">
        <v>31674</v>
      </c>
      <c r="F188" s="9" t="s">
        <v>2271</v>
      </c>
      <c r="H188" s="15" t="s">
        <v>471</v>
      </c>
      <c r="I188" s="9">
        <v>3</v>
      </c>
    </row>
    <row r="189" spans="2:9">
      <c r="B189" s="9" t="str">
        <f t="shared" si="15"/>
        <v>0x7BBB</v>
      </c>
      <c r="C189" s="9" t="str">
        <f t="shared" si="16"/>
        <v>0x7BBD</v>
      </c>
      <c r="D189" s="9">
        <v>31675</v>
      </c>
      <c r="E189" s="9">
        <v>31677</v>
      </c>
      <c r="F189" s="9" t="s">
        <v>2272</v>
      </c>
      <c r="H189" s="15" t="s">
        <v>471</v>
      </c>
      <c r="I189" s="9">
        <v>3</v>
      </c>
    </row>
    <row r="190" spans="2:9">
      <c r="B190" s="9" t="str">
        <f t="shared" si="15"/>
        <v>0x7BBE</v>
      </c>
      <c r="C190" s="9" t="str">
        <f t="shared" si="16"/>
        <v>0x7BC0</v>
      </c>
      <c r="D190" s="9">
        <v>31678</v>
      </c>
      <c r="E190" s="9">
        <v>31680</v>
      </c>
      <c r="F190" s="9" t="s">
        <v>2273</v>
      </c>
      <c r="H190" s="15" t="s">
        <v>471</v>
      </c>
      <c r="I190" s="9">
        <v>3</v>
      </c>
    </row>
    <row r="191" spans="2:9">
      <c r="B191" s="9" t="str">
        <f t="shared" si="15"/>
        <v>0x7BC1</v>
      </c>
      <c r="C191" s="9" t="str">
        <f t="shared" si="16"/>
        <v>0x7BC3</v>
      </c>
      <c r="D191" s="9">
        <v>31681</v>
      </c>
      <c r="E191" s="9">
        <v>31683</v>
      </c>
      <c r="F191" s="9" t="s">
        <v>2274</v>
      </c>
      <c r="H191" s="15" t="s">
        <v>471</v>
      </c>
      <c r="I191" s="9">
        <v>3</v>
      </c>
    </row>
    <row r="192" spans="2:9">
      <c r="B192" s="9" t="str">
        <f t="shared" si="15"/>
        <v>0x7BC4</v>
      </c>
      <c r="C192" s="9" t="str">
        <f t="shared" si="16"/>
        <v>0x7BC6</v>
      </c>
      <c r="D192" s="9">
        <v>31684</v>
      </c>
      <c r="E192" s="9">
        <v>31686</v>
      </c>
      <c r="F192" s="9" t="s">
        <v>2275</v>
      </c>
      <c r="H192" s="15" t="s">
        <v>471</v>
      </c>
      <c r="I192" s="9">
        <v>3</v>
      </c>
    </row>
    <row r="193" spans="2:9">
      <c r="B193" s="9" t="str">
        <f t="shared" si="15"/>
        <v>0x7BC7</v>
      </c>
      <c r="C193" s="9" t="str">
        <f t="shared" si="16"/>
        <v>0x7BC9</v>
      </c>
      <c r="D193" s="9">
        <v>31687</v>
      </c>
      <c r="E193" s="9">
        <v>31689</v>
      </c>
      <c r="F193" s="9" t="s">
        <v>2276</v>
      </c>
      <c r="H193" s="15" t="s">
        <v>471</v>
      </c>
      <c r="I193" s="9">
        <v>3</v>
      </c>
    </row>
    <row r="194" spans="2:9">
      <c r="B194" s="9" t="str">
        <f t="shared" si="15"/>
        <v>0x7BCA</v>
      </c>
      <c r="C194" s="9" t="str">
        <f t="shared" si="16"/>
        <v>0x7BCC</v>
      </c>
      <c r="D194" s="9">
        <v>31690</v>
      </c>
      <c r="E194" s="9">
        <v>31692</v>
      </c>
      <c r="F194" s="9" t="s">
        <v>2277</v>
      </c>
      <c r="H194" s="15" t="s">
        <v>471</v>
      </c>
      <c r="I194" s="9">
        <v>3</v>
      </c>
    </row>
    <row r="195" spans="2:9">
      <c r="B195" s="9" t="str">
        <f t="shared" si="15"/>
        <v>0x7BCD</v>
      </c>
      <c r="C195" s="9" t="str">
        <f t="shared" si="16"/>
        <v>0x7BCF</v>
      </c>
      <c r="D195" s="9">
        <v>31693</v>
      </c>
      <c r="E195" s="9">
        <v>31695</v>
      </c>
      <c r="F195" s="9" t="s">
        <v>2278</v>
      </c>
      <c r="H195" s="15" t="s">
        <v>471</v>
      </c>
      <c r="I195" s="9">
        <v>3</v>
      </c>
    </row>
    <row r="196" spans="2:9">
      <c r="B196" s="9" t="str">
        <f t="shared" si="15"/>
        <v>0x7BD0</v>
      </c>
      <c r="C196" s="9" t="str">
        <f t="shared" si="16"/>
        <v>0x7BD2</v>
      </c>
      <c r="D196" s="9">
        <v>31696</v>
      </c>
      <c r="E196" s="9">
        <v>31698</v>
      </c>
      <c r="F196" s="9" t="s">
        <v>2279</v>
      </c>
      <c r="H196" s="15" t="s">
        <v>471</v>
      </c>
      <c r="I196" s="9">
        <v>3</v>
      </c>
    </row>
    <row r="197" spans="2:9">
      <c r="B197" s="9" t="str">
        <f t="shared" si="15"/>
        <v>0x7BD3</v>
      </c>
      <c r="C197" s="9" t="str">
        <f t="shared" si="16"/>
        <v>0x7BD5</v>
      </c>
      <c r="D197" s="9">
        <v>31699</v>
      </c>
      <c r="E197" s="9">
        <v>31701</v>
      </c>
      <c r="F197" s="9" t="s">
        <v>2280</v>
      </c>
      <c r="H197" s="15" t="s">
        <v>471</v>
      </c>
      <c r="I197" s="9">
        <v>3</v>
      </c>
    </row>
    <row r="198" spans="2:9">
      <c r="B198" s="9" t="str">
        <f t="shared" si="15"/>
        <v>0x7BD6</v>
      </c>
      <c r="C198" s="9" t="str">
        <f t="shared" si="16"/>
        <v>0x7BD8</v>
      </c>
      <c r="D198" s="9">
        <v>31702</v>
      </c>
      <c r="E198" s="9">
        <v>31704</v>
      </c>
      <c r="F198" s="9" t="s">
        <v>2281</v>
      </c>
      <c r="H198" s="15" t="s">
        <v>471</v>
      </c>
      <c r="I198" s="9">
        <v>3</v>
      </c>
    </row>
    <row r="199" spans="2:9">
      <c r="B199" s="9" t="str">
        <f t="shared" si="15"/>
        <v>0x7BD9</v>
      </c>
      <c r="C199" s="9" t="str">
        <f t="shared" si="16"/>
        <v>0x7BDB</v>
      </c>
      <c r="D199" s="9">
        <v>31705</v>
      </c>
      <c r="E199" s="9">
        <v>31707</v>
      </c>
      <c r="F199" s="9" t="s">
        <v>2282</v>
      </c>
      <c r="H199" s="15" t="s">
        <v>471</v>
      </c>
      <c r="I199" s="9">
        <v>3</v>
      </c>
    </row>
    <row r="200" spans="2:9">
      <c r="B200" s="9" t="str">
        <f t="shared" si="15"/>
        <v>0x7BDC</v>
      </c>
      <c r="C200" s="9" t="str">
        <f t="shared" si="16"/>
        <v>0x7BDE</v>
      </c>
      <c r="D200" s="9">
        <v>31708</v>
      </c>
      <c r="E200" s="9">
        <v>31710</v>
      </c>
      <c r="F200" s="9" t="s">
        <v>2283</v>
      </c>
      <c r="H200" s="15" t="s">
        <v>471</v>
      </c>
      <c r="I200" s="9">
        <v>3</v>
      </c>
    </row>
    <row r="201" spans="2:9">
      <c r="B201" s="9" t="str">
        <f t="shared" si="15"/>
        <v>0x7BDF</v>
      </c>
      <c r="C201" s="9" t="str">
        <f t="shared" si="16"/>
        <v>0x7BE1</v>
      </c>
      <c r="D201" s="9">
        <v>31711</v>
      </c>
      <c r="E201" s="9">
        <v>31713</v>
      </c>
      <c r="F201" s="9" t="s">
        <v>2284</v>
      </c>
      <c r="H201" s="15" t="s">
        <v>471</v>
      </c>
      <c r="I201" s="9">
        <v>3</v>
      </c>
    </row>
    <row r="202" spans="2:9">
      <c r="B202" s="9" t="str">
        <f t="shared" si="15"/>
        <v>0x7BE2</v>
      </c>
      <c r="C202" s="9" t="str">
        <f t="shared" si="16"/>
        <v>0x7BE4</v>
      </c>
      <c r="D202" s="9">
        <v>31714</v>
      </c>
      <c r="E202" s="9">
        <v>31716</v>
      </c>
      <c r="F202" s="9" t="s">
        <v>2285</v>
      </c>
      <c r="H202" s="15" t="s">
        <v>471</v>
      </c>
      <c r="I202" s="9">
        <v>3</v>
      </c>
    </row>
    <row r="203" spans="2:9">
      <c r="B203" s="9" t="str">
        <f t="shared" si="15"/>
        <v>0x7BE5</v>
      </c>
      <c r="C203" s="9" t="str">
        <f t="shared" si="16"/>
        <v>0x7BE7</v>
      </c>
      <c r="D203" s="9">
        <v>31717</v>
      </c>
      <c r="E203" s="9">
        <v>31719</v>
      </c>
      <c r="F203" s="9" t="s">
        <v>2286</v>
      </c>
      <c r="H203" s="15" t="s">
        <v>471</v>
      </c>
      <c r="I203" s="9">
        <v>3</v>
      </c>
    </row>
    <row r="204" spans="2:9">
      <c r="B204" s="9" t="str">
        <f t="shared" si="15"/>
        <v>0x7BE8</v>
      </c>
      <c r="C204" s="9" t="str">
        <f t="shared" si="16"/>
        <v>0x7BEA</v>
      </c>
      <c r="D204" s="9">
        <v>31720</v>
      </c>
      <c r="E204" s="9">
        <v>31722</v>
      </c>
      <c r="F204" s="9" t="s">
        <v>2287</v>
      </c>
      <c r="H204" s="15" t="s">
        <v>471</v>
      </c>
      <c r="I204" s="9">
        <v>3</v>
      </c>
    </row>
    <row r="205" spans="2:9">
      <c r="B205" s="9" t="str">
        <f t="shared" si="15"/>
        <v>0x7BEB</v>
      </c>
      <c r="C205" s="9" t="str">
        <f t="shared" si="16"/>
        <v>0x7BED</v>
      </c>
      <c r="D205" s="9">
        <v>31723</v>
      </c>
      <c r="E205" s="9">
        <v>31725</v>
      </c>
      <c r="F205" s="9" t="s">
        <v>2288</v>
      </c>
      <c r="H205" s="15" t="s">
        <v>471</v>
      </c>
      <c r="I205" s="9">
        <v>3</v>
      </c>
    </row>
    <row r="206" spans="2:9">
      <c r="B206" s="9" t="str">
        <f t="shared" si="15"/>
        <v>0x7BEE</v>
      </c>
      <c r="C206" s="9" t="str">
        <f t="shared" si="16"/>
        <v>0x7BF0</v>
      </c>
      <c r="D206" s="9">
        <v>31726</v>
      </c>
      <c r="E206" s="9">
        <v>31728</v>
      </c>
      <c r="F206" s="9" t="s">
        <v>2289</v>
      </c>
      <c r="H206" s="15" t="s">
        <v>471</v>
      </c>
      <c r="I206" s="9">
        <v>3</v>
      </c>
    </row>
    <row r="207" spans="2:9">
      <c r="B207" s="9" t="str">
        <f t="shared" si="15"/>
        <v>0x7BF1</v>
      </c>
      <c r="C207" s="9" t="str">
        <f t="shared" si="16"/>
        <v>0x7BF3</v>
      </c>
      <c r="D207" s="9">
        <v>31729</v>
      </c>
      <c r="E207" s="9">
        <v>31731</v>
      </c>
      <c r="F207" s="9" t="s">
        <v>2290</v>
      </c>
      <c r="H207" s="15" t="s">
        <v>471</v>
      </c>
      <c r="I207" s="9">
        <v>3</v>
      </c>
    </row>
    <row r="208" spans="2:9">
      <c r="B208" s="9" t="str">
        <f t="shared" si="15"/>
        <v>0x7BF4</v>
      </c>
      <c r="C208" s="9" t="str">
        <f t="shared" si="16"/>
        <v>0x7BF6</v>
      </c>
      <c r="D208" s="9">
        <v>31732</v>
      </c>
      <c r="E208" s="9">
        <v>31734</v>
      </c>
      <c r="F208" s="9" t="s">
        <v>2291</v>
      </c>
      <c r="H208" s="15" t="s">
        <v>471</v>
      </c>
      <c r="I208" s="9">
        <v>3</v>
      </c>
    </row>
    <row r="209" spans="2:9">
      <c r="B209" s="9" t="str">
        <f t="shared" si="15"/>
        <v>0x7BF7</v>
      </c>
      <c r="C209" s="9" t="str">
        <f t="shared" si="16"/>
        <v>0x7BF9</v>
      </c>
      <c r="D209" s="9">
        <v>31735</v>
      </c>
      <c r="E209" s="9">
        <v>31737</v>
      </c>
      <c r="F209" s="9" t="s">
        <v>2292</v>
      </c>
      <c r="H209" s="15" t="s">
        <v>471</v>
      </c>
      <c r="I209" s="9">
        <v>3</v>
      </c>
    </row>
    <row r="210" spans="2:9">
      <c r="B210" s="9" t="str">
        <f t="shared" si="15"/>
        <v>0x7BFA</v>
      </c>
      <c r="C210" s="9" t="str">
        <f t="shared" si="16"/>
        <v>0x7BFC</v>
      </c>
      <c r="D210" s="9">
        <v>31738</v>
      </c>
      <c r="E210" s="9">
        <v>31740</v>
      </c>
      <c r="F210" s="9" t="s">
        <v>2293</v>
      </c>
      <c r="H210" s="15" t="s">
        <v>471</v>
      </c>
      <c r="I210" s="9">
        <v>3</v>
      </c>
    </row>
    <row r="211" spans="2:9">
      <c r="B211" s="9" t="str">
        <f t="shared" si="15"/>
        <v>0x7BFD</v>
      </c>
      <c r="C211" s="9" t="str">
        <f t="shared" si="16"/>
        <v>0x7BFF</v>
      </c>
      <c r="D211" s="9">
        <v>31741</v>
      </c>
      <c r="E211" s="9">
        <v>31743</v>
      </c>
      <c r="F211" s="9" t="s">
        <v>2294</v>
      </c>
      <c r="H211" s="15" t="s">
        <v>471</v>
      </c>
      <c r="I211" s="9">
        <v>3</v>
      </c>
    </row>
    <row r="212" spans="2:9">
      <c r="B212" s="9" t="str">
        <f t="shared" si="15"/>
        <v>0x7C00</v>
      </c>
      <c r="C212" s="9" t="str">
        <f t="shared" si="16"/>
        <v>0x7C02</v>
      </c>
      <c r="D212" s="9">
        <v>31744</v>
      </c>
      <c r="E212" s="9">
        <v>31746</v>
      </c>
      <c r="F212" s="9" t="s">
        <v>2295</v>
      </c>
      <c r="H212" s="15" t="s">
        <v>471</v>
      </c>
      <c r="I212" s="9">
        <v>3</v>
      </c>
    </row>
    <row r="213" spans="2:9">
      <c r="B213" s="9" t="str">
        <f t="shared" si="15"/>
        <v>0x7C03</v>
      </c>
      <c r="C213" s="9" t="str">
        <f t="shared" si="16"/>
        <v>0x7C05</v>
      </c>
      <c r="D213" s="9">
        <v>31747</v>
      </c>
      <c r="E213" s="9">
        <v>31749</v>
      </c>
      <c r="F213" s="9" t="s">
        <v>2296</v>
      </c>
      <c r="H213" s="15" t="s">
        <v>471</v>
      </c>
      <c r="I213" s="9">
        <v>3</v>
      </c>
    </row>
    <row r="214" spans="2:9">
      <c r="B214" s="9" t="str">
        <f t="shared" si="15"/>
        <v>0x7C06</v>
      </c>
      <c r="C214" s="9" t="str">
        <f t="shared" si="16"/>
        <v>0x7C08</v>
      </c>
      <c r="D214" s="9">
        <v>31750</v>
      </c>
      <c r="E214" s="9">
        <v>31752</v>
      </c>
      <c r="F214" s="9" t="s">
        <v>2297</v>
      </c>
      <c r="H214" s="15" t="s">
        <v>471</v>
      </c>
      <c r="I214" s="9">
        <v>3</v>
      </c>
    </row>
    <row r="215" spans="2:9">
      <c r="B215" s="9" t="str">
        <f t="shared" si="15"/>
        <v>0x7C09</v>
      </c>
      <c r="C215" s="9" t="str">
        <f t="shared" si="16"/>
        <v>0x7C0B</v>
      </c>
      <c r="D215" s="9">
        <v>31753</v>
      </c>
      <c r="E215" s="9">
        <v>31755</v>
      </c>
      <c r="F215" s="9" t="s">
        <v>2298</v>
      </c>
      <c r="H215" s="15" t="s">
        <v>471</v>
      </c>
      <c r="I215" s="9">
        <v>3</v>
      </c>
    </row>
    <row r="216" spans="2:9">
      <c r="B216" s="9" t="str">
        <f t="shared" si="15"/>
        <v>0x7C0C</v>
      </c>
      <c r="C216" s="9" t="str">
        <f t="shared" si="16"/>
        <v>0x7C0E</v>
      </c>
      <c r="D216" s="9">
        <v>31756</v>
      </c>
      <c r="E216" s="9">
        <v>31758</v>
      </c>
      <c r="F216" s="9" t="s">
        <v>2299</v>
      </c>
      <c r="H216" s="15" t="s">
        <v>471</v>
      </c>
      <c r="I216" s="9">
        <v>3</v>
      </c>
    </row>
    <row r="217" spans="2:9">
      <c r="B217" s="9" t="str">
        <f t="shared" si="15"/>
        <v>0x7C0F</v>
      </c>
      <c r="C217" s="9" t="str">
        <f t="shared" si="16"/>
        <v>0x7C11</v>
      </c>
      <c r="D217" s="9">
        <v>31759</v>
      </c>
      <c r="E217" s="9">
        <v>31761</v>
      </c>
      <c r="F217" s="9" t="s">
        <v>2300</v>
      </c>
      <c r="H217" s="15" t="s">
        <v>471</v>
      </c>
      <c r="I217" s="9">
        <v>3</v>
      </c>
    </row>
    <row r="218" spans="2:9">
      <c r="B218" s="9" t="str">
        <f t="shared" si="15"/>
        <v>0x7C12</v>
      </c>
      <c r="D218" s="9">
        <v>31762</v>
      </c>
      <c r="F218" s="9" t="s">
        <v>2301</v>
      </c>
      <c r="H218" s="15" t="s">
        <v>471</v>
      </c>
    </row>
    <row r="219" spans="2:9">
      <c r="B219" s="9" t="str">
        <f t="shared" si="15"/>
        <v>0x7C13</v>
      </c>
      <c r="D219" s="9">
        <v>31763</v>
      </c>
      <c r="F219" s="9" t="s">
        <v>2302</v>
      </c>
      <c r="H219" s="15" t="s">
        <v>471</v>
      </c>
    </row>
    <row r="220" spans="2:9">
      <c r="B220" s="9" t="str">
        <f t="shared" ref="B220:B251" si="17">"0x"&amp;DEC2HEX(D220,4)</f>
        <v>0x7C14</v>
      </c>
      <c r="C220" s="9" t="str">
        <f t="shared" ref="C220:C249" si="18">"0x"&amp;DEC2HEX(E220,4)</f>
        <v>0x7C16</v>
      </c>
      <c r="D220" s="9">
        <v>31764</v>
      </c>
      <c r="E220" s="9">
        <v>31766</v>
      </c>
      <c r="F220" s="9" t="s">
        <v>2303</v>
      </c>
      <c r="H220" s="15" t="s">
        <v>471</v>
      </c>
      <c r="I220" s="9">
        <v>3</v>
      </c>
    </row>
    <row r="221" spans="2:9">
      <c r="B221" s="9" t="str">
        <f t="shared" si="17"/>
        <v>0x7C17</v>
      </c>
      <c r="C221" s="9" t="str">
        <f t="shared" si="18"/>
        <v>0x7C19</v>
      </c>
      <c r="D221" s="9">
        <v>31767</v>
      </c>
      <c r="E221" s="9">
        <v>31769</v>
      </c>
      <c r="F221" s="9" t="s">
        <v>2304</v>
      </c>
      <c r="H221" s="15" t="s">
        <v>471</v>
      </c>
      <c r="I221" s="9">
        <v>3</v>
      </c>
    </row>
    <row r="222" spans="2:9">
      <c r="B222" s="9" t="str">
        <f t="shared" si="17"/>
        <v>0x7C1A</v>
      </c>
      <c r="C222" s="9" t="str">
        <f t="shared" si="18"/>
        <v>0x7C1C</v>
      </c>
      <c r="D222" s="9">
        <v>31770</v>
      </c>
      <c r="E222" s="9">
        <v>31772</v>
      </c>
      <c r="F222" s="9" t="s">
        <v>2305</v>
      </c>
      <c r="H222" s="15" t="s">
        <v>471</v>
      </c>
      <c r="I222" s="9">
        <v>3</v>
      </c>
    </row>
    <row r="223" spans="2:9">
      <c r="B223" s="9" t="str">
        <f t="shared" si="17"/>
        <v>0x7C1D</v>
      </c>
      <c r="C223" s="9" t="str">
        <f t="shared" si="18"/>
        <v>0x7C1F</v>
      </c>
      <c r="D223" s="9">
        <v>31773</v>
      </c>
      <c r="E223" s="9">
        <v>31775</v>
      </c>
      <c r="F223" s="9" t="s">
        <v>2306</v>
      </c>
      <c r="H223" s="15" t="s">
        <v>471</v>
      </c>
      <c r="I223" s="9">
        <v>3</v>
      </c>
    </row>
    <row r="224" spans="2:9">
      <c r="B224" s="9" t="str">
        <f t="shared" si="17"/>
        <v>0x7C20</v>
      </c>
      <c r="C224" s="9" t="str">
        <f t="shared" si="18"/>
        <v>0x7C22</v>
      </c>
      <c r="D224" s="9">
        <v>31776</v>
      </c>
      <c r="E224" s="9">
        <v>31778</v>
      </c>
      <c r="F224" s="9" t="s">
        <v>2307</v>
      </c>
      <c r="H224" s="15" t="s">
        <v>471</v>
      </c>
      <c r="I224" s="9">
        <v>3</v>
      </c>
    </row>
    <row r="225" spans="2:9">
      <c r="B225" s="9" t="str">
        <f t="shared" si="17"/>
        <v>0x7C23</v>
      </c>
      <c r="C225" s="9" t="str">
        <f t="shared" si="18"/>
        <v>0x7C25</v>
      </c>
      <c r="D225" s="9">
        <v>31779</v>
      </c>
      <c r="E225" s="9">
        <v>31781</v>
      </c>
      <c r="F225" s="9" t="s">
        <v>2308</v>
      </c>
      <c r="H225" s="15" t="s">
        <v>471</v>
      </c>
      <c r="I225" s="9">
        <v>3</v>
      </c>
    </row>
    <row r="226" spans="2:9">
      <c r="B226" s="9" t="str">
        <f t="shared" si="17"/>
        <v>0x7C26</v>
      </c>
      <c r="C226" s="9" t="str">
        <f t="shared" si="18"/>
        <v>0x7C28</v>
      </c>
      <c r="D226" s="9">
        <v>31782</v>
      </c>
      <c r="E226" s="9">
        <v>31784</v>
      </c>
      <c r="F226" s="9" t="s">
        <v>2309</v>
      </c>
      <c r="H226" s="15" t="s">
        <v>471</v>
      </c>
      <c r="I226" s="9">
        <v>3</v>
      </c>
    </row>
    <row r="227" spans="2:9">
      <c r="B227" s="9" t="str">
        <f t="shared" si="17"/>
        <v>0x7C29</v>
      </c>
      <c r="C227" s="9" t="str">
        <f t="shared" si="18"/>
        <v>0x7C2B</v>
      </c>
      <c r="D227" s="9">
        <v>31785</v>
      </c>
      <c r="E227" s="9">
        <v>31787</v>
      </c>
      <c r="F227" s="9" t="s">
        <v>2310</v>
      </c>
      <c r="H227" s="15" t="s">
        <v>471</v>
      </c>
      <c r="I227" s="9">
        <v>3</v>
      </c>
    </row>
    <row r="228" spans="2:9">
      <c r="B228" s="9" t="str">
        <f t="shared" si="17"/>
        <v>0x7C2C</v>
      </c>
      <c r="C228" s="9" t="str">
        <f t="shared" si="18"/>
        <v>0x7C2E</v>
      </c>
      <c r="D228" s="9">
        <v>31788</v>
      </c>
      <c r="E228" s="9">
        <v>31790</v>
      </c>
      <c r="F228" s="9" t="s">
        <v>2311</v>
      </c>
      <c r="H228" s="15" t="s">
        <v>471</v>
      </c>
      <c r="I228" s="9">
        <v>3</v>
      </c>
    </row>
    <row r="229" spans="2:9">
      <c r="B229" s="9" t="str">
        <f t="shared" si="17"/>
        <v>0x7C2F</v>
      </c>
      <c r="C229" s="9" t="str">
        <f t="shared" si="18"/>
        <v>0x7C31</v>
      </c>
      <c r="D229" s="9">
        <v>31791</v>
      </c>
      <c r="E229" s="9">
        <v>31793</v>
      </c>
      <c r="F229" s="9" t="s">
        <v>2312</v>
      </c>
      <c r="H229" s="15" t="s">
        <v>471</v>
      </c>
      <c r="I229" s="9">
        <v>3</v>
      </c>
    </row>
    <row r="230" spans="2:9">
      <c r="B230" s="9" t="str">
        <f t="shared" si="17"/>
        <v>0x7C32</v>
      </c>
      <c r="C230" s="9" t="str">
        <f t="shared" si="18"/>
        <v>0x7C34</v>
      </c>
      <c r="D230" s="9">
        <v>31794</v>
      </c>
      <c r="E230" s="9">
        <v>31796</v>
      </c>
      <c r="F230" s="9" t="s">
        <v>2313</v>
      </c>
      <c r="H230" s="15" t="s">
        <v>471</v>
      </c>
      <c r="I230" s="9">
        <v>3</v>
      </c>
    </row>
    <row r="231" spans="2:9">
      <c r="B231" s="9" t="str">
        <f t="shared" si="17"/>
        <v>0x7C35</v>
      </c>
      <c r="C231" s="9" t="str">
        <f t="shared" si="18"/>
        <v>0x7C37</v>
      </c>
      <c r="D231" s="9">
        <v>31797</v>
      </c>
      <c r="E231" s="9">
        <v>31799</v>
      </c>
      <c r="F231" s="9" t="s">
        <v>2314</v>
      </c>
      <c r="H231" s="15" t="s">
        <v>471</v>
      </c>
      <c r="I231" s="9">
        <v>3</v>
      </c>
    </row>
    <row r="232" spans="2:9">
      <c r="B232" s="9" t="str">
        <f t="shared" si="17"/>
        <v>0x7C38</v>
      </c>
      <c r="C232" s="9" t="str">
        <f t="shared" si="18"/>
        <v>0x7C3A</v>
      </c>
      <c r="D232" s="9">
        <v>31800</v>
      </c>
      <c r="E232" s="9">
        <v>31802</v>
      </c>
      <c r="F232" s="9" t="s">
        <v>2315</v>
      </c>
      <c r="H232" s="15" t="s">
        <v>471</v>
      </c>
      <c r="I232" s="9">
        <v>3</v>
      </c>
    </row>
    <row r="233" spans="2:9">
      <c r="B233" s="9" t="str">
        <f t="shared" si="17"/>
        <v>0x7C3B</v>
      </c>
      <c r="C233" s="9" t="str">
        <f t="shared" si="18"/>
        <v>0x7C3D</v>
      </c>
      <c r="D233" s="9">
        <v>31803</v>
      </c>
      <c r="E233" s="9">
        <v>31805</v>
      </c>
      <c r="F233" s="9" t="s">
        <v>2316</v>
      </c>
      <c r="H233" s="15" t="s">
        <v>471</v>
      </c>
      <c r="I233" s="9">
        <v>3</v>
      </c>
    </row>
    <row r="234" spans="2:9">
      <c r="B234" s="9" t="str">
        <f t="shared" si="17"/>
        <v>0x7C3E</v>
      </c>
      <c r="C234" s="9" t="str">
        <f t="shared" si="18"/>
        <v>0x7C40</v>
      </c>
      <c r="D234" s="9">
        <v>31806</v>
      </c>
      <c r="E234" s="9">
        <v>31808</v>
      </c>
      <c r="F234" s="9" t="s">
        <v>2317</v>
      </c>
      <c r="H234" s="15" t="s">
        <v>471</v>
      </c>
      <c r="I234" s="9">
        <v>3</v>
      </c>
    </row>
    <row r="235" spans="2:9">
      <c r="B235" s="9" t="str">
        <f t="shared" si="17"/>
        <v>0x7C41</v>
      </c>
      <c r="C235" s="9" t="str">
        <f t="shared" si="18"/>
        <v>0x7C43</v>
      </c>
      <c r="D235" s="9">
        <v>31809</v>
      </c>
      <c r="E235" s="9">
        <v>31811</v>
      </c>
      <c r="F235" s="9" t="s">
        <v>2318</v>
      </c>
      <c r="H235" s="15" t="s">
        <v>471</v>
      </c>
      <c r="I235" s="9">
        <v>3</v>
      </c>
    </row>
    <row r="236" spans="2:9">
      <c r="B236" s="9" t="str">
        <f t="shared" si="17"/>
        <v>0x7C44</v>
      </c>
      <c r="C236" s="9" t="str">
        <f t="shared" si="18"/>
        <v>0x7C46</v>
      </c>
      <c r="D236" s="9">
        <v>31812</v>
      </c>
      <c r="E236" s="9">
        <v>31814</v>
      </c>
      <c r="F236" s="9" t="s">
        <v>2319</v>
      </c>
      <c r="H236" s="15" t="s">
        <v>471</v>
      </c>
      <c r="I236" s="9">
        <v>3</v>
      </c>
    </row>
    <row r="237" spans="2:9">
      <c r="B237" s="9" t="str">
        <f t="shared" si="17"/>
        <v>0x7C47</v>
      </c>
      <c r="C237" s="9" t="str">
        <f t="shared" si="18"/>
        <v>0x7C49</v>
      </c>
      <c r="D237" s="9">
        <v>31815</v>
      </c>
      <c r="E237" s="9">
        <v>31817</v>
      </c>
      <c r="F237" s="9" t="s">
        <v>2320</v>
      </c>
      <c r="H237" s="15" t="s">
        <v>471</v>
      </c>
      <c r="I237" s="9">
        <v>3</v>
      </c>
    </row>
    <row r="238" spans="2:9">
      <c r="B238" s="9" t="str">
        <f t="shared" si="17"/>
        <v>0x7C4A</v>
      </c>
      <c r="C238" s="9" t="str">
        <f t="shared" si="18"/>
        <v>0x7C4C</v>
      </c>
      <c r="D238" s="9">
        <v>31818</v>
      </c>
      <c r="E238" s="9">
        <v>31820</v>
      </c>
      <c r="F238" s="9" t="s">
        <v>2321</v>
      </c>
      <c r="H238" s="15" t="s">
        <v>471</v>
      </c>
      <c r="I238" s="9">
        <v>3</v>
      </c>
    </row>
    <row r="239" spans="2:9">
      <c r="B239" s="9" t="str">
        <f t="shared" si="17"/>
        <v>0x7C4D</v>
      </c>
      <c r="C239" s="9" t="str">
        <f t="shared" si="18"/>
        <v>0x7C4F</v>
      </c>
      <c r="D239" s="9">
        <v>31821</v>
      </c>
      <c r="E239" s="9">
        <v>31823</v>
      </c>
      <c r="F239" s="9" t="s">
        <v>2322</v>
      </c>
      <c r="H239" s="15" t="s">
        <v>471</v>
      </c>
      <c r="I239" s="9">
        <v>3</v>
      </c>
    </row>
    <row r="240" spans="2:9">
      <c r="B240" s="9" t="str">
        <f t="shared" si="17"/>
        <v>0x7C50</v>
      </c>
      <c r="C240" s="9" t="str">
        <f t="shared" si="18"/>
        <v>0x7C52</v>
      </c>
      <c r="D240" s="9">
        <v>31824</v>
      </c>
      <c r="E240" s="9">
        <v>31826</v>
      </c>
      <c r="F240" s="9" t="s">
        <v>2323</v>
      </c>
      <c r="H240" s="15" t="s">
        <v>471</v>
      </c>
      <c r="I240" s="9">
        <v>3</v>
      </c>
    </row>
    <row r="241" spans="2:9">
      <c r="B241" s="9" t="str">
        <f t="shared" si="17"/>
        <v>0x7C53</v>
      </c>
      <c r="C241" s="9" t="str">
        <f t="shared" si="18"/>
        <v>0x7C55</v>
      </c>
      <c r="D241" s="9">
        <v>31827</v>
      </c>
      <c r="E241" s="9">
        <v>31829</v>
      </c>
      <c r="F241" s="9" t="s">
        <v>2324</v>
      </c>
      <c r="H241" s="15" t="s">
        <v>471</v>
      </c>
      <c r="I241" s="9">
        <v>3</v>
      </c>
    </row>
    <row r="242" spans="2:9">
      <c r="B242" s="9" t="str">
        <f t="shared" si="17"/>
        <v>0x7C56</v>
      </c>
      <c r="C242" s="9" t="str">
        <f t="shared" si="18"/>
        <v>0x7C58</v>
      </c>
      <c r="D242" s="9">
        <v>31830</v>
      </c>
      <c r="E242" s="9">
        <v>31832</v>
      </c>
      <c r="F242" s="9" t="s">
        <v>2325</v>
      </c>
      <c r="H242" s="15" t="s">
        <v>471</v>
      </c>
      <c r="I242" s="9">
        <v>3</v>
      </c>
    </row>
    <row r="243" spans="2:9">
      <c r="B243" s="9" t="str">
        <f t="shared" si="17"/>
        <v>0x7C59</v>
      </c>
      <c r="C243" s="9" t="str">
        <f t="shared" si="18"/>
        <v>0x7C5B</v>
      </c>
      <c r="D243" s="9">
        <v>31833</v>
      </c>
      <c r="E243" s="9">
        <v>31835</v>
      </c>
      <c r="F243" s="9" t="s">
        <v>2326</v>
      </c>
      <c r="H243" s="15" t="s">
        <v>471</v>
      </c>
      <c r="I243" s="9">
        <v>3</v>
      </c>
    </row>
    <row r="244" spans="2:9">
      <c r="B244" s="9" t="str">
        <f t="shared" si="17"/>
        <v>0x7C5C</v>
      </c>
      <c r="C244" s="9" t="str">
        <f t="shared" si="18"/>
        <v>0x7C5E</v>
      </c>
      <c r="D244" s="9">
        <v>31836</v>
      </c>
      <c r="E244" s="9">
        <v>31838</v>
      </c>
      <c r="F244" s="9" t="s">
        <v>2327</v>
      </c>
      <c r="H244" s="15" t="s">
        <v>471</v>
      </c>
      <c r="I244" s="9">
        <v>3</v>
      </c>
    </row>
    <row r="245" spans="2:9">
      <c r="B245" s="9" t="str">
        <f t="shared" si="17"/>
        <v>0x7C5F</v>
      </c>
      <c r="C245" s="9" t="str">
        <f t="shared" si="18"/>
        <v>0x7C61</v>
      </c>
      <c r="D245" s="9">
        <v>31839</v>
      </c>
      <c r="E245" s="9">
        <v>31841</v>
      </c>
      <c r="F245" s="9" t="s">
        <v>2328</v>
      </c>
      <c r="H245" s="15" t="s">
        <v>471</v>
      </c>
      <c r="I245" s="9">
        <v>3</v>
      </c>
    </row>
    <row r="246" spans="2:9">
      <c r="B246" s="9" t="str">
        <f t="shared" si="17"/>
        <v>0x7C62</v>
      </c>
      <c r="C246" s="9" t="str">
        <f t="shared" si="18"/>
        <v>0x7C64</v>
      </c>
      <c r="D246" s="9">
        <v>31842</v>
      </c>
      <c r="E246" s="9">
        <v>31844</v>
      </c>
      <c r="F246" s="9" t="s">
        <v>2329</v>
      </c>
      <c r="H246" s="15" t="s">
        <v>471</v>
      </c>
      <c r="I246" s="9">
        <v>3</v>
      </c>
    </row>
    <row r="247" spans="2:9">
      <c r="B247" s="9" t="str">
        <f t="shared" si="17"/>
        <v>0x7C65</v>
      </c>
      <c r="C247" s="9" t="str">
        <f t="shared" si="18"/>
        <v>0x7C67</v>
      </c>
      <c r="D247" s="9">
        <v>31845</v>
      </c>
      <c r="E247" s="9">
        <v>31847</v>
      </c>
      <c r="F247" s="9" t="s">
        <v>2330</v>
      </c>
      <c r="H247" s="15" t="s">
        <v>471</v>
      </c>
      <c r="I247" s="9">
        <v>3</v>
      </c>
    </row>
    <row r="248" spans="2:9">
      <c r="B248" s="9" t="str">
        <f t="shared" si="17"/>
        <v>0x7C68</v>
      </c>
      <c r="C248" s="9" t="str">
        <f t="shared" si="18"/>
        <v>0x7C6A</v>
      </c>
      <c r="D248" s="9">
        <v>31848</v>
      </c>
      <c r="E248" s="9">
        <v>31850</v>
      </c>
      <c r="F248" s="9" t="s">
        <v>2331</v>
      </c>
      <c r="H248" s="15" t="s">
        <v>471</v>
      </c>
      <c r="I248" s="9">
        <v>3</v>
      </c>
    </row>
    <row r="249" spans="2:9">
      <c r="B249" s="9" t="str">
        <f t="shared" si="17"/>
        <v>0x7C6B</v>
      </c>
      <c r="C249" s="9" t="str">
        <f t="shared" si="18"/>
        <v>0x7C6D</v>
      </c>
      <c r="D249" s="9">
        <v>31851</v>
      </c>
      <c r="E249" s="9">
        <v>31853</v>
      </c>
      <c r="F249" s="9" t="s">
        <v>2332</v>
      </c>
      <c r="H249" s="15" t="s">
        <v>471</v>
      </c>
      <c r="I249" s="9">
        <v>3</v>
      </c>
    </row>
    <row r="250" spans="2:9">
      <c r="B250" s="9" t="str">
        <f t="shared" si="17"/>
        <v>0x7C6E</v>
      </c>
      <c r="D250" s="9">
        <v>31854</v>
      </c>
      <c r="F250" s="9" t="s">
        <v>2333</v>
      </c>
      <c r="H250" s="15" t="s">
        <v>471</v>
      </c>
    </row>
    <row r="251" spans="2:9">
      <c r="B251" s="9" t="str">
        <f t="shared" si="17"/>
        <v>0x7C6F</v>
      </c>
      <c r="D251" s="9">
        <v>31855</v>
      </c>
      <c r="F251" s="9" t="s">
        <v>2334</v>
      </c>
      <c r="H251" s="15" t="s">
        <v>471</v>
      </c>
    </row>
    <row r="252" spans="2:9">
      <c r="B252" s="9" t="str">
        <f t="shared" ref="B252:B314" si="19">"0x"&amp;DEC2HEX(D252,4)</f>
        <v>0x7C70</v>
      </c>
      <c r="C252" s="9" t="str">
        <f t="shared" ref="C252:C313" si="20">"0x"&amp;DEC2HEX(E252,4)</f>
        <v>0x7C72</v>
      </c>
      <c r="D252" s="9">
        <v>31856</v>
      </c>
      <c r="E252" s="9">
        <v>31858</v>
      </c>
      <c r="F252" s="9" t="s">
        <v>2335</v>
      </c>
      <c r="H252" s="15" t="s">
        <v>471</v>
      </c>
      <c r="I252" s="9">
        <v>3</v>
      </c>
    </row>
    <row r="253" spans="2:9">
      <c r="B253" s="9" t="str">
        <f t="shared" si="19"/>
        <v>0x7C73</v>
      </c>
      <c r="C253" s="9" t="str">
        <f t="shared" si="20"/>
        <v>0x7C75</v>
      </c>
      <c r="D253" s="9">
        <v>31859</v>
      </c>
      <c r="E253" s="9">
        <v>31861</v>
      </c>
      <c r="F253" s="9" t="s">
        <v>2336</v>
      </c>
      <c r="H253" s="15" t="s">
        <v>471</v>
      </c>
      <c r="I253" s="9">
        <v>3</v>
      </c>
    </row>
    <row r="254" spans="2:9">
      <c r="B254" s="9" t="str">
        <f t="shared" si="19"/>
        <v>0x7C76</v>
      </c>
      <c r="C254" s="9" t="str">
        <f t="shared" si="20"/>
        <v>0x7C78</v>
      </c>
      <c r="D254" s="9">
        <v>31862</v>
      </c>
      <c r="E254" s="9">
        <v>31864</v>
      </c>
      <c r="F254" s="9" t="s">
        <v>2337</v>
      </c>
      <c r="H254" s="15" t="s">
        <v>471</v>
      </c>
      <c r="I254" s="9">
        <v>3</v>
      </c>
    </row>
    <row r="255" spans="2:9">
      <c r="B255" s="9" t="str">
        <f t="shared" si="19"/>
        <v>0x7C79</v>
      </c>
      <c r="C255" s="9" t="str">
        <f t="shared" si="20"/>
        <v>0x7C7B</v>
      </c>
      <c r="D255" s="9">
        <v>31865</v>
      </c>
      <c r="E255" s="9">
        <v>31867</v>
      </c>
      <c r="F255" s="9" t="s">
        <v>2338</v>
      </c>
      <c r="H255" s="15" t="s">
        <v>471</v>
      </c>
      <c r="I255" s="9">
        <v>3</v>
      </c>
    </row>
    <row r="256" spans="2:9">
      <c r="B256" s="9" t="str">
        <f t="shared" si="19"/>
        <v>0x7C7C</v>
      </c>
      <c r="C256" s="9" t="str">
        <f t="shared" si="20"/>
        <v>0x7C7E</v>
      </c>
      <c r="D256" s="9">
        <v>31868</v>
      </c>
      <c r="E256" s="9">
        <v>31870</v>
      </c>
      <c r="F256" s="9" t="s">
        <v>2339</v>
      </c>
      <c r="H256" s="15" t="s">
        <v>471</v>
      </c>
      <c r="I256" s="9">
        <v>3</v>
      </c>
    </row>
    <row r="257" spans="2:9">
      <c r="B257" s="9" t="str">
        <f t="shared" si="19"/>
        <v>0x7C7F</v>
      </c>
      <c r="C257" s="9" t="str">
        <f t="shared" si="20"/>
        <v>0x7C81</v>
      </c>
      <c r="D257" s="9">
        <v>31871</v>
      </c>
      <c r="E257" s="9">
        <v>31873</v>
      </c>
      <c r="F257" s="9" t="s">
        <v>2340</v>
      </c>
      <c r="H257" s="15" t="s">
        <v>471</v>
      </c>
      <c r="I257" s="9">
        <v>3</v>
      </c>
    </row>
    <row r="258" spans="2:9">
      <c r="B258" s="9" t="str">
        <f t="shared" si="19"/>
        <v>0x7C82</v>
      </c>
      <c r="C258" s="9" t="str">
        <f t="shared" si="20"/>
        <v>0x7C84</v>
      </c>
      <c r="D258" s="9">
        <v>31874</v>
      </c>
      <c r="E258" s="9">
        <v>31876</v>
      </c>
      <c r="F258" s="9" t="s">
        <v>2341</v>
      </c>
      <c r="H258" s="15" t="s">
        <v>471</v>
      </c>
      <c r="I258" s="9">
        <v>3</v>
      </c>
    </row>
    <row r="259" spans="2:9">
      <c r="B259" s="9" t="str">
        <f t="shared" si="19"/>
        <v>0x7C85</v>
      </c>
      <c r="C259" s="9" t="str">
        <f t="shared" si="20"/>
        <v>0x7C87</v>
      </c>
      <c r="D259" s="9">
        <v>31877</v>
      </c>
      <c r="E259" s="9">
        <v>31879</v>
      </c>
      <c r="F259" s="9" t="s">
        <v>2342</v>
      </c>
      <c r="H259" s="15" t="s">
        <v>471</v>
      </c>
      <c r="I259" s="9">
        <v>3</v>
      </c>
    </row>
    <row r="260" spans="2:9">
      <c r="B260" s="9" t="str">
        <f t="shared" si="19"/>
        <v>0x7C88</v>
      </c>
      <c r="C260" s="9" t="str">
        <f t="shared" si="20"/>
        <v>0x7C8A</v>
      </c>
      <c r="D260" s="9">
        <v>31880</v>
      </c>
      <c r="E260" s="9">
        <v>31882</v>
      </c>
      <c r="F260" s="9" t="s">
        <v>2343</v>
      </c>
      <c r="H260" s="15" t="s">
        <v>471</v>
      </c>
      <c r="I260" s="9">
        <v>3</v>
      </c>
    </row>
    <row r="261" spans="2:9">
      <c r="B261" s="9" t="str">
        <f t="shared" si="19"/>
        <v>0x7C8B</v>
      </c>
      <c r="C261" s="9" t="str">
        <f t="shared" si="20"/>
        <v>0x7C8D</v>
      </c>
      <c r="D261" s="9">
        <v>31883</v>
      </c>
      <c r="E261" s="9">
        <v>31885</v>
      </c>
      <c r="F261" s="9" t="s">
        <v>2344</v>
      </c>
      <c r="H261" s="15" t="s">
        <v>471</v>
      </c>
      <c r="I261" s="9">
        <v>3</v>
      </c>
    </row>
    <row r="262" spans="2:9">
      <c r="B262" s="9" t="str">
        <f t="shared" si="19"/>
        <v>0x7C8E</v>
      </c>
      <c r="C262" s="9" t="str">
        <f t="shared" si="20"/>
        <v>0x7C90</v>
      </c>
      <c r="D262" s="9">
        <v>31886</v>
      </c>
      <c r="E262" s="9">
        <v>31888</v>
      </c>
      <c r="F262" s="9" t="s">
        <v>2345</v>
      </c>
      <c r="H262" s="15" t="s">
        <v>471</v>
      </c>
      <c r="I262" s="9">
        <v>3</v>
      </c>
    </row>
    <row r="263" spans="2:9">
      <c r="B263" s="9" t="str">
        <f t="shared" si="19"/>
        <v>0x7C91</v>
      </c>
      <c r="C263" s="9" t="str">
        <f t="shared" si="20"/>
        <v>0x7C93</v>
      </c>
      <c r="D263" s="9">
        <v>31889</v>
      </c>
      <c r="E263" s="9">
        <v>31891</v>
      </c>
      <c r="F263" s="9" t="s">
        <v>2346</v>
      </c>
      <c r="H263" s="15" t="s">
        <v>471</v>
      </c>
      <c r="I263" s="9">
        <v>3</v>
      </c>
    </row>
    <row r="264" spans="2:9">
      <c r="B264" s="9" t="str">
        <f t="shared" si="19"/>
        <v>0x7C94</v>
      </c>
      <c r="C264" s="9" t="str">
        <f t="shared" si="20"/>
        <v>0x7C96</v>
      </c>
      <c r="D264" s="9">
        <v>31892</v>
      </c>
      <c r="E264" s="9">
        <v>31894</v>
      </c>
      <c r="F264" s="9" t="s">
        <v>2347</v>
      </c>
      <c r="H264" s="15" t="s">
        <v>471</v>
      </c>
      <c r="I264" s="9">
        <v>3</v>
      </c>
    </row>
    <row r="265" spans="2:9">
      <c r="B265" s="9" t="str">
        <f t="shared" si="19"/>
        <v>0x7C97</v>
      </c>
      <c r="C265" s="9" t="str">
        <f t="shared" si="20"/>
        <v>0x7C99</v>
      </c>
      <c r="D265" s="9">
        <v>31895</v>
      </c>
      <c r="E265" s="9">
        <v>31897</v>
      </c>
      <c r="F265" s="9" t="s">
        <v>2348</v>
      </c>
      <c r="H265" s="15" t="s">
        <v>471</v>
      </c>
      <c r="I265" s="9">
        <v>3</v>
      </c>
    </row>
    <row r="266" spans="2:9">
      <c r="B266" s="9" t="str">
        <f t="shared" si="19"/>
        <v>0x7C9A</v>
      </c>
      <c r="C266" s="9" t="str">
        <f t="shared" si="20"/>
        <v>0x7C9C</v>
      </c>
      <c r="D266" s="9">
        <v>31898</v>
      </c>
      <c r="E266" s="9">
        <v>31900</v>
      </c>
      <c r="F266" s="9" t="s">
        <v>2349</v>
      </c>
      <c r="H266" s="15" t="s">
        <v>471</v>
      </c>
      <c r="I266" s="9">
        <v>3</v>
      </c>
    </row>
    <row r="267" spans="2:9">
      <c r="B267" s="9" t="str">
        <f t="shared" si="19"/>
        <v>0x7C9D</v>
      </c>
      <c r="C267" s="9" t="str">
        <f t="shared" si="20"/>
        <v>0x7C9F</v>
      </c>
      <c r="D267" s="9">
        <v>31901</v>
      </c>
      <c r="E267" s="9">
        <v>31903</v>
      </c>
      <c r="F267" s="9" t="s">
        <v>2350</v>
      </c>
      <c r="H267" s="15" t="s">
        <v>471</v>
      </c>
      <c r="I267" s="9">
        <v>3</v>
      </c>
    </row>
    <row r="268" spans="2:9">
      <c r="B268" s="9" t="str">
        <f t="shared" si="19"/>
        <v>0x7CA0</v>
      </c>
      <c r="C268" s="9" t="str">
        <f t="shared" si="20"/>
        <v>0x7CA2</v>
      </c>
      <c r="D268" s="9">
        <v>31904</v>
      </c>
      <c r="E268" s="9">
        <v>31906</v>
      </c>
      <c r="F268" s="9" t="s">
        <v>2351</v>
      </c>
      <c r="H268" s="15" t="s">
        <v>471</v>
      </c>
      <c r="I268" s="9">
        <v>3</v>
      </c>
    </row>
    <row r="269" spans="2:9">
      <c r="B269" s="9" t="str">
        <f t="shared" si="19"/>
        <v>0x7CA3</v>
      </c>
      <c r="C269" s="9" t="str">
        <f t="shared" si="20"/>
        <v>0x7CA5</v>
      </c>
      <c r="D269" s="9">
        <v>31907</v>
      </c>
      <c r="E269" s="9">
        <v>31909</v>
      </c>
      <c r="F269" s="9" t="s">
        <v>2352</v>
      </c>
      <c r="H269" s="15" t="s">
        <v>471</v>
      </c>
      <c r="I269" s="9">
        <v>3</v>
      </c>
    </row>
    <row r="270" spans="2:9">
      <c r="B270" s="9" t="str">
        <f t="shared" si="19"/>
        <v>0x7CA6</v>
      </c>
      <c r="C270" s="9" t="str">
        <f t="shared" si="20"/>
        <v>0x7CA8</v>
      </c>
      <c r="D270" s="9">
        <v>31910</v>
      </c>
      <c r="E270" s="9">
        <v>31912</v>
      </c>
      <c r="F270" s="9" t="s">
        <v>2353</v>
      </c>
      <c r="H270" s="15" t="s">
        <v>471</v>
      </c>
      <c r="I270" s="9">
        <v>3</v>
      </c>
    </row>
    <row r="271" spans="2:9">
      <c r="B271" s="9" t="str">
        <f t="shared" si="19"/>
        <v>0x7CA9</v>
      </c>
      <c r="C271" s="9" t="str">
        <f t="shared" si="20"/>
        <v>0x7CAB</v>
      </c>
      <c r="D271" s="9">
        <v>31913</v>
      </c>
      <c r="E271" s="9">
        <v>31915</v>
      </c>
      <c r="F271" s="9" t="s">
        <v>2354</v>
      </c>
      <c r="H271" s="15" t="s">
        <v>471</v>
      </c>
      <c r="I271" s="9">
        <v>3</v>
      </c>
    </row>
    <row r="272" spans="2:9">
      <c r="B272" s="9" t="str">
        <f t="shared" si="19"/>
        <v>0x7CAC</v>
      </c>
      <c r="C272" s="9" t="str">
        <f t="shared" si="20"/>
        <v>0x7CAE</v>
      </c>
      <c r="D272" s="9">
        <v>31916</v>
      </c>
      <c r="E272" s="9">
        <v>31918</v>
      </c>
      <c r="F272" s="9" t="s">
        <v>2355</v>
      </c>
      <c r="H272" s="15" t="s">
        <v>471</v>
      </c>
      <c r="I272" s="9">
        <v>3</v>
      </c>
    </row>
    <row r="273" spans="2:9">
      <c r="B273" s="9" t="str">
        <f t="shared" si="19"/>
        <v>0x7CAF</v>
      </c>
      <c r="C273" s="9" t="str">
        <f t="shared" si="20"/>
        <v>0x7CB1</v>
      </c>
      <c r="D273" s="9">
        <v>31919</v>
      </c>
      <c r="E273" s="9">
        <v>31921</v>
      </c>
      <c r="F273" s="9" t="s">
        <v>2356</v>
      </c>
      <c r="H273" s="15" t="s">
        <v>471</v>
      </c>
      <c r="I273" s="9">
        <v>3</v>
      </c>
    </row>
    <row r="274" spans="2:9">
      <c r="B274" s="9" t="str">
        <f t="shared" si="19"/>
        <v>0x7CB2</v>
      </c>
      <c r="C274" s="9" t="str">
        <f t="shared" si="20"/>
        <v>0x7CB4</v>
      </c>
      <c r="D274" s="9">
        <v>31922</v>
      </c>
      <c r="E274" s="9">
        <v>31924</v>
      </c>
      <c r="F274" s="9" t="s">
        <v>2357</v>
      </c>
      <c r="H274" s="15" t="s">
        <v>471</v>
      </c>
      <c r="I274" s="9">
        <v>3</v>
      </c>
    </row>
    <row r="275" spans="2:9">
      <c r="B275" s="9" t="str">
        <f t="shared" si="19"/>
        <v>0x7CB5</v>
      </c>
      <c r="C275" s="9" t="str">
        <f t="shared" si="20"/>
        <v>0x7CB7</v>
      </c>
      <c r="D275" s="9">
        <v>31925</v>
      </c>
      <c r="E275" s="9">
        <v>31927</v>
      </c>
      <c r="F275" s="9" t="s">
        <v>2358</v>
      </c>
      <c r="H275" s="15" t="s">
        <v>471</v>
      </c>
      <c r="I275" s="9">
        <v>3</v>
      </c>
    </row>
    <row r="276" spans="2:9">
      <c r="B276" s="9" t="str">
        <f t="shared" si="19"/>
        <v>0x7CB8</v>
      </c>
      <c r="C276" s="9" t="str">
        <f t="shared" si="20"/>
        <v>0x7CBA</v>
      </c>
      <c r="D276" s="9">
        <v>31928</v>
      </c>
      <c r="E276" s="9">
        <v>31930</v>
      </c>
      <c r="F276" s="9" t="s">
        <v>2359</v>
      </c>
      <c r="H276" s="15" t="s">
        <v>471</v>
      </c>
      <c r="I276" s="9">
        <v>3</v>
      </c>
    </row>
    <row r="277" spans="2:9">
      <c r="B277" s="9" t="str">
        <f t="shared" si="19"/>
        <v>0x7CBB</v>
      </c>
      <c r="C277" s="9" t="str">
        <f t="shared" si="20"/>
        <v>0x7CBD</v>
      </c>
      <c r="D277" s="9">
        <v>31931</v>
      </c>
      <c r="E277" s="9">
        <v>31933</v>
      </c>
      <c r="F277" s="9" t="s">
        <v>2360</v>
      </c>
      <c r="H277" s="15" t="s">
        <v>471</v>
      </c>
      <c r="I277" s="9">
        <v>3</v>
      </c>
    </row>
    <row r="278" spans="2:9">
      <c r="B278" s="9" t="str">
        <f t="shared" si="19"/>
        <v>0x7CBE</v>
      </c>
      <c r="C278" s="9" t="str">
        <f t="shared" si="20"/>
        <v>0x7CC0</v>
      </c>
      <c r="D278" s="9">
        <v>31934</v>
      </c>
      <c r="E278" s="9">
        <v>31936</v>
      </c>
      <c r="F278" s="9" t="s">
        <v>2361</v>
      </c>
      <c r="H278" s="15" t="s">
        <v>471</v>
      </c>
      <c r="I278" s="9">
        <v>3</v>
      </c>
    </row>
    <row r="279" spans="2:9">
      <c r="B279" s="9" t="str">
        <f t="shared" si="19"/>
        <v>0x7CC1</v>
      </c>
      <c r="C279" s="9" t="str">
        <f t="shared" si="20"/>
        <v>0x7CC3</v>
      </c>
      <c r="D279" s="9">
        <v>31937</v>
      </c>
      <c r="E279" s="9">
        <v>31939</v>
      </c>
      <c r="F279" s="9" t="s">
        <v>2362</v>
      </c>
      <c r="H279" s="15" t="s">
        <v>471</v>
      </c>
      <c r="I279" s="9">
        <v>3</v>
      </c>
    </row>
    <row r="280" spans="2:9">
      <c r="B280" s="9" t="str">
        <f t="shared" si="19"/>
        <v>0x7CC4</v>
      </c>
      <c r="C280" s="9" t="str">
        <f t="shared" si="20"/>
        <v>0x7CC6</v>
      </c>
      <c r="D280" s="9">
        <v>31940</v>
      </c>
      <c r="E280" s="9">
        <v>31942</v>
      </c>
      <c r="F280" s="9" t="s">
        <v>2363</v>
      </c>
      <c r="H280" s="15" t="s">
        <v>471</v>
      </c>
      <c r="I280" s="9">
        <v>3</v>
      </c>
    </row>
    <row r="281" spans="2:9">
      <c r="B281" s="9" t="str">
        <f t="shared" si="19"/>
        <v>0x7CC7</v>
      </c>
      <c r="C281" s="9" t="str">
        <f t="shared" si="20"/>
        <v>0x7CC9</v>
      </c>
      <c r="D281" s="9">
        <v>31943</v>
      </c>
      <c r="E281" s="9">
        <v>31945</v>
      </c>
      <c r="F281" s="9" t="s">
        <v>2364</v>
      </c>
      <c r="H281" s="15" t="s">
        <v>471</v>
      </c>
      <c r="I281" s="9">
        <v>3</v>
      </c>
    </row>
    <row r="282" spans="2:9">
      <c r="B282" s="9" t="str">
        <f t="shared" si="19"/>
        <v>0x7CCA</v>
      </c>
      <c r="D282" s="9">
        <v>31946</v>
      </c>
      <c r="F282" s="9" t="s">
        <v>2365</v>
      </c>
      <c r="H282" s="15" t="s">
        <v>471</v>
      </c>
    </row>
    <row r="283" spans="2:9">
      <c r="B283" s="9" t="str">
        <f t="shared" si="19"/>
        <v>0x7CCB</v>
      </c>
      <c r="D283" s="9">
        <v>31947</v>
      </c>
      <c r="F283" s="9" t="s">
        <v>2366</v>
      </c>
      <c r="H283" s="15" t="s">
        <v>471</v>
      </c>
    </row>
    <row r="284" spans="2:9">
      <c r="B284" s="9" t="str">
        <f t="shared" si="19"/>
        <v>0x7CCC</v>
      </c>
      <c r="C284" s="9" t="str">
        <f t="shared" si="20"/>
        <v>0x7CCE</v>
      </c>
      <c r="D284" s="9">
        <v>31948</v>
      </c>
      <c r="E284" s="9">
        <v>31950</v>
      </c>
      <c r="F284" s="9" t="s">
        <v>2367</v>
      </c>
      <c r="H284" s="15" t="s">
        <v>471</v>
      </c>
      <c r="I284" s="9">
        <v>3</v>
      </c>
    </row>
    <row r="285" spans="2:9">
      <c r="B285" s="9" t="str">
        <f t="shared" si="19"/>
        <v>0x7CCF</v>
      </c>
      <c r="C285" s="9" t="str">
        <f t="shared" si="20"/>
        <v>0x7CD1</v>
      </c>
      <c r="D285" s="9">
        <v>31951</v>
      </c>
      <c r="E285" s="9">
        <v>31953</v>
      </c>
      <c r="F285" s="9" t="s">
        <v>2368</v>
      </c>
      <c r="H285" s="15" t="s">
        <v>471</v>
      </c>
      <c r="I285" s="9">
        <v>3</v>
      </c>
    </row>
    <row r="286" spans="2:9">
      <c r="B286" s="9" t="str">
        <f t="shared" si="19"/>
        <v>0x7CD2</v>
      </c>
      <c r="C286" s="9" t="str">
        <f t="shared" si="20"/>
        <v>0x7CD4</v>
      </c>
      <c r="D286" s="9">
        <v>31954</v>
      </c>
      <c r="E286" s="9">
        <v>31956</v>
      </c>
      <c r="F286" s="9" t="s">
        <v>2369</v>
      </c>
      <c r="H286" s="15" t="s">
        <v>471</v>
      </c>
      <c r="I286" s="9">
        <v>3</v>
      </c>
    </row>
    <row r="287" spans="2:9">
      <c r="B287" s="9" t="str">
        <f t="shared" si="19"/>
        <v>0x7CD5</v>
      </c>
      <c r="C287" s="9" t="str">
        <f t="shared" si="20"/>
        <v>0x7CD7</v>
      </c>
      <c r="D287" s="9">
        <v>31957</v>
      </c>
      <c r="E287" s="9">
        <v>31959</v>
      </c>
      <c r="F287" s="9" t="s">
        <v>2370</v>
      </c>
      <c r="H287" s="15" t="s">
        <v>471</v>
      </c>
      <c r="I287" s="9">
        <v>3</v>
      </c>
    </row>
    <row r="288" spans="2:9">
      <c r="B288" s="9" t="str">
        <f t="shared" si="19"/>
        <v>0x7CD8</v>
      </c>
      <c r="C288" s="9" t="str">
        <f t="shared" si="20"/>
        <v>0x7CDA</v>
      </c>
      <c r="D288" s="9">
        <v>31960</v>
      </c>
      <c r="E288" s="9">
        <v>31962</v>
      </c>
      <c r="F288" s="9" t="s">
        <v>2371</v>
      </c>
      <c r="H288" s="15" t="s">
        <v>471</v>
      </c>
      <c r="I288" s="9">
        <v>3</v>
      </c>
    </row>
    <row r="289" spans="2:9">
      <c r="B289" s="9" t="str">
        <f t="shared" si="19"/>
        <v>0x7CDB</v>
      </c>
      <c r="C289" s="9" t="str">
        <f t="shared" si="20"/>
        <v>0x7CDD</v>
      </c>
      <c r="D289" s="9">
        <v>31963</v>
      </c>
      <c r="E289" s="9">
        <v>31965</v>
      </c>
      <c r="F289" s="9" t="s">
        <v>2372</v>
      </c>
      <c r="H289" s="15" t="s">
        <v>471</v>
      </c>
      <c r="I289" s="9">
        <v>3</v>
      </c>
    </row>
    <row r="290" spans="2:9">
      <c r="B290" s="9" t="str">
        <f t="shared" si="19"/>
        <v>0x7CDE</v>
      </c>
      <c r="C290" s="9" t="str">
        <f t="shared" si="20"/>
        <v>0x7CE0</v>
      </c>
      <c r="D290" s="9">
        <v>31966</v>
      </c>
      <c r="E290" s="9">
        <v>31968</v>
      </c>
      <c r="F290" s="9" t="s">
        <v>2373</v>
      </c>
      <c r="H290" s="15" t="s">
        <v>471</v>
      </c>
      <c r="I290" s="9">
        <v>3</v>
      </c>
    </row>
    <row r="291" spans="2:9">
      <c r="B291" s="9" t="str">
        <f t="shared" si="19"/>
        <v>0x7CE1</v>
      </c>
      <c r="C291" s="9" t="str">
        <f t="shared" si="20"/>
        <v>0x7CE3</v>
      </c>
      <c r="D291" s="9">
        <v>31969</v>
      </c>
      <c r="E291" s="9">
        <v>31971</v>
      </c>
      <c r="F291" s="9" t="s">
        <v>2374</v>
      </c>
      <c r="H291" s="15" t="s">
        <v>471</v>
      </c>
      <c r="I291" s="9">
        <v>3</v>
      </c>
    </row>
    <row r="292" spans="2:9">
      <c r="B292" s="9" t="str">
        <f t="shared" si="19"/>
        <v>0x7CE4</v>
      </c>
      <c r="C292" s="9" t="str">
        <f t="shared" si="20"/>
        <v>0x7CE6</v>
      </c>
      <c r="D292" s="9">
        <v>31972</v>
      </c>
      <c r="E292" s="9">
        <v>31974</v>
      </c>
      <c r="F292" s="9" t="s">
        <v>2375</v>
      </c>
      <c r="H292" s="15" t="s">
        <v>471</v>
      </c>
      <c r="I292" s="9">
        <v>3</v>
      </c>
    </row>
    <row r="293" spans="2:9">
      <c r="B293" s="9" t="str">
        <f t="shared" si="19"/>
        <v>0x7CE7</v>
      </c>
      <c r="C293" s="9" t="str">
        <f t="shared" si="20"/>
        <v>0x7CE9</v>
      </c>
      <c r="D293" s="9">
        <v>31975</v>
      </c>
      <c r="E293" s="9">
        <v>31977</v>
      </c>
      <c r="F293" s="9" t="s">
        <v>2376</v>
      </c>
      <c r="H293" s="15" t="s">
        <v>471</v>
      </c>
      <c r="I293" s="9">
        <v>3</v>
      </c>
    </row>
    <row r="294" spans="2:9">
      <c r="B294" s="9" t="str">
        <f t="shared" si="19"/>
        <v>0x7CEA</v>
      </c>
      <c r="C294" s="9" t="str">
        <f t="shared" si="20"/>
        <v>0x7CEC</v>
      </c>
      <c r="D294" s="9">
        <v>31978</v>
      </c>
      <c r="E294" s="9">
        <v>31980</v>
      </c>
      <c r="F294" s="9" t="s">
        <v>2377</v>
      </c>
      <c r="H294" s="15" t="s">
        <v>471</v>
      </c>
      <c r="I294" s="9">
        <v>3</v>
      </c>
    </row>
    <row r="295" spans="2:9">
      <c r="B295" s="9" t="str">
        <f t="shared" si="19"/>
        <v>0x7CED</v>
      </c>
      <c r="C295" s="9" t="str">
        <f t="shared" si="20"/>
        <v>0x7CEF</v>
      </c>
      <c r="D295" s="9">
        <v>31981</v>
      </c>
      <c r="E295" s="9">
        <v>31983</v>
      </c>
      <c r="F295" s="9" t="s">
        <v>2378</v>
      </c>
      <c r="H295" s="15" t="s">
        <v>471</v>
      </c>
      <c r="I295" s="9">
        <v>3</v>
      </c>
    </row>
    <row r="296" spans="2:9">
      <c r="B296" s="9" t="str">
        <f t="shared" si="19"/>
        <v>0x7CF0</v>
      </c>
      <c r="C296" s="9" t="str">
        <f t="shared" si="20"/>
        <v>0x7CF2</v>
      </c>
      <c r="D296" s="9">
        <v>31984</v>
      </c>
      <c r="E296" s="9">
        <v>31986</v>
      </c>
      <c r="F296" s="9" t="s">
        <v>2379</v>
      </c>
      <c r="H296" s="15" t="s">
        <v>471</v>
      </c>
      <c r="I296" s="9">
        <v>3</v>
      </c>
    </row>
    <row r="297" spans="2:9">
      <c r="B297" s="9" t="str">
        <f t="shared" si="19"/>
        <v>0x7CF3</v>
      </c>
      <c r="C297" s="9" t="str">
        <f t="shared" si="20"/>
        <v>0x7CF5</v>
      </c>
      <c r="D297" s="9">
        <v>31987</v>
      </c>
      <c r="E297" s="9">
        <v>31989</v>
      </c>
      <c r="F297" s="9" t="s">
        <v>2380</v>
      </c>
      <c r="H297" s="15" t="s">
        <v>471</v>
      </c>
      <c r="I297" s="9">
        <v>3</v>
      </c>
    </row>
    <row r="298" spans="2:9">
      <c r="B298" s="9" t="str">
        <f t="shared" si="19"/>
        <v>0x7CF6</v>
      </c>
      <c r="C298" s="9" t="str">
        <f t="shared" si="20"/>
        <v>0x7CF8</v>
      </c>
      <c r="D298" s="9">
        <v>31990</v>
      </c>
      <c r="E298" s="9">
        <v>31992</v>
      </c>
      <c r="F298" s="9" t="s">
        <v>2381</v>
      </c>
      <c r="H298" s="15" t="s">
        <v>471</v>
      </c>
      <c r="I298" s="9">
        <v>3</v>
      </c>
    </row>
    <row r="299" spans="2:9">
      <c r="B299" s="9" t="str">
        <f t="shared" si="19"/>
        <v>0x7CF9</v>
      </c>
      <c r="C299" s="9" t="str">
        <f t="shared" si="20"/>
        <v>0x7CFB</v>
      </c>
      <c r="D299" s="9">
        <v>31993</v>
      </c>
      <c r="E299" s="9">
        <v>31995</v>
      </c>
      <c r="F299" s="9" t="s">
        <v>2382</v>
      </c>
      <c r="H299" s="15" t="s">
        <v>471</v>
      </c>
      <c r="I299" s="9">
        <v>3</v>
      </c>
    </row>
    <row r="300" spans="2:9">
      <c r="B300" s="9" t="str">
        <f t="shared" si="19"/>
        <v>0x7CFC</v>
      </c>
      <c r="C300" s="9" t="str">
        <f t="shared" si="20"/>
        <v>0x7CFE</v>
      </c>
      <c r="D300" s="9">
        <v>31996</v>
      </c>
      <c r="E300" s="9">
        <v>31998</v>
      </c>
      <c r="F300" s="9" t="s">
        <v>2383</v>
      </c>
      <c r="H300" s="15" t="s">
        <v>471</v>
      </c>
      <c r="I300" s="9">
        <v>3</v>
      </c>
    </row>
    <row r="301" spans="2:9">
      <c r="B301" s="9" t="str">
        <f t="shared" si="19"/>
        <v>0x7CFF</v>
      </c>
      <c r="C301" s="9" t="str">
        <f t="shared" si="20"/>
        <v>0x7D01</v>
      </c>
      <c r="D301" s="9">
        <v>31999</v>
      </c>
      <c r="E301" s="9">
        <v>32001</v>
      </c>
      <c r="F301" s="9" t="s">
        <v>2384</v>
      </c>
      <c r="H301" s="15" t="s">
        <v>471</v>
      </c>
      <c r="I301" s="9">
        <v>3</v>
      </c>
    </row>
    <row r="302" spans="2:9">
      <c r="B302" s="9" t="str">
        <f t="shared" si="19"/>
        <v>0x7D02</v>
      </c>
      <c r="C302" s="9" t="str">
        <f t="shared" si="20"/>
        <v>0x7D04</v>
      </c>
      <c r="D302" s="9">
        <v>32002</v>
      </c>
      <c r="E302" s="9">
        <v>32004</v>
      </c>
      <c r="F302" s="9" t="s">
        <v>2385</v>
      </c>
      <c r="H302" s="15" t="s">
        <v>471</v>
      </c>
      <c r="I302" s="9">
        <v>3</v>
      </c>
    </row>
    <row r="303" spans="2:9">
      <c r="B303" s="9" t="str">
        <f t="shared" si="19"/>
        <v>0x7D05</v>
      </c>
      <c r="C303" s="9" t="str">
        <f t="shared" si="20"/>
        <v>0x7D07</v>
      </c>
      <c r="D303" s="9">
        <v>32005</v>
      </c>
      <c r="E303" s="9">
        <v>32007</v>
      </c>
      <c r="F303" s="9" t="s">
        <v>2386</v>
      </c>
      <c r="H303" s="15" t="s">
        <v>471</v>
      </c>
      <c r="I303" s="9">
        <v>3</v>
      </c>
    </row>
    <row r="304" spans="2:9">
      <c r="B304" s="9" t="str">
        <f t="shared" si="19"/>
        <v>0x7D08</v>
      </c>
      <c r="C304" s="9" t="str">
        <f t="shared" si="20"/>
        <v>0x7D0A</v>
      </c>
      <c r="D304" s="9">
        <v>32008</v>
      </c>
      <c r="E304" s="9">
        <v>32010</v>
      </c>
      <c r="F304" s="9" t="s">
        <v>2387</v>
      </c>
      <c r="H304" s="15" t="s">
        <v>471</v>
      </c>
      <c r="I304" s="9">
        <v>3</v>
      </c>
    </row>
    <row r="305" spans="2:9">
      <c r="B305" s="9" t="str">
        <f t="shared" si="19"/>
        <v>0x7D0B</v>
      </c>
      <c r="C305" s="9" t="str">
        <f t="shared" si="20"/>
        <v>0x7D0D</v>
      </c>
      <c r="D305" s="9">
        <v>32011</v>
      </c>
      <c r="E305" s="9">
        <v>32013</v>
      </c>
      <c r="F305" s="9" t="s">
        <v>2388</v>
      </c>
      <c r="H305" s="15" t="s">
        <v>471</v>
      </c>
      <c r="I305" s="9">
        <v>3</v>
      </c>
    </row>
    <row r="306" spans="2:9">
      <c r="B306" s="9" t="str">
        <f t="shared" si="19"/>
        <v>0x7D0E</v>
      </c>
      <c r="C306" s="9" t="str">
        <f t="shared" si="20"/>
        <v>0x7D10</v>
      </c>
      <c r="D306" s="9">
        <v>32014</v>
      </c>
      <c r="E306" s="9">
        <v>32016</v>
      </c>
      <c r="F306" s="9" t="s">
        <v>2389</v>
      </c>
      <c r="H306" s="15" t="s">
        <v>471</v>
      </c>
      <c r="I306" s="9">
        <v>3</v>
      </c>
    </row>
    <row r="307" spans="2:9">
      <c r="B307" s="9" t="str">
        <f t="shared" si="19"/>
        <v>0x7D11</v>
      </c>
      <c r="C307" s="9" t="str">
        <f t="shared" si="20"/>
        <v>0x7D13</v>
      </c>
      <c r="D307" s="9">
        <v>32017</v>
      </c>
      <c r="E307" s="9">
        <v>32019</v>
      </c>
      <c r="F307" s="9" t="s">
        <v>2390</v>
      </c>
      <c r="H307" s="15" t="s">
        <v>471</v>
      </c>
      <c r="I307" s="9">
        <v>3</v>
      </c>
    </row>
    <row r="308" spans="2:9">
      <c r="B308" s="9" t="str">
        <f t="shared" si="19"/>
        <v>0x7D14</v>
      </c>
      <c r="C308" s="9" t="str">
        <f t="shared" si="20"/>
        <v>0x7D16</v>
      </c>
      <c r="D308" s="9">
        <v>32020</v>
      </c>
      <c r="E308" s="9">
        <v>32022</v>
      </c>
      <c r="F308" s="9" t="s">
        <v>2391</v>
      </c>
      <c r="H308" s="15" t="s">
        <v>471</v>
      </c>
      <c r="I308" s="9">
        <v>3</v>
      </c>
    </row>
    <row r="309" spans="2:9">
      <c r="B309" s="9" t="str">
        <f t="shared" si="19"/>
        <v>0x7D17</v>
      </c>
      <c r="C309" s="9" t="str">
        <f t="shared" si="20"/>
        <v>0x7D19</v>
      </c>
      <c r="D309" s="9">
        <v>32023</v>
      </c>
      <c r="E309" s="9">
        <v>32025</v>
      </c>
      <c r="F309" s="9" t="s">
        <v>2392</v>
      </c>
      <c r="H309" s="15" t="s">
        <v>471</v>
      </c>
      <c r="I309" s="9">
        <v>3</v>
      </c>
    </row>
    <row r="310" spans="2:9">
      <c r="B310" s="9" t="str">
        <f t="shared" si="19"/>
        <v>0x7D1A</v>
      </c>
      <c r="C310" s="9" t="str">
        <f t="shared" si="20"/>
        <v>0x7D1C</v>
      </c>
      <c r="D310" s="9">
        <v>32026</v>
      </c>
      <c r="E310" s="9">
        <v>32028</v>
      </c>
      <c r="F310" s="9" t="s">
        <v>2393</v>
      </c>
      <c r="H310" s="15" t="s">
        <v>471</v>
      </c>
      <c r="I310" s="9">
        <v>3</v>
      </c>
    </row>
    <row r="311" spans="2:9">
      <c r="B311" s="9" t="str">
        <f t="shared" si="19"/>
        <v>0x7D1D</v>
      </c>
      <c r="C311" s="9" t="str">
        <f t="shared" si="20"/>
        <v>0x7D1F</v>
      </c>
      <c r="D311" s="9">
        <v>32029</v>
      </c>
      <c r="E311" s="9">
        <v>32031</v>
      </c>
      <c r="F311" s="9" t="s">
        <v>2394</v>
      </c>
      <c r="H311" s="15" t="s">
        <v>471</v>
      </c>
      <c r="I311" s="9">
        <v>3</v>
      </c>
    </row>
    <row r="312" spans="2:9">
      <c r="B312" s="9" t="str">
        <f t="shared" si="19"/>
        <v>0x7D20</v>
      </c>
      <c r="C312" s="9" t="str">
        <f t="shared" si="20"/>
        <v>0x7D22</v>
      </c>
      <c r="D312" s="9">
        <v>32032</v>
      </c>
      <c r="E312" s="9">
        <v>32034</v>
      </c>
      <c r="F312" s="9" t="s">
        <v>2395</v>
      </c>
      <c r="H312" s="15" t="s">
        <v>471</v>
      </c>
      <c r="I312" s="9">
        <v>3</v>
      </c>
    </row>
    <row r="313" spans="2:9">
      <c r="B313" s="9" t="str">
        <f t="shared" si="19"/>
        <v>0x7D23</v>
      </c>
      <c r="C313" s="9" t="str">
        <f t="shared" si="20"/>
        <v>0x7D25</v>
      </c>
      <c r="D313" s="9">
        <v>32035</v>
      </c>
      <c r="E313" s="9">
        <v>32037</v>
      </c>
      <c r="F313" s="9" t="s">
        <v>2396</v>
      </c>
      <c r="H313" s="15" t="s">
        <v>471</v>
      </c>
      <c r="I313" s="9">
        <v>3</v>
      </c>
    </row>
    <row r="314" spans="2:9">
      <c r="B314" s="9" t="str">
        <f t="shared" si="19"/>
        <v>0x7D26</v>
      </c>
      <c r="D314" s="9">
        <v>32038</v>
      </c>
      <c r="F314" s="9" t="s">
        <v>2397</v>
      </c>
      <c r="H314" s="15" t="s">
        <v>471</v>
      </c>
    </row>
    <row r="315" spans="2:9">
      <c r="B315" s="9" t="str">
        <f>"0x"&amp;DEC2HEX(D315,4)</f>
        <v>0x7D27</v>
      </c>
      <c r="D315" s="9">
        <v>32039</v>
      </c>
      <c r="F315" s="9" t="s">
        <v>2398</v>
      </c>
      <c r="H315" s="15" t="s">
        <v>471</v>
      </c>
    </row>
    <row r="316" spans="2:9">
      <c r="B316" s="9" t="str">
        <f t="shared" ref="B316:B378" si="21">"0x"&amp;DEC2HEX(D316,4)</f>
        <v>0x7D28</v>
      </c>
      <c r="C316" s="9" t="str">
        <f t="shared" ref="C316:C377" si="22">"0x"&amp;DEC2HEX(E316,4)</f>
        <v>0x7D2A</v>
      </c>
      <c r="D316" s="9">
        <v>32040</v>
      </c>
      <c r="E316" s="9">
        <v>32042</v>
      </c>
      <c r="F316" s="9" t="s">
        <v>2399</v>
      </c>
      <c r="H316" s="15" t="s">
        <v>471</v>
      </c>
      <c r="I316" s="9">
        <v>3</v>
      </c>
    </row>
    <row r="317" spans="2:9">
      <c r="B317" s="9" t="str">
        <f t="shared" si="21"/>
        <v>0x7D2B</v>
      </c>
      <c r="C317" s="9" t="str">
        <f t="shared" si="22"/>
        <v>0x7D2D</v>
      </c>
      <c r="D317" s="9">
        <v>32043</v>
      </c>
      <c r="E317" s="9">
        <v>32045</v>
      </c>
      <c r="F317" s="9" t="s">
        <v>2400</v>
      </c>
      <c r="H317" s="15" t="s">
        <v>471</v>
      </c>
      <c r="I317" s="9">
        <v>3</v>
      </c>
    </row>
    <row r="318" spans="2:9">
      <c r="B318" s="9" t="str">
        <f t="shared" si="21"/>
        <v>0x7D2E</v>
      </c>
      <c r="C318" s="9" t="str">
        <f t="shared" si="22"/>
        <v>0x7D30</v>
      </c>
      <c r="D318" s="9">
        <v>32046</v>
      </c>
      <c r="E318" s="9">
        <v>32048</v>
      </c>
      <c r="F318" s="9" t="s">
        <v>2401</v>
      </c>
      <c r="H318" s="15" t="s">
        <v>471</v>
      </c>
      <c r="I318" s="9">
        <v>3</v>
      </c>
    </row>
    <row r="319" spans="2:9">
      <c r="B319" s="9" t="str">
        <f t="shared" si="21"/>
        <v>0x7D31</v>
      </c>
      <c r="C319" s="9" t="str">
        <f t="shared" si="22"/>
        <v>0x7D33</v>
      </c>
      <c r="D319" s="9">
        <v>32049</v>
      </c>
      <c r="E319" s="9">
        <v>32051</v>
      </c>
      <c r="F319" s="9" t="s">
        <v>2402</v>
      </c>
      <c r="H319" s="15" t="s">
        <v>471</v>
      </c>
      <c r="I319" s="9">
        <v>3</v>
      </c>
    </row>
    <row r="320" spans="2:9">
      <c r="B320" s="9" t="str">
        <f t="shared" si="21"/>
        <v>0x7D34</v>
      </c>
      <c r="C320" s="9" t="str">
        <f t="shared" si="22"/>
        <v>0x7D36</v>
      </c>
      <c r="D320" s="9">
        <v>32052</v>
      </c>
      <c r="E320" s="9">
        <v>32054</v>
      </c>
      <c r="F320" s="9" t="s">
        <v>2403</v>
      </c>
      <c r="H320" s="15" t="s">
        <v>471</v>
      </c>
      <c r="I320" s="9">
        <v>3</v>
      </c>
    </row>
    <row r="321" spans="2:9">
      <c r="B321" s="9" t="str">
        <f t="shared" si="21"/>
        <v>0x7D37</v>
      </c>
      <c r="C321" s="9" t="str">
        <f t="shared" si="22"/>
        <v>0x7D39</v>
      </c>
      <c r="D321" s="9">
        <v>32055</v>
      </c>
      <c r="E321" s="9">
        <v>32057</v>
      </c>
      <c r="F321" s="9" t="s">
        <v>2404</v>
      </c>
      <c r="H321" s="15" t="s">
        <v>471</v>
      </c>
      <c r="I321" s="9">
        <v>3</v>
      </c>
    </row>
    <row r="322" spans="2:9">
      <c r="B322" s="9" t="str">
        <f t="shared" si="21"/>
        <v>0x7D3A</v>
      </c>
      <c r="C322" s="9" t="str">
        <f t="shared" si="22"/>
        <v>0x7D3C</v>
      </c>
      <c r="D322" s="9">
        <v>32058</v>
      </c>
      <c r="E322" s="9">
        <v>32060</v>
      </c>
      <c r="F322" s="9" t="s">
        <v>2405</v>
      </c>
      <c r="H322" s="15" t="s">
        <v>471</v>
      </c>
      <c r="I322" s="9">
        <v>3</v>
      </c>
    </row>
    <row r="323" spans="2:9">
      <c r="B323" s="9" t="str">
        <f t="shared" si="21"/>
        <v>0x7D3D</v>
      </c>
      <c r="C323" s="9" t="str">
        <f t="shared" si="22"/>
        <v>0x7D3F</v>
      </c>
      <c r="D323" s="9">
        <v>32061</v>
      </c>
      <c r="E323" s="9">
        <v>32063</v>
      </c>
      <c r="F323" s="9" t="s">
        <v>2406</v>
      </c>
      <c r="H323" s="15" t="s">
        <v>471</v>
      </c>
      <c r="I323" s="9">
        <v>3</v>
      </c>
    </row>
    <row r="324" spans="2:9">
      <c r="B324" s="9" t="str">
        <f t="shared" si="21"/>
        <v>0x7D40</v>
      </c>
      <c r="C324" s="9" t="str">
        <f t="shared" si="22"/>
        <v>0x7D42</v>
      </c>
      <c r="D324" s="9">
        <v>32064</v>
      </c>
      <c r="E324" s="9">
        <v>32066</v>
      </c>
      <c r="F324" s="9" t="s">
        <v>2407</v>
      </c>
      <c r="H324" s="15" t="s">
        <v>471</v>
      </c>
      <c r="I324" s="9">
        <v>3</v>
      </c>
    </row>
    <row r="325" spans="2:9">
      <c r="B325" s="9" t="str">
        <f t="shared" si="21"/>
        <v>0x7D43</v>
      </c>
      <c r="C325" s="9" t="str">
        <f t="shared" si="22"/>
        <v>0x7D45</v>
      </c>
      <c r="D325" s="9">
        <v>32067</v>
      </c>
      <c r="E325" s="9">
        <v>32069</v>
      </c>
      <c r="F325" s="9" t="s">
        <v>2408</v>
      </c>
      <c r="H325" s="15" t="s">
        <v>471</v>
      </c>
      <c r="I325" s="9">
        <v>3</v>
      </c>
    </row>
    <row r="326" spans="2:9">
      <c r="B326" s="9" t="str">
        <f t="shared" si="21"/>
        <v>0x7D46</v>
      </c>
      <c r="C326" s="9" t="str">
        <f t="shared" si="22"/>
        <v>0x7D48</v>
      </c>
      <c r="D326" s="9">
        <v>32070</v>
      </c>
      <c r="E326" s="9">
        <v>32072</v>
      </c>
      <c r="F326" s="9" t="s">
        <v>2409</v>
      </c>
      <c r="H326" s="15" t="s">
        <v>471</v>
      </c>
      <c r="I326" s="9">
        <v>3</v>
      </c>
    </row>
    <row r="327" spans="2:9">
      <c r="B327" s="9" t="str">
        <f t="shared" si="21"/>
        <v>0x7D49</v>
      </c>
      <c r="C327" s="9" t="str">
        <f t="shared" si="22"/>
        <v>0x7D4B</v>
      </c>
      <c r="D327" s="9">
        <v>32073</v>
      </c>
      <c r="E327" s="9">
        <v>32075</v>
      </c>
      <c r="F327" s="9" t="s">
        <v>2410</v>
      </c>
      <c r="H327" s="15" t="s">
        <v>471</v>
      </c>
      <c r="I327" s="9">
        <v>3</v>
      </c>
    </row>
    <row r="328" spans="2:9">
      <c r="B328" s="9" t="str">
        <f t="shared" si="21"/>
        <v>0x7D4C</v>
      </c>
      <c r="C328" s="9" t="str">
        <f t="shared" si="22"/>
        <v>0x7D4E</v>
      </c>
      <c r="D328" s="9">
        <v>32076</v>
      </c>
      <c r="E328" s="9">
        <v>32078</v>
      </c>
      <c r="F328" s="9" t="s">
        <v>2411</v>
      </c>
      <c r="H328" s="15" t="s">
        <v>471</v>
      </c>
      <c r="I328" s="9">
        <v>3</v>
      </c>
    </row>
    <row r="329" spans="2:9">
      <c r="B329" s="9" t="str">
        <f t="shared" si="21"/>
        <v>0x7D4F</v>
      </c>
      <c r="C329" s="9" t="str">
        <f t="shared" si="22"/>
        <v>0x7D51</v>
      </c>
      <c r="D329" s="9">
        <v>32079</v>
      </c>
      <c r="E329" s="9">
        <v>32081</v>
      </c>
      <c r="F329" s="9" t="s">
        <v>2412</v>
      </c>
      <c r="H329" s="15" t="s">
        <v>471</v>
      </c>
      <c r="I329" s="9">
        <v>3</v>
      </c>
    </row>
    <row r="330" spans="2:9">
      <c r="B330" s="9" t="str">
        <f t="shared" si="21"/>
        <v>0x7D52</v>
      </c>
      <c r="C330" s="9" t="str">
        <f t="shared" si="22"/>
        <v>0x7D54</v>
      </c>
      <c r="D330" s="9">
        <v>32082</v>
      </c>
      <c r="E330" s="9">
        <v>32084</v>
      </c>
      <c r="F330" s="9" t="s">
        <v>2413</v>
      </c>
      <c r="H330" s="15" t="s">
        <v>471</v>
      </c>
      <c r="I330" s="9">
        <v>3</v>
      </c>
    </row>
    <row r="331" spans="2:9">
      <c r="B331" s="9" t="str">
        <f t="shared" si="21"/>
        <v>0x7D55</v>
      </c>
      <c r="C331" s="9" t="str">
        <f t="shared" si="22"/>
        <v>0x7D57</v>
      </c>
      <c r="D331" s="9">
        <v>32085</v>
      </c>
      <c r="E331" s="9">
        <v>32087</v>
      </c>
      <c r="F331" s="9" t="s">
        <v>2414</v>
      </c>
      <c r="H331" s="15" t="s">
        <v>471</v>
      </c>
      <c r="I331" s="9">
        <v>3</v>
      </c>
    </row>
    <row r="332" spans="2:9">
      <c r="B332" s="9" t="str">
        <f t="shared" si="21"/>
        <v>0x7D58</v>
      </c>
      <c r="C332" s="9" t="str">
        <f t="shared" si="22"/>
        <v>0x7D5A</v>
      </c>
      <c r="D332" s="9">
        <v>32088</v>
      </c>
      <c r="E332" s="9">
        <v>32090</v>
      </c>
      <c r="F332" s="9" t="s">
        <v>2415</v>
      </c>
      <c r="H332" s="15" t="s">
        <v>471</v>
      </c>
      <c r="I332" s="9">
        <v>3</v>
      </c>
    </row>
    <row r="333" spans="2:9">
      <c r="B333" s="9" t="str">
        <f t="shared" si="21"/>
        <v>0x7D5B</v>
      </c>
      <c r="C333" s="9" t="str">
        <f t="shared" si="22"/>
        <v>0x7D5D</v>
      </c>
      <c r="D333" s="9">
        <v>32091</v>
      </c>
      <c r="E333" s="9">
        <v>32093</v>
      </c>
      <c r="F333" s="9" t="s">
        <v>2416</v>
      </c>
      <c r="H333" s="15" t="s">
        <v>471</v>
      </c>
      <c r="I333" s="9">
        <v>3</v>
      </c>
    </row>
    <row r="334" spans="2:9">
      <c r="B334" s="9" t="str">
        <f t="shared" si="21"/>
        <v>0x7D5E</v>
      </c>
      <c r="C334" s="9" t="str">
        <f t="shared" si="22"/>
        <v>0x7D60</v>
      </c>
      <c r="D334" s="9">
        <v>32094</v>
      </c>
      <c r="E334" s="9">
        <v>32096</v>
      </c>
      <c r="F334" s="9" t="s">
        <v>2417</v>
      </c>
      <c r="H334" s="15" t="s">
        <v>471</v>
      </c>
      <c r="I334" s="9">
        <v>3</v>
      </c>
    </row>
    <row r="335" spans="2:9">
      <c r="B335" s="9" t="str">
        <f t="shared" si="21"/>
        <v>0x7D61</v>
      </c>
      <c r="C335" s="9" t="str">
        <f t="shared" si="22"/>
        <v>0x7D63</v>
      </c>
      <c r="D335" s="9">
        <v>32097</v>
      </c>
      <c r="E335" s="9">
        <v>32099</v>
      </c>
      <c r="F335" s="9" t="s">
        <v>2418</v>
      </c>
      <c r="H335" s="15" t="s">
        <v>471</v>
      </c>
      <c r="I335" s="9">
        <v>3</v>
      </c>
    </row>
    <row r="336" spans="2:9">
      <c r="B336" s="9" t="str">
        <f t="shared" si="21"/>
        <v>0x7D64</v>
      </c>
      <c r="C336" s="9" t="str">
        <f t="shared" si="22"/>
        <v>0x7D66</v>
      </c>
      <c r="D336" s="9">
        <v>32100</v>
      </c>
      <c r="E336" s="9">
        <v>32102</v>
      </c>
      <c r="F336" s="9" t="s">
        <v>2419</v>
      </c>
      <c r="H336" s="15" t="s">
        <v>471</v>
      </c>
      <c r="I336" s="9">
        <v>3</v>
      </c>
    </row>
    <row r="337" spans="2:9">
      <c r="B337" s="9" t="str">
        <f t="shared" si="21"/>
        <v>0x7D67</v>
      </c>
      <c r="C337" s="9" t="str">
        <f t="shared" si="22"/>
        <v>0x7D69</v>
      </c>
      <c r="D337" s="9">
        <v>32103</v>
      </c>
      <c r="E337" s="9">
        <v>32105</v>
      </c>
      <c r="F337" s="9" t="s">
        <v>2420</v>
      </c>
      <c r="H337" s="15" t="s">
        <v>471</v>
      </c>
      <c r="I337" s="9">
        <v>3</v>
      </c>
    </row>
    <row r="338" spans="2:9">
      <c r="B338" s="9" t="str">
        <f t="shared" si="21"/>
        <v>0x7D6A</v>
      </c>
      <c r="C338" s="9" t="str">
        <f t="shared" si="22"/>
        <v>0x7D6C</v>
      </c>
      <c r="D338" s="9">
        <v>32106</v>
      </c>
      <c r="E338" s="9">
        <v>32108</v>
      </c>
      <c r="F338" s="9" t="s">
        <v>2421</v>
      </c>
      <c r="H338" s="15" t="s">
        <v>471</v>
      </c>
      <c r="I338" s="9">
        <v>3</v>
      </c>
    </row>
    <row r="339" spans="2:9">
      <c r="B339" s="9" t="str">
        <f t="shared" si="21"/>
        <v>0x7D6D</v>
      </c>
      <c r="C339" s="9" t="str">
        <f t="shared" si="22"/>
        <v>0x7D6F</v>
      </c>
      <c r="D339" s="9">
        <v>32109</v>
      </c>
      <c r="E339" s="9">
        <v>32111</v>
      </c>
      <c r="F339" s="9" t="s">
        <v>2422</v>
      </c>
      <c r="H339" s="15" t="s">
        <v>471</v>
      </c>
      <c r="I339" s="9">
        <v>3</v>
      </c>
    </row>
    <row r="340" spans="2:9">
      <c r="B340" s="9" t="str">
        <f t="shared" si="21"/>
        <v>0x7D70</v>
      </c>
      <c r="C340" s="9" t="str">
        <f t="shared" si="22"/>
        <v>0x7D72</v>
      </c>
      <c r="D340" s="9">
        <v>32112</v>
      </c>
      <c r="E340" s="9">
        <v>32114</v>
      </c>
      <c r="F340" s="9" t="s">
        <v>2423</v>
      </c>
      <c r="H340" s="15" t="s">
        <v>471</v>
      </c>
      <c r="I340" s="9">
        <v>3</v>
      </c>
    </row>
    <row r="341" spans="2:9">
      <c r="B341" s="9" t="str">
        <f t="shared" si="21"/>
        <v>0x7D73</v>
      </c>
      <c r="C341" s="9" t="str">
        <f t="shared" si="22"/>
        <v>0x7D75</v>
      </c>
      <c r="D341" s="9">
        <v>32115</v>
      </c>
      <c r="E341" s="9">
        <v>32117</v>
      </c>
      <c r="F341" s="9" t="s">
        <v>2424</v>
      </c>
      <c r="H341" s="15" t="s">
        <v>471</v>
      </c>
      <c r="I341" s="9">
        <v>3</v>
      </c>
    </row>
    <row r="342" spans="2:9">
      <c r="B342" s="9" t="str">
        <f t="shared" si="21"/>
        <v>0x7D76</v>
      </c>
      <c r="C342" s="9" t="str">
        <f t="shared" si="22"/>
        <v>0x7D78</v>
      </c>
      <c r="D342" s="9">
        <v>32118</v>
      </c>
      <c r="E342" s="9">
        <v>32120</v>
      </c>
      <c r="F342" s="9" t="s">
        <v>2425</v>
      </c>
      <c r="H342" s="15" t="s">
        <v>471</v>
      </c>
      <c r="I342" s="9">
        <v>3</v>
      </c>
    </row>
    <row r="343" spans="2:9">
      <c r="B343" s="9" t="str">
        <f t="shared" si="21"/>
        <v>0x7D79</v>
      </c>
      <c r="C343" s="9" t="str">
        <f t="shared" si="22"/>
        <v>0x7D7B</v>
      </c>
      <c r="D343" s="9">
        <v>32121</v>
      </c>
      <c r="E343" s="9">
        <v>32123</v>
      </c>
      <c r="F343" s="9" t="s">
        <v>2426</v>
      </c>
      <c r="H343" s="15" t="s">
        <v>471</v>
      </c>
      <c r="I343" s="9">
        <v>3</v>
      </c>
    </row>
    <row r="344" spans="2:9">
      <c r="B344" s="9" t="str">
        <f t="shared" si="21"/>
        <v>0x7D7C</v>
      </c>
      <c r="C344" s="9" t="str">
        <f t="shared" si="22"/>
        <v>0x7D7E</v>
      </c>
      <c r="D344" s="9">
        <v>32124</v>
      </c>
      <c r="E344" s="9">
        <v>32126</v>
      </c>
      <c r="F344" s="9" t="s">
        <v>2427</v>
      </c>
      <c r="H344" s="15" t="s">
        <v>471</v>
      </c>
      <c r="I344" s="9">
        <v>3</v>
      </c>
    </row>
    <row r="345" spans="2:9">
      <c r="B345" s="9" t="str">
        <f t="shared" si="21"/>
        <v>0x7D7F</v>
      </c>
      <c r="C345" s="9" t="str">
        <f t="shared" si="22"/>
        <v>0x7D81</v>
      </c>
      <c r="D345" s="9">
        <v>32127</v>
      </c>
      <c r="E345" s="9">
        <v>32129</v>
      </c>
      <c r="F345" s="9" t="s">
        <v>2428</v>
      </c>
      <c r="H345" s="15" t="s">
        <v>471</v>
      </c>
      <c r="I345" s="9">
        <v>3</v>
      </c>
    </row>
    <row r="346" spans="2:9">
      <c r="B346" s="9" t="str">
        <f t="shared" si="21"/>
        <v>0x7D82</v>
      </c>
      <c r="D346" s="9">
        <v>32130</v>
      </c>
      <c r="F346" s="9" t="s">
        <v>2429</v>
      </c>
      <c r="H346" s="15" t="s">
        <v>471</v>
      </c>
    </row>
    <row r="347" spans="2:9">
      <c r="B347" s="9" t="str">
        <f t="shared" si="21"/>
        <v>0x7D83</v>
      </c>
      <c r="D347" s="9">
        <v>32131</v>
      </c>
      <c r="F347" s="9" t="s">
        <v>2430</v>
      </c>
      <c r="H347" s="15" t="s">
        <v>471</v>
      </c>
    </row>
    <row r="348" spans="2:9">
      <c r="B348" s="9" t="str">
        <f t="shared" si="21"/>
        <v>0x7D84</v>
      </c>
      <c r="C348" s="9" t="str">
        <f t="shared" si="22"/>
        <v>0x7D86</v>
      </c>
      <c r="D348" s="9">
        <v>32132</v>
      </c>
      <c r="E348" s="9">
        <v>32134</v>
      </c>
      <c r="F348" s="9" t="s">
        <v>2431</v>
      </c>
      <c r="H348" s="15" t="s">
        <v>471</v>
      </c>
      <c r="I348" s="9">
        <v>3</v>
      </c>
    </row>
    <row r="349" spans="2:9">
      <c r="B349" s="9" t="str">
        <f t="shared" si="21"/>
        <v>0x7D87</v>
      </c>
      <c r="C349" s="9" t="str">
        <f t="shared" si="22"/>
        <v>0x7D89</v>
      </c>
      <c r="D349" s="9">
        <v>32135</v>
      </c>
      <c r="E349" s="9">
        <v>32137</v>
      </c>
      <c r="F349" s="9" t="s">
        <v>2432</v>
      </c>
      <c r="H349" s="15" t="s">
        <v>471</v>
      </c>
      <c r="I349" s="9">
        <v>3</v>
      </c>
    </row>
    <row r="350" spans="2:9">
      <c r="B350" s="9" t="str">
        <f t="shared" si="21"/>
        <v>0x7D8A</v>
      </c>
      <c r="C350" s="9" t="str">
        <f t="shared" si="22"/>
        <v>0x7D8C</v>
      </c>
      <c r="D350" s="9">
        <v>32138</v>
      </c>
      <c r="E350" s="9">
        <v>32140</v>
      </c>
      <c r="F350" s="9" t="s">
        <v>2433</v>
      </c>
      <c r="H350" s="15" t="s">
        <v>471</v>
      </c>
      <c r="I350" s="9">
        <v>3</v>
      </c>
    </row>
    <row r="351" spans="2:9">
      <c r="B351" s="9" t="str">
        <f t="shared" si="21"/>
        <v>0x7D8D</v>
      </c>
      <c r="C351" s="9" t="str">
        <f t="shared" si="22"/>
        <v>0x7D8F</v>
      </c>
      <c r="D351" s="9">
        <v>32141</v>
      </c>
      <c r="E351" s="9">
        <v>32143</v>
      </c>
      <c r="F351" s="9" t="s">
        <v>2434</v>
      </c>
      <c r="H351" s="15" t="s">
        <v>471</v>
      </c>
      <c r="I351" s="9">
        <v>3</v>
      </c>
    </row>
    <row r="352" spans="2:9">
      <c r="B352" s="9" t="str">
        <f t="shared" si="21"/>
        <v>0x7D90</v>
      </c>
      <c r="C352" s="9" t="str">
        <f t="shared" si="22"/>
        <v>0x7D92</v>
      </c>
      <c r="D352" s="9">
        <v>32144</v>
      </c>
      <c r="E352" s="9">
        <v>32146</v>
      </c>
      <c r="F352" s="9" t="s">
        <v>2435</v>
      </c>
      <c r="H352" s="15" t="s">
        <v>471</v>
      </c>
      <c r="I352" s="9">
        <v>3</v>
      </c>
    </row>
    <row r="353" spans="2:9">
      <c r="B353" s="9" t="str">
        <f t="shared" si="21"/>
        <v>0x7D93</v>
      </c>
      <c r="C353" s="9" t="str">
        <f t="shared" si="22"/>
        <v>0x7D95</v>
      </c>
      <c r="D353" s="9">
        <v>32147</v>
      </c>
      <c r="E353" s="9">
        <v>32149</v>
      </c>
      <c r="F353" s="9" t="s">
        <v>2436</v>
      </c>
      <c r="H353" s="15" t="s">
        <v>471</v>
      </c>
      <c r="I353" s="9">
        <v>3</v>
      </c>
    </row>
    <row r="354" spans="2:9">
      <c r="B354" s="9" t="str">
        <f t="shared" si="21"/>
        <v>0x7D96</v>
      </c>
      <c r="C354" s="9" t="str">
        <f t="shared" si="22"/>
        <v>0x7D98</v>
      </c>
      <c r="D354" s="9">
        <v>32150</v>
      </c>
      <c r="E354" s="9">
        <v>32152</v>
      </c>
      <c r="F354" s="9" t="s">
        <v>2437</v>
      </c>
      <c r="H354" s="15" t="s">
        <v>471</v>
      </c>
      <c r="I354" s="9">
        <v>3</v>
      </c>
    </row>
    <row r="355" spans="2:9">
      <c r="B355" s="9" t="str">
        <f t="shared" si="21"/>
        <v>0x7D99</v>
      </c>
      <c r="C355" s="9" t="str">
        <f t="shared" si="22"/>
        <v>0x7D9B</v>
      </c>
      <c r="D355" s="9">
        <v>32153</v>
      </c>
      <c r="E355" s="9">
        <v>32155</v>
      </c>
      <c r="F355" s="9" t="s">
        <v>2438</v>
      </c>
      <c r="H355" s="15" t="s">
        <v>471</v>
      </c>
      <c r="I355" s="9">
        <v>3</v>
      </c>
    </row>
    <row r="356" spans="2:9">
      <c r="B356" s="9" t="str">
        <f t="shared" si="21"/>
        <v>0x7D9C</v>
      </c>
      <c r="C356" s="9" t="str">
        <f t="shared" si="22"/>
        <v>0x7D9E</v>
      </c>
      <c r="D356" s="9">
        <v>32156</v>
      </c>
      <c r="E356" s="9">
        <v>32158</v>
      </c>
      <c r="F356" s="9" t="s">
        <v>2439</v>
      </c>
      <c r="H356" s="15" t="s">
        <v>471</v>
      </c>
      <c r="I356" s="9">
        <v>3</v>
      </c>
    </row>
    <row r="357" spans="2:9">
      <c r="B357" s="9" t="str">
        <f t="shared" si="21"/>
        <v>0x7D9F</v>
      </c>
      <c r="C357" s="9" t="str">
        <f t="shared" si="22"/>
        <v>0x7DA1</v>
      </c>
      <c r="D357" s="9">
        <v>32159</v>
      </c>
      <c r="E357" s="9">
        <v>32161</v>
      </c>
      <c r="F357" s="9" t="s">
        <v>2440</v>
      </c>
      <c r="H357" s="15" t="s">
        <v>471</v>
      </c>
      <c r="I357" s="9">
        <v>3</v>
      </c>
    </row>
    <row r="358" spans="2:9">
      <c r="B358" s="9" t="str">
        <f t="shared" si="21"/>
        <v>0x7DA2</v>
      </c>
      <c r="C358" s="9" t="str">
        <f t="shared" si="22"/>
        <v>0x7DA4</v>
      </c>
      <c r="D358" s="9">
        <v>32162</v>
      </c>
      <c r="E358" s="9">
        <v>32164</v>
      </c>
      <c r="F358" s="9" t="s">
        <v>2441</v>
      </c>
      <c r="H358" s="15" t="s">
        <v>471</v>
      </c>
      <c r="I358" s="9">
        <v>3</v>
      </c>
    </row>
    <row r="359" spans="2:9">
      <c r="B359" s="9" t="str">
        <f t="shared" si="21"/>
        <v>0x7DA5</v>
      </c>
      <c r="C359" s="9" t="str">
        <f t="shared" si="22"/>
        <v>0x7DA7</v>
      </c>
      <c r="D359" s="9">
        <v>32165</v>
      </c>
      <c r="E359" s="9">
        <v>32167</v>
      </c>
      <c r="F359" s="9" t="s">
        <v>2442</v>
      </c>
      <c r="H359" s="15" t="s">
        <v>471</v>
      </c>
      <c r="I359" s="9">
        <v>3</v>
      </c>
    </row>
    <row r="360" spans="2:9">
      <c r="B360" s="9" t="str">
        <f t="shared" si="21"/>
        <v>0x7DA8</v>
      </c>
      <c r="C360" s="9" t="str">
        <f t="shared" si="22"/>
        <v>0x7DAA</v>
      </c>
      <c r="D360" s="9">
        <v>32168</v>
      </c>
      <c r="E360" s="9">
        <v>32170</v>
      </c>
      <c r="F360" s="9" t="s">
        <v>2443</v>
      </c>
      <c r="H360" s="15" t="s">
        <v>471</v>
      </c>
      <c r="I360" s="9">
        <v>3</v>
      </c>
    </row>
    <row r="361" spans="2:9">
      <c r="B361" s="9" t="str">
        <f t="shared" si="21"/>
        <v>0x7DAB</v>
      </c>
      <c r="C361" s="9" t="str">
        <f t="shared" si="22"/>
        <v>0x7DAD</v>
      </c>
      <c r="D361" s="9">
        <v>32171</v>
      </c>
      <c r="E361" s="9">
        <v>32173</v>
      </c>
      <c r="F361" s="9" t="s">
        <v>2444</v>
      </c>
      <c r="H361" s="15" t="s">
        <v>471</v>
      </c>
      <c r="I361" s="9">
        <v>3</v>
      </c>
    </row>
    <row r="362" spans="2:9">
      <c r="B362" s="9" t="str">
        <f t="shared" si="21"/>
        <v>0x7DAE</v>
      </c>
      <c r="C362" s="9" t="str">
        <f t="shared" si="22"/>
        <v>0x7DB0</v>
      </c>
      <c r="D362" s="9">
        <v>32174</v>
      </c>
      <c r="E362" s="9">
        <v>32176</v>
      </c>
      <c r="F362" s="9" t="s">
        <v>2445</v>
      </c>
      <c r="H362" s="15" t="s">
        <v>471</v>
      </c>
      <c r="I362" s="9">
        <v>3</v>
      </c>
    </row>
    <row r="363" spans="2:9">
      <c r="B363" s="9" t="str">
        <f t="shared" si="21"/>
        <v>0x7DB1</v>
      </c>
      <c r="C363" s="9" t="str">
        <f t="shared" si="22"/>
        <v>0x7DB3</v>
      </c>
      <c r="D363" s="9">
        <v>32177</v>
      </c>
      <c r="E363" s="9">
        <v>32179</v>
      </c>
      <c r="F363" s="9" t="s">
        <v>2446</v>
      </c>
      <c r="H363" s="15" t="s">
        <v>471</v>
      </c>
      <c r="I363" s="9">
        <v>3</v>
      </c>
    </row>
    <row r="364" spans="2:9">
      <c r="B364" s="9" t="str">
        <f t="shared" si="21"/>
        <v>0x7DB4</v>
      </c>
      <c r="C364" s="9" t="str">
        <f t="shared" si="22"/>
        <v>0x7DB6</v>
      </c>
      <c r="D364" s="9">
        <v>32180</v>
      </c>
      <c r="E364" s="9">
        <v>32182</v>
      </c>
      <c r="F364" s="9" t="s">
        <v>2447</v>
      </c>
      <c r="H364" s="15" t="s">
        <v>471</v>
      </c>
      <c r="I364" s="9">
        <v>3</v>
      </c>
    </row>
    <row r="365" spans="2:9">
      <c r="B365" s="9" t="str">
        <f t="shared" si="21"/>
        <v>0x7DB7</v>
      </c>
      <c r="C365" s="9" t="str">
        <f t="shared" si="22"/>
        <v>0x7DB9</v>
      </c>
      <c r="D365" s="9">
        <v>32183</v>
      </c>
      <c r="E365" s="9">
        <v>32185</v>
      </c>
      <c r="F365" s="9" t="s">
        <v>2448</v>
      </c>
      <c r="H365" s="15" t="s">
        <v>471</v>
      </c>
      <c r="I365" s="9">
        <v>3</v>
      </c>
    </row>
    <row r="366" spans="2:9">
      <c r="B366" s="9" t="str">
        <f t="shared" si="21"/>
        <v>0x7DBA</v>
      </c>
      <c r="C366" s="9" t="str">
        <f t="shared" si="22"/>
        <v>0x7DBC</v>
      </c>
      <c r="D366" s="9">
        <v>32186</v>
      </c>
      <c r="E366" s="9">
        <v>32188</v>
      </c>
      <c r="F366" s="9" t="s">
        <v>2449</v>
      </c>
      <c r="H366" s="15" t="s">
        <v>471</v>
      </c>
      <c r="I366" s="9">
        <v>3</v>
      </c>
    </row>
    <row r="367" spans="2:9">
      <c r="B367" s="9" t="str">
        <f t="shared" si="21"/>
        <v>0x7DBD</v>
      </c>
      <c r="C367" s="9" t="str">
        <f t="shared" si="22"/>
        <v>0x7DBF</v>
      </c>
      <c r="D367" s="9">
        <v>32189</v>
      </c>
      <c r="E367" s="9">
        <v>32191</v>
      </c>
      <c r="F367" s="9" t="s">
        <v>2450</v>
      </c>
      <c r="H367" s="15" t="s">
        <v>471</v>
      </c>
      <c r="I367" s="9">
        <v>3</v>
      </c>
    </row>
    <row r="368" spans="2:9">
      <c r="B368" s="9" t="str">
        <f t="shared" si="21"/>
        <v>0x7DC0</v>
      </c>
      <c r="C368" s="9" t="str">
        <f t="shared" si="22"/>
        <v>0x7DC2</v>
      </c>
      <c r="D368" s="9">
        <v>32192</v>
      </c>
      <c r="E368" s="9">
        <v>32194</v>
      </c>
      <c r="F368" s="9" t="s">
        <v>2451</v>
      </c>
      <c r="H368" s="15" t="s">
        <v>471</v>
      </c>
      <c r="I368" s="9">
        <v>3</v>
      </c>
    </row>
    <row r="369" spans="2:9">
      <c r="B369" s="9" t="str">
        <f t="shared" si="21"/>
        <v>0x7DC3</v>
      </c>
      <c r="C369" s="9" t="str">
        <f t="shared" si="22"/>
        <v>0x7DC5</v>
      </c>
      <c r="D369" s="9">
        <v>32195</v>
      </c>
      <c r="E369" s="9">
        <v>32197</v>
      </c>
      <c r="F369" s="9" t="s">
        <v>2452</v>
      </c>
      <c r="H369" s="15" t="s">
        <v>471</v>
      </c>
      <c r="I369" s="9">
        <v>3</v>
      </c>
    </row>
    <row r="370" spans="2:9">
      <c r="B370" s="9" t="str">
        <f t="shared" si="21"/>
        <v>0x7DC6</v>
      </c>
      <c r="C370" s="9" t="str">
        <f t="shared" si="22"/>
        <v>0x7DC8</v>
      </c>
      <c r="D370" s="9">
        <v>32198</v>
      </c>
      <c r="E370" s="9">
        <v>32200</v>
      </c>
      <c r="F370" s="9" t="s">
        <v>2453</v>
      </c>
      <c r="H370" s="15" t="s">
        <v>471</v>
      </c>
      <c r="I370" s="9">
        <v>3</v>
      </c>
    </row>
    <row r="371" spans="2:9">
      <c r="B371" s="9" t="str">
        <f t="shared" si="21"/>
        <v>0x7DC9</v>
      </c>
      <c r="C371" s="9" t="str">
        <f t="shared" si="22"/>
        <v>0x7DCB</v>
      </c>
      <c r="D371" s="9">
        <v>32201</v>
      </c>
      <c r="E371" s="9">
        <v>32203</v>
      </c>
      <c r="F371" s="9" t="s">
        <v>2454</v>
      </c>
      <c r="H371" s="15" t="s">
        <v>471</v>
      </c>
      <c r="I371" s="9">
        <v>3</v>
      </c>
    </row>
    <row r="372" spans="2:9">
      <c r="B372" s="9" t="str">
        <f t="shared" si="21"/>
        <v>0x7DCC</v>
      </c>
      <c r="C372" s="9" t="str">
        <f t="shared" si="22"/>
        <v>0x7DCE</v>
      </c>
      <c r="D372" s="9">
        <v>32204</v>
      </c>
      <c r="E372" s="9">
        <v>32206</v>
      </c>
      <c r="F372" s="9" t="s">
        <v>2455</v>
      </c>
      <c r="H372" s="15" t="s">
        <v>471</v>
      </c>
      <c r="I372" s="9">
        <v>3</v>
      </c>
    </row>
    <row r="373" spans="2:9">
      <c r="B373" s="9" t="str">
        <f t="shared" si="21"/>
        <v>0x7DCF</v>
      </c>
      <c r="C373" s="9" t="str">
        <f t="shared" si="22"/>
        <v>0x7DD1</v>
      </c>
      <c r="D373" s="9">
        <v>32207</v>
      </c>
      <c r="E373" s="9">
        <v>32209</v>
      </c>
      <c r="F373" s="9" t="s">
        <v>2456</v>
      </c>
      <c r="H373" s="15" t="s">
        <v>471</v>
      </c>
      <c r="I373" s="9">
        <v>3</v>
      </c>
    </row>
    <row r="374" spans="2:9">
      <c r="B374" s="9" t="str">
        <f t="shared" si="21"/>
        <v>0x7DD2</v>
      </c>
      <c r="C374" s="9" t="str">
        <f t="shared" si="22"/>
        <v>0x7DD4</v>
      </c>
      <c r="D374" s="9">
        <v>32210</v>
      </c>
      <c r="E374" s="9">
        <v>32212</v>
      </c>
      <c r="F374" s="9" t="s">
        <v>2457</v>
      </c>
      <c r="H374" s="15" t="s">
        <v>471</v>
      </c>
      <c r="I374" s="9">
        <v>3</v>
      </c>
    </row>
    <row r="375" spans="2:9">
      <c r="B375" s="9" t="str">
        <f t="shared" si="21"/>
        <v>0x7DD5</v>
      </c>
      <c r="C375" s="9" t="str">
        <f t="shared" si="22"/>
        <v>0x7DD7</v>
      </c>
      <c r="D375" s="9">
        <v>32213</v>
      </c>
      <c r="E375" s="9">
        <v>32215</v>
      </c>
      <c r="F375" s="9" t="s">
        <v>2458</v>
      </c>
      <c r="H375" s="15" t="s">
        <v>471</v>
      </c>
      <c r="I375" s="9">
        <v>3</v>
      </c>
    </row>
    <row r="376" spans="2:9">
      <c r="B376" s="9" t="str">
        <f t="shared" si="21"/>
        <v>0x7DD8</v>
      </c>
      <c r="C376" s="9" t="str">
        <f t="shared" si="22"/>
        <v>0x7DDA</v>
      </c>
      <c r="D376" s="9">
        <v>32216</v>
      </c>
      <c r="E376" s="9">
        <v>32218</v>
      </c>
      <c r="F376" s="9" t="s">
        <v>2459</v>
      </c>
      <c r="H376" s="15" t="s">
        <v>471</v>
      </c>
      <c r="I376" s="9">
        <v>3</v>
      </c>
    </row>
    <row r="377" spans="2:9">
      <c r="B377" s="9" t="str">
        <f t="shared" si="21"/>
        <v>0x7DDB</v>
      </c>
      <c r="C377" s="9" t="str">
        <f t="shared" si="22"/>
        <v>0x7DDD</v>
      </c>
      <c r="D377" s="9">
        <v>32219</v>
      </c>
      <c r="E377" s="9">
        <v>32221</v>
      </c>
      <c r="F377" s="9" t="s">
        <v>2460</v>
      </c>
      <c r="H377" s="15" t="s">
        <v>471</v>
      </c>
      <c r="I377" s="9">
        <v>3</v>
      </c>
    </row>
    <row r="378" spans="2:9">
      <c r="B378" s="9" t="str">
        <f t="shared" si="21"/>
        <v>0x7DDE</v>
      </c>
      <c r="D378" s="9">
        <v>32222</v>
      </c>
      <c r="F378" s="9" t="s">
        <v>2461</v>
      </c>
      <c r="H378" s="15" t="s">
        <v>471</v>
      </c>
    </row>
    <row r="379" spans="2:9">
      <c r="B379" s="9" t="str">
        <f>"0x"&amp;DEC2HEX(D379,4)</f>
        <v>0x7DDF</v>
      </c>
      <c r="D379" s="9">
        <v>32223</v>
      </c>
      <c r="F379" s="9" t="s">
        <v>2462</v>
      </c>
      <c r="H379" s="15" t="s">
        <v>471</v>
      </c>
    </row>
    <row r="380" spans="2:9">
      <c r="B380" s="9" t="str">
        <f t="shared" ref="B380:B411" si="23">"0x"&amp;DEC2HEX(D380,4)</f>
        <v>0x7DE0</v>
      </c>
      <c r="C380" s="9" t="str">
        <f t="shared" ref="C380:C409" si="24">"0x"&amp;DEC2HEX(E380,4)</f>
        <v>0x7DE2</v>
      </c>
      <c r="D380" s="9">
        <v>32224</v>
      </c>
      <c r="E380" s="9">
        <v>32226</v>
      </c>
      <c r="F380" s="9" t="s">
        <v>2463</v>
      </c>
      <c r="H380" s="15" t="s">
        <v>471</v>
      </c>
      <c r="I380" s="9">
        <v>3</v>
      </c>
    </row>
    <row r="381" spans="2:9">
      <c r="B381" s="9" t="str">
        <f t="shared" si="23"/>
        <v>0x7DE3</v>
      </c>
      <c r="C381" s="9" t="str">
        <f t="shared" si="24"/>
        <v>0x7DE5</v>
      </c>
      <c r="D381" s="9">
        <v>32227</v>
      </c>
      <c r="E381" s="9">
        <v>32229</v>
      </c>
      <c r="F381" s="9" t="s">
        <v>2464</v>
      </c>
      <c r="H381" s="15" t="s">
        <v>471</v>
      </c>
      <c r="I381" s="9">
        <v>3</v>
      </c>
    </row>
    <row r="382" spans="2:9">
      <c r="B382" s="9" t="str">
        <f t="shared" si="23"/>
        <v>0x7DE6</v>
      </c>
      <c r="C382" s="9" t="str">
        <f t="shared" si="24"/>
        <v>0x7DE8</v>
      </c>
      <c r="D382" s="9">
        <v>32230</v>
      </c>
      <c r="E382" s="9">
        <v>32232</v>
      </c>
      <c r="F382" s="9" t="s">
        <v>2465</v>
      </c>
      <c r="H382" s="15" t="s">
        <v>471</v>
      </c>
      <c r="I382" s="9">
        <v>3</v>
      </c>
    </row>
    <row r="383" spans="2:9">
      <c r="B383" s="9" t="str">
        <f t="shared" si="23"/>
        <v>0x7DE9</v>
      </c>
      <c r="C383" s="9" t="str">
        <f t="shared" si="24"/>
        <v>0x7DEB</v>
      </c>
      <c r="D383" s="9">
        <v>32233</v>
      </c>
      <c r="E383" s="9">
        <v>32235</v>
      </c>
      <c r="F383" s="9" t="s">
        <v>2466</v>
      </c>
      <c r="H383" s="15" t="s">
        <v>471</v>
      </c>
      <c r="I383" s="9">
        <v>3</v>
      </c>
    </row>
    <row r="384" spans="2:9">
      <c r="B384" s="9" t="str">
        <f t="shared" si="23"/>
        <v>0x7DEC</v>
      </c>
      <c r="C384" s="9" t="str">
        <f t="shared" si="24"/>
        <v>0x7DEE</v>
      </c>
      <c r="D384" s="9">
        <v>32236</v>
      </c>
      <c r="E384" s="9">
        <v>32238</v>
      </c>
      <c r="F384" s="9" t="s">
        <v>2467</v>
      </c>
      <c r="H384" s="15" t="s">
        <v>471</v>
      </c>
      <c r="I384" s="9">
        <v>3</v>
      </c>
    </row>
    <row r="385" spans="2:9">
      <c r="B385" s="9" t="str">
        <f t="shared" si="23"/>
        <v>0x7DEF</v>
      </c>
      <c r="C385" s="9" t="str">
        <f t="shared" si="24"/>
        <v>0x7DF1</v>
      </c>
      <c r="D385" s="9">
        <v>32239</v>
      </c>
      <c r="E385" s="9">
        <v>32241</v>
      </c>
      <c r="F385" s="9" t="s">
        <v>2468</v>
      </c>
      <c r="H385" s="15" t="s">
        <v>471</v>
      </c>
      <c r="I385" s="9">
        <v>3</v>
      </c>
    </row>
    <row r="386" spans="2:9">
      <c r="B386" s="9" t="str">
        <f t="shared" si="23"/>
        <v>0x7DF2</v>
      </c>
      <c r="C386" s="9" t="str">
        <f t="shared" si="24"/>
        <v>0x7DF4</v>
      </c>
      <c r="D386" s="9">
        <v>32242</v>
      </c>
      <c r="E386" s="9">
        <v>32244</v>
      </c>
      <c r="F386" s="9" t="s">
        <v>2469</v>
      </c>
      <c r="H386" s="15" t="s">
        <v>471</v>
      </c>
      <c r="I386" s="9">
        <v>3</v>
      </c>
    </row>
    <row r="387" spans="2:9">
      <c r="B387" s="9" t="str">
        <f t="shared" si="23"/>
        <v>0x7DF5</v>
      </c>
      <c r="C387" s="9" t="str">
        <f t="shared" si="24"/>
        <v>0x7DF7</v>
      </c>
      <c r="D387" s="9">
        <v>32245</v>
      </c>
      <c r="E387" s="9">
        <v>32247</v>
      </c>
      <c r="F387" s="9" t="s">
        <v>2470</v>
      </c>
      <c r="H387" s="15" t="s">
        <v>471</v>
      </c>
      <c r="I387" s="9">
        <v>3</v>
      </c>
    </row>
    <row r="388" spans="2:9">
      <c r="B388" s="9" t="str">
        <f t="shared" si="23"/>
        <v>0x7DF8</v>
      </c>
      <c r="C388" s="9" t="str">
        <f t="shared" si="24"/>
        <v>0x7DFA</v>
      </c>
      <c r="D388" s="9">
        <v>32248</v>
      </c>
      <c r="E388" s="9">
        <v>32250</v>
      </c>
      <c r="F388" s="9" t="s">
        <v>2471</v>
      </c>
      <c r="H388" s="15" t="s">
        <v>471</v>
      </c>
      <c r="I388" s="9">
        <v>3</v>
      </c>
    </row>
    <row r="389" spans="2:9">
      <c r="B389" s="9" t="str">
        <f t="shared" si="23"/>
        <v>0x7DFB</v>
      </c>
      <c r="C389" s="9" t="str">
        <f t="shared" si="24"/>
        <v>0x7DFD</v>
      </c>
      <c r="D389" s="9">
        <v>32251</v>
      </c>
      <c r="E389" s="9">
        <v>32253</v>
      </c>
      <c r="F389" s="9" t="s">
        <v>2472</v>
      </c>
      <c r="H389" s="15" t="s">
        <v>471</v>
      </c>
      <c r="I389" s="9">
        <v>3</v>
      </c>
    </row>
    <row r="390" spans="2:9">
      <c r="B390" s="9" t="str">
        <f t="shared" si="23"/>
        <v>0x7DFE</v>
      </c>
      <c r="C390" s="9" t="str">
        <f t="shared" si="24"/>
        <v>0x7E00</v>
      </c>
      <c r="D390" s="9">
        <v>32254</v>
      </c>
      <c r="E390" s="9">
        <v>32256</v>
      </c>
      <c r="F390" s="9" t="s">
        <v>2473</v>
      </c>
      <c r="H390" s="15" t="s">
        <v>471</v>
      </c>
      <c r="I390" s="9">
        <v>3</v>
      </c>
    </row>
    <row r="391" spans="2:9">
      <c r="B391" s="9" t="str">
        <f t="shared" si="23"/>
        <v>0x7E01</v>
      </c>
      <c r="C391" s="9" t="str">
        <f t="shared" si="24"/>
        <v>0x7E03</v>
      </c>
      <c r="D391" s="9">
        <v>32257</v>
      </c>
      <c r="E391" s="9">
        <v>32259</v>
      </c>
      <c r="F391" s="9" t="s">
        <v>2474</v>
      </c>
      <c r="H391" s="15" t="s">
        <v>471</v>
      </c>
      <c r="I391" s="9">
        <v>3</v>
      </c>
    </row>
    <row r="392" spans="2:9">
      <c r="B392" s="9" t="str">
        <f t="shared" si="23"/>
        <v>0x7E04</v>
      </c>
      <c r="C392" s="9" t="str">
        <f t="shared" si="24"/>
        <v>0x7E06</v>
      </c>
      <c r="D392" s="9">
        <v>32260</v>
      </c>
      <c r="E392" s="9">
        <v>32262</v>
      </c>
      <c r="F392" s="9" t="s">
        <v>2475</v>
      </c>
      <c r="H392" s="15" t="s">
        <v>471</v>
      </c>
      <c r="I392" s="9">
        <v>3</v>
      </c>
    </row>
    <row r="393" spans="2:9">
      <c r="B393" s="9" t="str">
        <f t="shared" si="23"/>
        <v>0x7E07</v>
      </c>
      <c r="C393" s="9" t="str">
        <f t="shared" si="24"/>
        <v>0x7E09</v>
      </c>
      <c r="D393" s="9">
        <v>32263</v>
      </c>
      <c r="E393" s="9">
        <v>32265</v>
      </c>
      <c r="F393" s="9" t="s">
        <v>2476</v>
      </c>
      <c r="H393" s="15" t="s">
        <v>471</v>
      </c>
      <c r="I393" s="9">
        <v>3</v>
      </c>
    </row>
    <row r="394" spans="2:9">
      <c r="B394" s="9" t="str">
        <f t="shared" si="23"/>
        <v>0x7E0A</v>
      </c>
      <c r="C394" s="9" t="str">
        <f t="shared" si="24"/>
        <v>0x7E0C</v>
      </c>
      <c r="D394" s="9">
        <v>32266</v>
      </c>
      <c r="E394" s="9">
        <v>32268</v>
      </c>
      <c r="F394" s="9" t="s">
        <v>2477</v>
      </c>
      <c r="H394" s="15" t="s">
        <v>471</v>
      </c>
      <c r="I394" s="9">
        <v>3</v>
      </c>
    </row>
    <row r="395" spans="2:9">
      <c r="B395" s="9" t="str">
        <f t="shared" si="23"/>
        <v>0x7E0D</v>
      </c>
      <c r="C395" s="9" t="str">
        <f t="shared" si="24"/>
        <v>0x7E0F</v>
      </c>
      <c r="D395" s="9">
        <v>32269</v>
      </c>
      <c r="E395" s="9">
        <v>32271</v>
      </c>
      <c r="F395" s="9" t="s">
        <v>2478</v>
      </c>
      <c r="H395" s="15" t="s">
        <v>471</v>
      </c>
      <c r="I395" s="9">
        <v>3</v>
      </c>
    </row>
    <row r="396" spans="2:9">
      <c r="B396" s="9" t="str">
        <f t="shared" si="23"/>
        <v>0x7E10</v>
      </c>
      <c r="C396" s="9" t="str">
        <f t="shared" si="24"/>
        <v>0x7E12</v>
      </c>
      <c r="D396" s="9">
        <v>32272</v>
      </c>
      <c r="E396" s="9">
        <v>32274</v>
      </c>
      <c r="F396" s="9" t="s">
        <v>2479</v>
      </c>
      <c r="H396" s="15" t="s">
        <v>471</v>
      </c>
      <c r="I396" s="9">
        <v>3</v>
      </c>
    </row>
    <row r="397" spans="2:9">
      <c r="B397" s="9" t="str">
        <f t="shared" si="23"/>
        <v>0x7E13</v>
      </c>
      <c r="C397" s="9" t="str">
        <f t="shared" si="24"/>
        <v>0x7E15</v>
      </c>
      <c r="D397" s="9">
        <v>32275</v>
      </c>
      <c r="E397" s="9">
        <v>32277</v>
      </c>
      <c r="F397" s="9" t="s">
        <v>2480</v>
      </c>
      <c r="H397" s="15" t="s">
        <v>471</v>
      </c>
      <c r="I397" s="9">
        <v>3</v>
      </c>
    </row>
    <row r="398" spans="2:9">
      <c r="B398" s="9" t="str">
        <f t="shared" si="23"/>
        <v>0x7E16</v>
      </c>
      <c r="C398" s="9" t="str">
        <f t="shared" si="24"/>
        <v>0x7E18</v>
      </c>
      <c r="D398" s="9">
        <v>32278</v>
      </c>
      <c r="E398" s="9">
        <v>32280</v>
      </c>
      <c r="F398" s="9" t="s">
        <v>2481</v>
      </c>
      <c r="H398" s="15" t="s">
        <v>471</v>
      </c>
      <c r="I398" s="9">
        <v>3</v>
      </c>
    </row>
    <row r="399" spans="2:9">
      <c r="B399" s="9" t="str">
        <f t="shared" si="23"/>
        <v>0x7E19</v>
      </c>
      <c r="C399" s="9" t="str">
        <f t="shared" si="24"/>
        <v>0x7E1B</v>
      </c>
      <c r="D399" s="9">
        <v>32281</v>
      </c>
      <c r="E399" s="9">
        <v>32283</v>
      </c>
      <c r="F399" s="9" t="s">
        <v>2482</v>
      </c>
      <c r="H399" s="15" t="s">
        <v>471</v>
      </c>
      <c r="I399" s="9">
        <v>3</v>
      </c>
    </row>
    <row r="400" spans="2:9">
      <c r="B400" s="9" t="str">
        <f t="shared" si="23"/>
        <v>0x7E1C</v>
      </c>
      <c r="C400" s="9" t="str">
        <f t="shared" si="24"/>
        <v>0x7E1E</v>
      </c>
      <c r="D400" s="9">
        <v>32284</v>
      </c>
      <c r="E400" s="9">
        <v>32286</v>
      </c>
      <c r="F400" s="9" t="s">
        <v>2483</v>
      </c>
      <c r="H400" s="15" t="s">
        <v>471</v>
      </c>
      <c r="I400" s="9">
        <v>3</v>
      </c>
    </row>
    <row r="401" spans="2:9">
      <c r="B401" s="9" t="str">
        <f t="shared" si="23"/>
        <v>0x7E1F</v>
      </c>
      <c r="C401" s="9" t="str">
        <f t="shared" si="24"/>
        <v>0x7E21</v>
      </c>
      <c r="D401" s="9">
        <v>32287</v>
      </c>
      <c r="E401" s="9">
        <v>32289</v>
      </c>
      <c r="F401" s="9" t="s">
        <v>2484</v>
      </c>
      <c r="H401" s="15" t="s">
        <v>471</v>
      </c>
      <c r="I401" s="9">
        <v>3</v>
      </c>
    </row>
    <row r="402" spans="2:9">
      <c r="B402" s="9" t="str">
        <f t="shared" si="23"/>
        <v>0x7E22</v>
      </c>
      <c r="C402" s="9" t="str">
        <f t="shared" si="24"/>
        <v>0x7E24</v>
      </c>
      <c r="D402" s="9">
        <v>32290</v>
      </c>
      <c r="E402" s="9">
        <v>32292</v>
      </c>
      <c r="F402" s="9" t="s">
        <v>2485</v>
      </c>
      <c r="H402" s="15" t="s">
        <v>471</v>
      </c>
      <c r="I402" s="9">
        <v>3</v>
      </c>
    </row>
    <row r="403" spans="2:9">
      <c r="B403" s="9" t="str">
        <f t="shared" si="23"/>
        <v>0x7E25</v>
      </c>
      <c r="C403" s="9" t="str">
        <f t="shared" si="24"/>
        <v>0x7E27</v>
      </c>
      <c r="D403" s="9">
        <v>32293</v>
      </c>
      <c r="E403" s="9">
        <v>32295</v>
      </c>
      <c r="F403" s="9" t="s">
        <v>2486</v>
      </c>
      <c r="H403" s="15" t="s">
        <v>471</v>
      </c>
      <c r="I403" s="9">
        <v>3</v>
      </c>
    </row>
    <row r="404" spans="2:9">
      <c r="B404" s="9" t="str">
        <f t="shared" si="23"/>
        <v>0x7E28</v>
      </c>
      <c r="C404" s="9" t="str">
        <f t="shared" si="24"/>
        <v>0x7E2A</v>
      </c>
      <c r="D404" s="9">
        <v>32296</v>
      </c>
      <c r="E404" s="9">
        <v>32298</v>
      </c>
      <c r="F404" s="9" t="s">
        <v>2487</v>
      </c>
      <c r="H404" s="15" t="s">
        <v>471</v>
      </c>
      <c r="I404" s="9">
        <v>3</v>
      </c>
    </row>
    <row r="405" spans="2:9">
      <c r="B405" s="9" t="str">
        <f t="shared" si="23"/>
        <v>0x7E2B</v>
      </c>
      <c r="C405" s="9" t="str">
        <f t="shared" si="24"/>
        <v>0x7E2D</v>
      </c>
      <c r="D405" s="9">
        <v>32299</v>
      </c>
      <c r="E405" s="9">
        <v>32301</v>
      </c>
      <c r="F405" s="9" t="s">
        <v>2488</v>
      </c>
      <c r="H405" s="15" t="s">
        <v>471</v>
      </c>
      <c r="I405" s="9">
        <v>3</v>
      </c>
    </row>
    <row r="406" spans="2:9">
      <c r="B406" s="9" t="str">
        <f t="shared" si="23"/>
        <v>0x7E2E</v>
      </c>
      <c r="C406" s="9" t="str">
        <f t="shared" si="24"/>
        <v>0x7E30</v>
      </c>
      <c r="D406" s="9">
        <v>32302</v>
      </c>
      <c r="E406" s="9">
        <v>32304</v>
      </c>
      <c r="F406" s="9" t="s">
        <v>2489</v>
      </c>
      <c r="H406" s="15" t="s">
        <v>471</v>
      </c>
      <c r="I406" s="9">
        <v>3</v>
      </c>
    </row>
    <row r="407" spans="2:9">
      <c r="B407" s="9" t="str">
        <f t="shared" si="23"/>
        <v>0x7E31</v>
      </c>
      <c r="C407" s="9" t="str">
        <f t="shared" si="24"/>
        <v>0x7E33</v>
      </c>
      <c r="D407" s="9">
        <v>32305</v>
      </c>
      <c r="E407" s="9">
        <v>32307</v>
      </c>
      <c r="F407" s="9" t="s">
        <v>2490</v>
      </c>
      <c r="H407" s="15" t="s">
        <v>471</v>
      </c>
      <c r="I407" s="9">
        <v>3</v>
      </c>
    </row>
    <row r="408" spans="2:9">
      <c r="B408" s="9" t="str">
        <f t="shared" si="23"/>
        <v>0x7E34</v>
      </c>
      <c r="C408" s="9" t="str">
        <f t="shared" si="24"/>
        <v>0x7E36</v>
      </c>
      <c r="D408" s="9">
        <v>32308</v>
      </c>
      <c r="E408" s="9">
        <v>32310</v>
      </c>
      <c r="F408" s="9" t="s">
        <v>2491</v>
      </c>
      <c r="H408" s="15" t="s">
        <v>471</v>
      </c>
      <c r="I408" s="9">
        <v>3</v>
      </c>
    </row>
    <row r="409" spans="2:9">
      <c r="B409" s="9" t="str">
        <f t="shared" si="23"/>
        <v>0x7E37</v>
      </c>
      <c r="C409" s="9" t="str">
        <f t="shared" si="24"/>
        <v>0x7E39</v>
      </c>
      <c r="D409" s="9">
        <v>32311</v>
      </c>
      <c r="E409" s="9">
        <v>32313</v>
      </c>
      <c r="F409" s="9" t="s">
        <v>2492</v>
      </c>
      <c r="H409" s="15" t="s">
        <v>471</v>
      </c>
      <c r="I409" s="9">
        <v>3</v>
      </c>
    </row>
    <row r="410" spans="2:9">
      <c r="B410" s="9" t="str">
        <f t="shared" si="23"/>
        <v>0x7E3A</v>
      </c>
      <c r="D410" s="9">
        <v>32314</v>
      </c>
      <c r="F410" s="9" t="s">
        <v>2493</v>
      </c>
      <c r="H410" s="15" t="s">
        <v>471</v>
      </c>
    </row>
    <row r="411" spans="2:9">
      <c r="B411" s="9" t="str">
        <f t="shared" si="23"/>
        <v>0x7E3B</v>
      </c>
      <c r="D411" s="9">
        <v>32315</v>
      </c>
      <c r="F411" s="9" t="s">
        <v>2494</v>
      </c>
      <c r="H411" s="15" t="s">
        <v>471</v>
      </c>
    </row>
    <row r="412" spans="2:9">
      <c r="B412" s="9" t="str">
        <f t="shared" ref="B412:B443" si="25">"0x"&amp;DEC2HEX(D412,4)</f>
        <v>0x7E3C</v>
      </c>
      <c r="C412" s="9" t="str">
        <f t="shared" ref="C412:C441" si="26">"0x"&amp;DEC2HEX(E412,4)</f>
        <v>0x7E3E</v>
      </c>
      <c r="D412" s="9">
        <v>32316</v>
      </c>
      <c r="E412" s="9">
        <v>32318</v>
      </c>
      <c r="F412" s="9" t="s">
        <v>2495</v>
      </c>
      <c r="H412" s="15" t="s">
        <v>471</v>
      </c>
      <c r="I412" s="9">
        <v>3</v>
      </c>
    </row>
    <row r="413" spans="2:9">
      <c r="B413" s="9" t="str">
        <f t="shared" si="25"/>
        <v>0x7E3F</v>
      </c>
      <c r="C413" s="9" t="str">
        <f t="shared" si="26"/>
        <v>0x7E41</v>
      </c>
      <c r="D413" s="9">
        <v>32319</v>
      </c>
      <c r="E413" s="9">
        <v>32321</v>
      </c>
      <c r="F413" s="9" t="s">
        <v>2496</v>
      </c>
      <c r="H413" s="15" t="s">
        <v>471</v>
      </c>
      <c r="I413" s="9">
        <v>3</v>
      </c>
    </row>
    <row r="414" spans="2:9">
      <c r="B414" s="9" t="str">
        <f t="shared" si="25"/>
        <v>0x7E42</v>
      </c>
      <c r="C414" s="9" t="str">
        <f t="shared" si="26"/>
        <v>0x7E44</v>
      </c>
      <c r="D414" s="9">
        <v>32322</v>
      </c>
      <c r="E414" s="9">
        <v>32324</v>
      </c>
      <c r="F414" s="9" t="s">
        <v>2497</v>
      </c>
      <c r="H414" s="15" t="s">
        <v>471</v>
      </c>
      <c r="I414" s="9">
        <v>3</v>
      </c>
    </row>
    <row r="415" spans="2:9">
      <c r="B415" s="9" t="str">
        <f t="shared" si="25"/>
        <v>0x7E45</v>
      </c>
      <c r="C415" s="9" t="str">
        <f t="shared" si="26"/>
        <v>0x7E47</v>
      </c>
      <c r="D415" s="9">
        <v>32325</v>
      </c>
      <c r="E415" s="9">
        <v>32327</v>
      </c>
      <c r="F415" s="9" t="s">
        <v>2498</v>
      </c>
      <c r="H415" s="15" t="s">
        <v>471</v>
      </c>
      <c r="I415" s="9">
        <v>3</v>
      </c>
    </row>
    <row r="416" spans="2:9">
      <c r="B416" s="9" t="str">
        <f t="shared" si="25"/>
        <v>0x7E48</v>
      </c>
      <c r="C416" s="9" t="str">
        <f t="shared" si="26"/>
        <v>0x7E4A</v>
      </c>
      <c r="D416" s="9">
        <v>32328</v>
      </c>
      <c r="E416" s="9">
        <v>32330</v>
      </c>
      <c r="F416" s="9" t="s">
        <v>2499</v>
      </c>
      <c r="H416" s="15" t="s">
        <v>471</v>
      </c>
      <c r="I416" s="9">
        <v>3</v>
      </c>
    </row>
    <row r="417" spans="2:9">
      <c r="B417" s="9" t="str">
        <f t="shared" si="25"/>
        <v>0x7E4B</v>
      </c>
      <c r="C417" s="9" t="str">
        <f t="shared" si="26"/>
        <v>0x7E4D</v>
      </c>
      <c r="D417" s="9">
        <v>32331</v>
      </c>
      <c r="E417" s="9">
        <v>32333</v>
      </c>
      <c r="F417" s="9" t="s">
        <v>2500</v>
      </c>
      <c r="H417" s="15" t="s">
        <v>471</v>
      </c>
      <c r="I417" s="9">
        <v>3</v>
      </c>
    </row>
    <row r="418" spans="2:9">
      <c r="B418" s="9" t="str">
        <f t="shared" si="25"/>
        <v>0x7E4E</v>
      </c>
      <c r="C418" s="9" t="str">
        <f t="shared" si="26"/>
        <v>0x7E50</v>
      </c>
      <c r="D418" s="9">
        <v>32334</v>
      </c>
      <c r="E418" s="9">
        <v>32336</v>
      </c>
      <c r="F418" s="9" t="s">
        <v>2501</v>
      </c>
      <c r="H418" s="15" t="s">
        <v>471</v>
      </c>
      <c r="I418" s="9">
        <v>3</v>
      </c>
    </row>
    <row r="419" spans="2:9">
      <c r="B419" s="9" t="str">
        <f t="shared" si="25"/>
        <v>0x7E51</v>
      </c>
      <c r="C419" s="9" t="str">
        <f t="shared" si="26"/>
        <v>0x7E53</v>
      </c>
      <c r="D419" s="9">
        <v>32337</v>
      </c>
      <c r="E419" s="9">
        <v>32339</v>
      </c>
      <c r="F419" s="9" t="s">
        <v>2502</v>
      </c>
      <c r="H419" s="15" t="s">
        <v>471</v>
      </c>
      <c r="I419" s="9">
        <v>3</v>
      </c>
    </row>
    <row r="420" spans="2:9">
      <c r="B420" s="9" t="str">
        <f t="shared" si="25"/>
        <v>0x7E54</v>
      </c>
      <c r="C420" s="9" t="str">
        <f t="shared" si="26"/>
        <v>0x7E56</v>
      </c>
      <c r="D420" s="9">
        <v>32340</v>
      </c>
      <c r="E420" s="9">
        <v>32342</v>
      </c>
      <c r="F420" s="9" t="s">
        <v>2503</v>
      </c>
      <c r="H420" s="15" t="s">
        <v>471</v>
      </c>
      <c r="I420" s="9">
        <v>3</v>
      </c>
    </row>
    <row r="421" spans="2:9">
      <c r="B421" s="9" t="str">
        <f t="shared" si="25"/>
        <v>0x7E57</v>
      </c>
      <c r="C421" s="9" t="str">
        <f t="shared" si="26"/>
        <v>0x7E59</v>
      </c>
      <c r="D421" s="9">
        <v>32343</v>
      </c>
      <c r="E421" s="9">
        <v>32345</v>
      </c>
      <c r="F421" s="9" t="s">
        <v>2504</v>
      </c>
      <c r="H421" s="15" t="s">
        <v>471</v>
      </c>
      <c r="I421" s="9">
        <v>3</v>
      </c>
    </row>
    <row r="422" spans="2:9">
      <c r="B422" s="9" t="str">
        <f t="shared" si="25"/>
        <v>0x7E5A</v>
      </c>
      <c r="C422" s="9" t="str">
        <f t="shared" si="26"/>
        <v>0x7E5C</v>
      </c>
      <c r="D422" s="9">
        <v>32346</v>
      </c>
      <c r="E422" s="9">
        <v>32348</v>
      </c>
      <c r="F422" s="9" t="s">
        <v>2505</v>
      </c>
      <c r="H422" s="15" t="s">
        <v>471</v>
      </c>
      <c r="I422" s="9">
        <v>3</v>
      </c>
    </row>
    <row r="423" spans="2:9">
      <c r="B423" s="9" t="str">
        <f t="shared" si="25"/>
        <v>0x7E5D</v>
      </c>
      <c r="C423" s="9" t="str">
        <f t="shared" si="26"/>
        <v>0x7E5F</v>
      </c>
      <c r="D423" s="9">
        <v>32349</v>
      </c>
      <c r="E423" s="9">
        <v>32351</v>
      </c>
      <c r="F423" s="9" t="s">
        <v>2506</v>
      </c>
      <c r="H423" s="15" t="s">
        <v>471</v>
      </c>
      <c r="I423" s="9">
        <v>3</v>
      </c>
    </row>
    <row r="424" spans="2:9">
      <c r="B424" s="9" t="str">
        <f t="shared" si="25"/>
        <v>0x7E60</v>
      </c>
      <c r="C424" s="9" t="str">
        <f t="shared" si="26"/>
        <v>0x7E62</v>
      </c>
      <c r="D424" s="9">
        <v>32352</v>
      </c>
      <c r="E424" s="9">
        <v>32354</v>
      </c>
      <c r="F424" s="9" t="s">
        <v>2507</v>
      </c>
      <c r="H424" s="15" t="s">
        <v>471</v>
      </c>
      <c r="I424" s="9">
        <v>3</v>
      </c>
    </row>
    <row r="425" spans="2:9">
      <c r="B425" s="9" t="str">
        <f t="shared" si="25"/>
        <v>0x7E63</v>
      </c>
      <c r="C425" s="9" t="str">
        <f t="shared" si="26"/>
        <v>0x7E65</v>
      </c>
      <c r="D425" s="9">
        <v>32355</v>
      </c>
      <c r="E425" s="9">
        <v>32357</v>
      </c>
      <c r="F425" s="9" t="s">
        <v>2508</v>
      </c>
      <c r="H425" s="15" t="s">
        <v>471</v>
      </c>
      <c r="I425" s="9">
        <v>3</v>
      </c>
    </row>
    <row r="426" spans="2:9">
      <c r="B426" s="9" t="str">
        <f t="shared" si="25"/>
        <v>0x7E66</v>
      </c>
      <c r="C426" s="9" t="str">
        <f t="shared" si="26"/>
        <v>0x7E68</v>
      </c>
      <c r="D426" s="9">
        <v>32358</v>
      </c>
      <c r="E426" s="9">
        <v>32360</v>
      </c>
      <c r="F426" s="9" t="s">
        <v>2509</v>
      </c>
      <c r="H426" s="15" t="s">
        <v>471</v>
      </c>
      <c r="I426" s="9">
        <v>3</v>
      </c>
    </row>
    <row r="427" spans="2:9">
      <c r="B427" s="9" t="str">
        <f t="shared" si="25"/>
        <v>0x7E69</v>
      </c>
      <c r="C427" s="9" t="str">
        <f t="shared" si="26"/>
        <v>0x7E6B</v>
      </c>
      <c r="D427" s="9">
        <v>32361</v>
      </c>
      <c r="E427" s="9">
        <v>32363</v>
      </c>
      <c r="F427" s="9" t="s">
        <v>2510</v>
      </c>
      <c r="H427" s="15" t="s">
        <v>471</v>
      </c>
      <c r="I427" s="9">
        <v>3</v>
      </c>
    </row>
    <row r="428" spans="2:9">
      <c r="B428" s="9" t="str">
        <f t="shared" si="25"/>
        <v>0x7E6C</v>
      </c>
      <c r="C428" s="9" t="str">
        <f t="shared" si="26"/>
        <v>0x7E6E</v>
      </c>
      <c r="D428" s="9">
        <v>32364</v>
      </c>
      <c r="E428" s="9">
        <v>32366</v>
      </c>
      <c r="F428" s="9" t="s">
        <v>2511</v>
      </c>
      <c r="H428" s="15" t="s">
        <v>471</v>
      </c>
      <c r="I428" s="9">
        <v>3</v>
      </c>
    </row>
    <row r="429" spans="2:9">
      <c r="B429" s="9" t="str">
        <f t="shared" si="25"/>
        <v>0x7E6F</v>
      </c>
      <c r="C429" s="9" t="str">
        <f t="shared" si="26"/>
        <v>0x7E71</v>
      </c>
      <c r="D429" s="9">
        <v>32367</v>
      </c>
      <c r="E429" s="9">
        <v>32369</v>
      </c>
      <c r="F429" s="9" t="s">
        <v>2512</v>
      </c>
      <c r="H429" s="15" t="s">
        <v>471</v>
      </c>
      <c r="I429" s="9">
        <v>3</v>
      </c>
    </row>
    <row r="430" spans="2:9">
      <c r="B430" s="9" t="str">
        <f t="shared" si="25"/>
        <v>0x7E72</v>
      </c>
      <c r="C430" s="9" t="str">
        <f t="shared" si="26"/>
        <v>0x7E74</v>
      </c>
      <c r="D430" s="9">
        <v>32370</v>
      </c>
      <c r="E430" s="9">
        <v>32372</v>
      </c>
      <c r="F430" s="9" t="s">
        <v>2513</v>
      </c>
      <c r="H430" s="15" t="s">
        <v>471</v>
      </c>
      <c r="I430" s="9">
        <v>3</v>
      </c>
    </row>
    <row r="431" spans="2:9">
      <c r="B431" s="9" t="str">
        <f t="shared" si="25"/>
        <v>0x7E75</v>
      </c>
      <c r="C431" s="9" t="str">
        <f t="shared" si="26"/>
        <v>0x7E77</v>
      </c>
      <c r="D431" s="9">
        <v>32373</v>
      </c>
      <c r="E431" s="9">
        <v>32375</v>
      </c>
      <c r="F431" s="9" t="s">
        <v>2514</v>
      </c>
      <c r="H431" s="15" t="s">
        <v>471</v>
      </c>
      <c r="I431" s="9">
        <v>3</v>
      </c>
    </row>
    <row r="432" spans="2:9">
      <c r="B432" s="9" t="str">
        <f t="shared" si="25"/>
        <v>0x7E78</v>
      </c>
      <c r="C432" s="9" t="str">
        <f t="shared" si="26"/>
        <v>0x7E7A</v>
      </c>
      <c r="D432" s="9">
        <v>32376</v>
      </c>
      <c r="E432" s="9">
        <v>32378</v>
      </c>
      <c r="F432" s="9" t="s">
        <v>2515</v>
      </c>
      <c r="H432" s="15" t="s">
        <v>471</v>
      </c>
      <c r="I432" s="9">
        <v>3</v>
      </c>
    </row>
    <row r="433" spans="1:11">
      <c r="B433" s="9" t="str">
        <f t="shared" si="25"/>
        <v>0x7E7B</v>
      </c>
      <c r="C433" s="9" t="str">
        <f t="shared" si="26"/>
        <v>0x7E7D</v>
      </c>
      <c r="D433" s="9">
        <v>32379</v>
      </c>
      <c r="E433" s="9">
        <v>32381</v>
      </c>
      <c r="F433" s="9" t="s">
        <v>2516</v>
      </c>
      <c r="H433" s="15" t="s">
        <v>471</v>
      </c>
      <c r="I433" s="9">
        <v>3</v>
      </c>
    </row>
    <row r="434" spans="1:11">
      <c r="B434" s="9" t="str">
        <f t="shared" si="25"/>
        <v>0x7E7E</v>
      </c>
      <c r="C434" s="9" t="str">
        <f t="shared" si="26"/>
        <v>0x7E80</v>
      </c>
      <c r="D434" s="9">
        <v>32382</v>
      </c>
      <c r="E434" s="9">
        <v>32384</v>
      </c>
      <c r="F434" s="9" t="s">
        <v>2517</v>
      </c>
      <c r="H434" s="15" t="s">
        <v>471</v>
      </c>
      <c r="I434" s="9">
        <v>3</v>
      </c>
    </row>
    <row r="435" spans="1:11">
      <c r="B435" s="9" t="str">
        <f t="shared" si="25"/>
        <v>0x7E81</v>
      </c>
      <c r="C435" s="9" t="str">
        <f t="shared" si="26"/>
        <v>0x7E83</v>
      </c>
      <c r="D435" s="9">
        <v>32385</v>
      </c>
      <c r="E435" s="9">
        <v>32387</v>
      </c>
      <c r="F435" s="9" t="s">
        <v>2518</v>
      </c>
      <c r="H435" s="15" t="s">
        <v>471</v>
      </c>
      <c r="I435" s="9">
        <v>3</v>
      </c>
    </row>
    <row r="436" spans="1:11">
      <c r="B436" s="9" t="str">
        <f t="shared" si="25"/>
        <v>0x7E84</v>
      </c>
      <c r="C436" s="9" t="str">
        <f t="shared" si="26"/>
        <v>0x7E86</v>
      </c>
      <c r="D436" s="9">
        <v>32388</v>
      </c>
      <c r="E436" s="9">
        <v>32390</v>
      </c>
      <c r="F436" s="9" t="s">
        <v>2519</v>
      </c>
      <c r="H436" s="15" t="s">
        <v>471</v>
      </c>
      <c r="I436" s="9">
        <v>3</v>
      </c>
    </row>
    <row r="437" spans="1:11">
      <c r="B437" s="9" t="str">
        <f t="shared" si="25"/>
        <v>0x7E87</v>
      </c>
      <c r="C437" s="9" t="str">
        <f t="shared" si="26"/>
        <v>0x7E89</v>
      </c>
      <c r="D437" s="9">
        <v>32391</v>
      </c>
      <c r="E437" s="9">
        <v>32393</v>
      </c>
      <c r="F437" s="9" t="s">
        <v>2520</v>
      </c>
      <c r="H437" s="15" t="s">
        <v>471</v>
      </c>
      <c r="I437" s="9">
        <v>3</v>
      </c>
    </row>
    <row r="438" spans="1:11">
      <c r="B438" s="9" t="str">
        <f t="shared" si="25"/>
        <v>0x7E8A</v>
      </c>
      <c r="C438" s="9" t="str">
        <f t="shared" si="26"/>
        <v>0x7E8C</v>
      </c>
      <c r="D438" s="9">
        <v>32394</v>
      </c>
      <c r="E438" s="9">
        <v>32396</v>
      </c>
      <c r="F438" s="9" t="s">
        <v>2521</v>
      </c>
      <c r="H438" s="15" t="s">
        <v>471</v>
      </c>
      <c r="I438" s="9">
        <v>3</v>
      </c>
    </row>
    <row r="439" spans="1:11">
      <c r="B439" s="9" t="str">
        <f t="shared" si="25"/>
        <v>0x7E8D</v>
      </c>
      <c r="C439" s="9" t="str">
        <f t="shared" si="26"/>
        <v>0x7E8F</v>
      </c>
      <c r="D439" s="9">
        <v>32397</v>
      </c>
      <c r="E439" s="9">
        <v>32399</v>
      </c>
      <c r="F439" s="9" t="s">
        <v>2522</v>
      </c>
      <c r="H439" s="15" t="s">
        <v>471</v>
      </c>
      <c r="I439" s="9">
        <v>3</v>
      </c>
    </row>
    <row r="440" spans="1:11">
      <c r="B440" s="9" t="str">
        <f t="shared" si="25"/>
        <v>0x7E90</v>
      </c>
      <c r="C440" s="9" t="str">
        <f t="shared" si="26"/>
        <v>0x7E92</v>
      </c>
      <c r="D440" s="9">
        <v>32400</v>
      </c>
      <c r="E440" s="9">
        <v>32402</v>
      </c>
      <c r="F440" s="9" t="s">
        <v>2523</v>
      </c>
      <c r="H440" s="15" t="s">
        <v>471</v>
      </c>
      <c r="I440" s="9">
        <v>3</v>
      </c>
    </row>
    <row r="441" spans="1:11">
      <c r="B441" s="9" t="str">
        <f t="shared" si="25"/>
        <v>0x7E93</v>
      </c>
      <c r="C441" s="9" t="str">
        <f t="shared" si="26"/>
        <v>0x7E95</v>
      </c>
      <c r="D441" s="9">
        <v>32403</v>
      </c>
      <c r="E441" s="9">
        <v>32405</v>
      </c>
      <c r="F441" s="9" t="s">
        <v>2524</v>
      </c>
      <c r="H441" s="15" t="s">
        <v>471</v>
      </c>
      <c r="I441" s="9">
        <v>3</v>
      </c>
    </row>
    <row r="442" spans="1:11">
      <c r="B442" s="9" t="str">
        <f t="shared" si="25"/>
        <v>0x7E96</v>
      </c>
      <c r="D442" s="9">
        <v>32406</v>
      </c>
      <c r="F442" s="9" t="s">
        <v>2525</v>
      </c>
      <c r="H442" s="15" t="s">
        <v>471</v>
      </c>
    </row>
    <row r="443" spans="1:11">
      <c r="B443" s="9" t="str">
        <f t="shared" si="25"/>
        <v>0x7E97</v>
      </c>
      <c r="D443" s="9">
        <v>32407</v>
      </c>
      <c r="F443" s="9" t="s">
        <v>2526</v>
      </c>
      <c r="H443" s="15" t="s">
        <v>471</v>
      </c>
    </row>
    <row r="444" spans="1:11" s="3" customFormat="1">
      <c r="A444" s="72"/>
      <c r="B444" s="3" t="str">
        <f t="shared" ref="B444" si="27">"0x"&amp;DEC2HEX(D444,4)</f>
        <v>0x7E98</v>
      </c>
      <c r="D444" s="3">
        <v>32408</v>
      </c>
      <c r="F444" s="3" t="s">
        <v>2861</v>
      </c>
      <c r="H444" s="4" t="s">
        <v>2859</v>
      </c>
      <c r="I444" s="3">
        <v>1</v>
      </c>
      <c r="K444" s="3" t="s">
        <v>2860</v>
      </c>
    </row>
    <row r="445" spans="1:11">
      <c r="H445" s="15"/>
    </row>
    <row r="446" spans="1:11">
      <c r="A446" s="8" t="s">
        <v>291</v>
      </c>
    </row>
    <row r="447" spans="1:11">
      <c r="B447" s="9" t="str">
        <f t="shared" ref="B447:B510" si="28">"0x"&amp;DEC2HEX(D447,4)</f>
        <v>0x7F00</v>
      </c>
      <c r="D447" s="9">
        <v>32512</v>
      </c>
      <c r="F447" s="9" t="s">
        <v>2527</v>
      </c>
      <c r="H447" s="15" t="s">
        <v>471</v>
      </c>
      <c r="J447" s="9" t="s">
        <v>2528</v>
      </c>
    </row>
    <row r="448" spans="1:11">
      <c r="B448" s="9" t="str">
        <f t="shared" si="28"/>
        <v>0x7F01</v>
      </c>
      <c r="D448" s="9">
        <v>32513</v>
      </c>
      <c r="F448" s="9" t="s">
        <v>2529</v>
      </c>
      <c r="H448" s="15" t="s">
        <v>471</v>
      </c>
      <c r="J448" s="9" t="s">
        <v>2530</v>
      </c>
    </row>
    <row r="449" spans="2:10">
      <c r="B449" s="9" t="str">
        <f t="shared" si="28"/>
        <v>0x7F02</v>
      </c>
      <c r="D449" s="9">
        <v>32514</v>
      </c>
      <c r="F449" s="9" t="s">
        <v>2531</v>
      </c>
      <c r="H449" s="15" t="s">
        <v>471</v>
      </c>
      <c r="J449" s="9" t="s">
        <v>2112</v>
      </c>
    </row>
    <row r="450" spans="2:10">
      <c r="B450" s="9" t="str">
        <f t="shared" si="28"/>
        <v>0x7F03</v>
      </c>
      <c r="D450" s="9">
        <v>32515</v>
      </c>
      <c r="F450" s="9" t="s">
        <v>2532</v>
      </c>
      <c r="H450" s="15" t="s">
        <v>471</v>
      </c>
      <c r="J450" s="9" t="s">
        <v>2112</v>
      </c>
    </row>
    <row r="451" spans="2:10">
      <c r="B451" s="9" t="str">
        <f t="shared" si="28"/>
        <v>0x7F04</v>
      </c>
      <c r="D451" s="9">
        <v>32516</v>
      </c>
      <c r="F451" s="9" t="s">
        <v>2533</v>
      </c>
      <c r="H451" s="15" t="s">
        <v>471</v>
      </c>
      <c r="J451" s="9" t="s">
        <v>2112</v>
      </c>
    </row>
    <row r="452" spans="2:10">
      <c r="B452" s="9" t="str">
        <f t="shared" si="28"/>
        <v>0x7F05</v>
      </c>
      <c r="D452" s="9">
        <v>32517</v>
      </c>
      <c r="F452" s="9" t="s">
        <v>2534</v>
      </c>
      <c r="H452" s="15" t="s">
        <v>471</v>
      </c>
      <c r="J452" s="9" t="s">
        <v>2112</v>
      </c>
    </row>
    <row r="453" spans="2:10">
      <c r="B453" s="9" t="str">
        <f t="shared" si="28"/>
        <v>0x7F06</v>
      </c>
      <c r="D453" s="9">
        <v>32518</v>
      </c>
      <c r="F453" s="9" t="s">
        <v>2535</v>
      </c>
      <c r="H453" s="15" t="s">
        <v>471</v>
      </c>
      <c r="J453" s="9" t="s">
        <v>2112</v>
      </c>
    </row>
    <row r="454" spans="2:10">
      <c r="B454" s="9" t="str">
        <f t="shared" si="28"/>
        <v>0x7F07</v>
      </c>
      <c r="D454" s="9">
        <v>32519</v>
      </c>
      <c r="F454" s="9" t="s">
        <v>2536</v>
      </c>
      <c r="H454" s="15" t="s">
        <v>471</v>
      </c>
      <c r="J454" s="9" t="s">
        <v>2112</v>
      </c>
    </row>
    <row r="455" spans="2:10">
      <c r="B455" s="9" t="str">
        <f t="shared" si="28"/>
        <v>0x7F08</v>
      </c>
      <c r="D455" s="9">
        <v>32520</v>
      </c>
      <c r="F455" s="9" t="s">
        <v>2537</v>
      </c>
      <c r="H455" s="15" t="s">
        <v>471</v>
      </c>
      <c r="J455" s="9" t="s">
        <v>2112</v>
      </c>
    </row>
    <row r="456" spans="2:10">
      <c r="B456" s="9" t="str">
        <f t="shared" si="28"/>
        <v>0x7F09</v>
      </c>
      <c r="D456" s="9">
        <v>32521</v>
      </c>
      <c r="F456" s="9" t="s">
        <v>2538</v>
      </c>
      <c r="H456" s="15" t="s">
        <v>471</v>
      </c>
      <c r="J456" s="9" t="s">
        <v>2530</v>
      </c>
    </row>
    <row r="457" spans="2:10">
      <c r="B457" s="9" t="str">
        <f t="shared" si="28"/>
        <v>0x7F0A</v>
      </c>
      <c r="D457" s="9">
        <v>32522</v>
      </c>
      <c r="F457" s="9" t="s">
        <v>2539</v>
      </c>
      <c r="H457" s="15" t="s">
        <v>471</v>
      </c>
      <c r="J457" s="9" t="s">
        <v>2112</v>
      </c>
    </row>
    <row r="458" spans="2:10">
      <c r="B458" s="9" t="str">
        <f t="shared" si="28"/>
        <v>0x7F0B</v>
      </c>
      <c r="D458" s="9">
        <v>32523</v>
      </c>
      <c r="F458" s="9" t="s">
        <v>2540</v>
      </c>
      <c r="H458" s="15" t="s">
        <v>471</v>
      </c>
      <c r="J458" s="9" t="s">
        <v>2112</v>
      </c>
    </row>
    <row r="459" spans="2:10">
      <c r="B459" s="9" t="str">
        <f t="shared" si="28"/>
        <v>0x7F0C</v>
      </c>
      <c r="D459" s="9">
        <v>32524</v>
      </c>
      <c r="F459" s="9" t="s">
        <v>2541</v>
      </c>
      <c r="H459" s="15" t="s">
        <v>471</v>
      </c>
      <c r="J459" s="9" t="s">
        <v>2112</v>
      </c>
    </row>
    <row r="460" spans="2:10">
      <c r="B460" s="9" t="str">
        <f t="shared" si="28"/>
        <v>0x7F0D</v>
      </c>
      <c r="D460" s="9">
        <v>32525</v>
      </c>
      <c r="F460" s="9" t="s">
        <v>2542</v>
      </c>
      <c r="H460" s="15" t="s">
        <v>471</v>
      </c>
      <c r="J460" s="9" t="s">
        <v>2112</v>
      </c>
    </row>
    <row r="461" spans="2:10">
      <c r="B461" s="9" t="str">
        <f t="shared" si="28"/>
        <v>0x7F0E</v>
      </c>
      <c r="D461" s="9">
        <v>32526</v>
      </c>
      <c r="F461" s="9" t="s">
        <v>2543</v>
      </c>
      <c r="H461" s="15" t="s">
        <v>471</v>
      </c>
      <c r="J461" s="9" t="s">
        <v>2112</v>
      </c>
    </row>
    <row r="462" spans="2:10">
      <c r="B462" s="9" t="str">
        <f t="shared" si="28"/>
        <v>0x7F0F</v>
      </c>
      <c r="D462" s="9">
        <v>32527</v>
      </c>
      <c r="F462" s="9" t="s">
        <v>2544</v>
      </c>
      <c r="H462" s="15" t="s">
        <v>471</v>
      </c>
      <c r="J462" s="9" t="s">
        <v>2112</v>
      </c>
    </row>
    <row r="463" spans="2:10">
      <c r="B463" s="9" t="str">
        <f t="shared" si="28"/>
        <v>0x7F10</v>
      </c>
      <c r="D463" s="9">
        <v>32528</v>
      </c>
      <c r="F463" s="9" t="s">
        <v>2545</v>
      </c>
      <c r="H463" s="15" t="s">
        <v>471</v>
      </c>
      <c r="J463" s="9" t="s">
        <v>2112</v>
      </c>
    </row>
    <row r="464" spans="2:10">
      <c r="B464" s="9" t="str">
        <f t="shared" si="28"/>
        <v>0x7F11</v>
      </c>
      <c r="D464" s="9">
        <v>32529</v>
      </c>
      <c r="F464" s="9" t="s">
        <v>2546</v>
      </c>
      <c r="H464" s="15" t="s">
        <v>471</v>
      </c>
      <c r="J464" s="9" t="s">
        <v>2530</v>
      </c>
    </row>
    <row r="465" spans="2:10">
      <c r="B465" s="9" t="str">
        <f t="shared" si="28"/>
        <v>0x7F12</v>
      </c>
      <c r="D465" s="9">
        <v>32530</v>
      </c>
      <c r="F465" s="9" t="s">
        <v>2547</v>
      </c>
      <c r="H465" s="15" t="s">
        <v>471</v>
      </c>
      <c r="J465" s="9" t="s">
        <v>2112</v>
      </c>
    </row>
    <row r="466" spans="2:10">
      <c r="B466" s="9" t="str">
        <f t="shared" si="28"/>
        <v>0x7F13</v>
      </c>
      <c r="D466" s="9">
        <v>32531</v>
      </c>
      <c r="F466" s="9" t="s">
        <v>2548</v>
      </c>
      <c r="H466" s="15" t="s">
        <v>471</v>
      </c>
      <c r="J466" s="9" t="s">
        <v>2112</v>
      </c>
    </row>
    <row r="467" spans="2:10">
      <c r="B467" s="9" t="str">
        <f t="shared" si="28"/>
        <v>0x7F14</v>
      </c>
      <c r="D467" s="9">
        <v>32532</v>
      </c>
      <c r="F467" s="9" t="s">
        <v>2549</v>
      </c>
      <c r="H467" s="15" t="s">
        <v>471</v>
      </c>
      <c r="J467" s="9" t="s">
        <v>2112</v>
      </c>
    </row>
    <row r="468" spans="2:10">
      <c r="B468" s="9" t="str">
        <f t="shared" si="28"/>
        <v>0x7F15</v>
      </c>
      <c r="D468" s="9">
        <v>32533</v>
      </c>
      <c r="F468" s="9" t="s">
        <v>2550</v>
      </c>
      <c r="H468" s="15" t="s">
        <v>471</v>
      </c>
      <c r="J468" s="9" t="s">
        <v>2112</v>
      </c>
    </row>
    <row r="469" spans="2:10">
      <c r="B469" s="9" t="str">
        <f t="shared" si="28"/>
        <v>0x7F16</v>
      </c>
      <c r="D469" s="9">
        <v>32534</v>
      </c>
      <c r="F469" s="9" t="s">
        <v>2551</v>
      </c>
      <c r="H469" s="15" t="s">
        <v>471</v>
      </c>
      <c r="J469" s="9" t="s">
        <v>2112</v>
      </c>
    </row>
    <row r="470" spans="2:10">
      <c r="B470" s="9" t="str">
        <f t="shared" si="28"/>
        <v>0x7F17</v>
      </c>
      <c r="D470" s="9">
        <v>32535</v>
      </c>
      <c r="F470" s="9" t="s">
        <v>2552</v>
      </c>
      <c r="H470" s="15" t="s">
        <v>471</v>
      </c>
      <c r="J470" s="9" t="s">
        <v>2112</v>
      </c>
    </row>
    <row r="471" spans="2:10">
      <c r="B471" s="9" t="str">
        <f t="shared" si="28"/>
        <v>0x7F18</v>
      </c>
      <c r="D471" s="9">
        <v>32536</v>
      </c>
      <c r="F471" s="9" t="s">
        <v>2553</v>
      </c>
      <c r="H471" s="15" t="s">
        <v>471</v>
      </c>
      <c r="J471" s="9" t="s">
        <v>2112</v>
      </c>
    </row>
    <row r="472" spans="2:10">
      <c r="B472" s="9" t="str">
        <f t="shared" si="28"/>
        <v>0x7F19</v>
      </c>
      <c r="D472" s="9">
        <v>32537</v>
      </c>
      <c r="F472" s="9" t="s">
        <v>2554</v>
      </c>
      <c r="H472" s="15" t="s">
        <v>471</v>
      </c>
      <c r="J472" s="9" t="s">
        <v>2530</v>
      </c>
    </row>
    <row r="473" spans="2:10">
      <c r="B473" s="9" t="str">
        <f t="shared" si="28"/>
        <v>0x7F1A</v>
      </c>
      <c r="D473" s="9">
        <v>32538</v>
      </c>
      <c r="F473" s="9" t="s">
        <v>2555</v>
      </c>
      <c r="H473" s="15" t="s">
        <v>471</v>
      </c>
      <c r="J473" s="9" t="s">
        <v>2112</v>
      </c>
    </row>
    <row r="474" spans="2:10">
      <c r="B474" s="9" t="str">
        <f t="shared" si="28"/>
        <v>0x7F1B</v>
      </c>
      <c r="D474" s="9">
        <v>32539</v>
      </c>
      <c r="F474" s="9" t="s">
        <v>2556</v>
      </c>
      <c r="H474" s="15" t="s">
        <v>471</v>
      </c>
      <c r="J474" s="9" t="s">
        <v>2112</v>
      </c>
    </row>
    <row r="475" spans="2:10">
      <c r="B475" s="9" t="str">
        <f t="shared" si="28"/>
        <v>0x7F1C</v>
      </c>
      <c r="D475" s="9">
        <v>32540</v>
      </c>
      <c r="F475" s="9" t="s">
        <v>2557</v>
      </c>
      <c r="H475" s="15" t="s">
        <v>471</v>
      </c>
      <c r="J475" s="9" t="s">
        <v>2112</v>
      </c>
    </row>
    <row r="476" spans="2:10">
      <c r="B476" s="9" t="str">
        <f t="shared" si="28"/>
        <v>0x7F1D</v>
      </c>
      <c r="D476" s="9">
        <v>32541</v>
      </c>
      <c r="F476" s="9" t="s">
        <v>2558</v>
      </c>
      <c r="H476" s="15" t="s">
        <v>471</v>
      </c>
      <c r="J476" s="9" t="s">
        <v>2112</v>
      </c>
    </row>
    <row r="477" spans="2:10">
      <c r="B477" s="9" t="str">
        <f t="shared" si="28"/>
        <v>0x7F1E</v>
      </c>
      <c r="D477" s="9">
        <v>32542</v>
      </c>
      <c r="F477" s="9" t="s">
        <v>2559</v>
      </c>
      <c r="H477" s="15" t="s">
        <v>471</v>
      </c>
      <c r="J477" s="9" t="s">
        <v>2112</v>
      </c>
    </row>
    <row r="478" spans="2:10">
      <c r="B478" s="9" t="str">
        <f t="shared" si="28"/>
        <v>0x7F1F</v>
      </c>
      <c r="D478" s="9">
        <v>32543</v>
      </c>
      <c r="F478" s="9" t="s">
        <v>2560</v>
      </c>
      <c r="H478" s="15" t="s">
        <v>471</v>
      </c>
      <c r="J478" s="9" t="s">
        <v>2112</v>
      </c>
    </row>
    <row r="479" spans="2:10">
      <c r="B479" s="9" t="str">
        <f t="shared" si="28"/>
        <v>0x7F20</v>
      </c>
      <c r="D479" s="9">
        <v>32544</v>
      </c>
      <c r="F479" s="9" t="s">
        <v>2561</v>
      </c>
      <c r="H479" s="15" t="s">
        <v>471</v>
      </c>
      <c r="J479" s="9" t="s">
        <v>2112</v>
      </c>
    </row>
    <row r="480" spans="2:10">
      <c r="B480" s="9" t="str">
        <f t="shared" si="28"/>
        <v>0x7F21</v>
      </c>
      <c r="D480" s="9">
        <v>32545</v>
      </c>
      <c r="F480" s="9" t="s">
        <v>2562</v>
      </c>
      <c r="H480" s="15" t="s">
        <v>471</v>
      </c>
      <c r="J480" s="9" t="s">
        <v>2530</v>
      </c>
    </row>
    <row r="481" spans="2:10">
      <c r="B481" s="9" t="str">
        <f t="shared" si="28"/>
        <v>0x7F22</v>
      </c>
      <c r="D481" s="9">
        <v>32546</v>
      </c>
      <c r="F481" s="9" t="s">
        <v>2563</v>
      </c>
      <c r="H481" s="15" t="s">
        <v>471</v>
      </c>
      <c r="J481" s="9" t="s">
        <v>2112</v>
      </c>
    </row>
    <row r="482" spans="2:10">
      <c r="B482" s="9" t="str">
        <f t="shared" si="28"/>
        <v>0x7F23</v>
      </c>
      <c r="D482" s="9">
        <v>32547</v>
      </c>
      <c r="F482" s="9" t="s">
        <v>2564</v>
      </c>
      <c r="H482" s="15" t="s">
        <v>471</v>
      </c>
      <c r="J482" s="9" t="s">
        <v>2112</v>
      </c>
    </row>
    <row r="483" spans="2:10">
      <c r="B483" s="9" t="str">
        <f t="shared" si="28"/>
        <v>0x7F24</v>
      </c>
      <c r="D483" s="9">
        <v>32548</v>
      </c>
      <c r="F483" s="9" t="s">
        <v>2565</v>
      </c>
      <c r="H483" s="15" t="s">
        <v>471</v>
      </c>
      <c r="J483" s="9" t="s">
        <v>2112</v>
      </c>
    </row>
    <row r="484" spans="2:10">
      <c r="B484" s="9" t="str">
        <f t="shared" si="28"/>
        <v>0x7F25</v>
      </c>
      <c r="D484" s="9">
        <v>32549</v>
      </c>
      <c r="F484" s="9" t="s">
        <v>2566</v>
      </c>
      <c r="H484" s="15" t="s">
        <v>471</v>
      </c>
      <c r="J484" s="9" t="s">
        <v>2112</v>
      </c>
    </row>
    <row r="485" spans="2:10">
      <c r="B485" s="9" t="str">
        <f t="shared" si="28"/>
        <v>0x7F26</v>
      </c>
      <c r="D485" s="9">
        <v>32550</v>
      </c>
      <c r="F485" s="9" t="s">
        <v>2567</v>
      </c>
      <c r="H485" s="15" t="s">
        <v>471</v>
      </c>
      <c r="J485" s="9" t="s">
        <v>2112</v>
      </c>
    </row>
    <row r="486" spans="2:10">
      <c r="B486" s="9" t="str">
        <f t="shared" si="28"/>
        <v>0x7F27</v>
      </c>
      <c r="D486" s="9">
        <v>32551</v>
      </c>
      <c r="F486" s="9" t="s">
        <v>2568</v>
      </c>
      <c r="H486" s="15" t="s">
        <v>471</v>
      </c>
      <c r="J486" s="9" t="s">
        <v>2112</v>
      </c>
    </row>
    <row r="487" spans="2:10">
      <c r="B487" s="9" t="str">
        <f t="shared" si="28"/>
        <v>0x7F28</v>
      </c>
      <c r="D487" s="9">
        <v>32552</v>
      </c>
      <c r="F487" s="9" t="s">
        <v>2569</v>
      </c>
      <c r="H487" s="15" t="s">
        <v>471</v>
      </c>
      <c r="J487" s="9" t="s">
        <v>2112</v>
      </c>
    </row>
    <row r="488" spans="2:10">
      <c r="B488" s="9" t="str">
        <f t="shared" si="28"/>
        <v>0x7F29</v>
      </c>
      <c r="D488" s="9">
        <v>32553</v>
      </c>
      <c r="F488" s="9" t="s">
        <v>2570</v>
      </c>
      <c r="H488" s="15" t="s">
        <v>471</v>
      </c>
      <c r="J488" s="9" t="s">
        <v>2530</v>
      </c>
    </row>
    <row r="489" spans="2:10">
      <c r="B489" s="9" t="str">
        <f t="shared" si="28"/>
        <v>0x7F2A</v>
      </c>
      <c r="D489" s="9">
        <v>32554</v>
      </c>
      <c r="F489" s="9" t="s">
        <v>2571</v>
      </c>
      <c r="H489" s="15" t="s">
        <v>471</v>
      </c>
      <c r="J489" s="9" t="s">
        <v>2112</v>
      </c>
    </row>
    <row r="490" spans="2:10">
      <c r="B490" s="9" t="str">
        <f t="shared" si="28"/>
        <v>0x7F2B</v>
      </c>
      <c r="D490" s="9">
        <v>32555</v>
      </c>
      <c r="F490" s="9" t="s">
        <v>2572</v>
      </c>
      <c r="H490" s="15" t="s">
        <v>471</v>
      </c>
      <c r="J490" s="9" t="s">
        <v>2112</v>
      </c>
    </row>
    <row r="491" spans="2:10">
      <c r="B491" s="9" t="str">
        <f t="shared" si="28"/>
        <v>0x7F2C</v>
      </c>
      <c r="D491" s="9">
        <v>32556</v>
      </c>
      <c r="F491" s="9" t="s">
        <v>2573</v>
      </c>
      <c r="H491" s="15" t="s">
        <v>471</v>
      </c>
      <c r="J491" s="9" t="s">
        <v>2112</v>
      </c>
    </row>
    <row r="492" spans="2:10">
      <c r="B492" s="9" t="str">
        <f t="shared" si="28"/>
        <v>0x7F2D</v>
      </c>
      <c r="D492" s="9">
        <v>32557</v>
      </c>
      <c r="F492" s="9" t="s">
        <v>2574</v>
      </c>
      <c r="H492" s="15" t="s">
        <v>471</v>
      </c>
      <c r="J492" s="9" t="s">
        <v>2112</v>
      </c>
    </row>
    <row r="493" spans="2:10">
      <c r="B493" s="9" t="str">
        <f t="shared" si="28"/>
        <v>0x7F2E</v>
      </c>
      <c r="D493" s="9">
        <v>32558</v>
      </c>
      <c r="F493" s="9" t="s">
        <v>2575</v>
      </c>
      <c r="H493" s="15" t="s">
        <v>471</v>
      </c>
      <c r="J493" s="9" t="s">
        <v>2112</v>
      </c>
    </row>
    <row r="494" spans="2:10">
      <c r="B494" s="9" t="str">
        <f t="shared" si="28"/>
        <v>0x7F2F</v>
      </c>
      <c r="D494" s="9">
        <v>32559</v>
      </c>
      <c r="F494" s="9" t="s">
        <v>2576</v>
      </c>
      <c r="H494" s="15" t="s">
        <v>471</v>
      </c>
      <c r="J494" s="9" t="s">
        <v>2112</v>
      </c>
    </row>
    <row r="495" spans="2:10">
      <c r="B495" s="9" t="str">
        <f t="shared" si="28"/>
        <v>0x7F30</v>
      </c>
      <c r="D495" s="9">
        <v>32560</v>
      </c>
      <c r="F495" s="9" t="s">
        <v>2577</v>
      </c>
      <c r="H495" s="15" t="s">
        <v>471</v>
      </c>
      <c r="J495" s="9" t="s">
        <v>2112</v>
      </c>
    </row>
    <row r="496" spans="2:10">
      <c r="B496" s="9" t="str">
        <f t="shared" si="28"/>
        <v>0x7F31</v>
      </c>
      <c r="D496" s="9">
        <v>32561</v>
      </c>
      <c r="F496" s="9" t="s">
        <v>2578</v>
      </c>
      <c r="H496" s="15" t="s">
        <v>471</v>
      </c>
      <c r="J496" s="9" t="s">
        <v>2530</v>
      </c>
    </row>
    <row r="497" spans="2:10">
      <c r="B497" s="9" t="str">
        <f t="shared" si="28"/>
        <v>0x7F32</v>
      </c>
      <c r="D497" s="9">
        <v>32562</v>
      </c>
      <c r="F497" s="9" t="s">
        <v>2579</v>
      </c>
      <c r="H497" s="15" t="s">
        <v>471</v>
      </c>
      <c r="J497" s="9" t="s">
        <v>2112</v>
      </c>
    </row>
    <row r="498" spans="2:10">
      <c r="B498" s="9" t="str">
        <f t="shared" si="28"/>
        <v>0x7F33</v>
      </c>
      <c r="D498" s="9">
        <v>32563</v>
      </c>
      <c r="F498" s="9" t="s">
        <v>2580</v>
      </c>
      <c r="H498" s="15" t="s">
        <v>471</v>
      </c>
      <c r="J498" s="9" t="s">
        <v>2112</v>
      </c>
    </row>
    <row r="499" spans="2:10">
      <c r="B499" s="9" t="str">
        <f t="shared" si="28"/>
        <v>0x7F34</v>
      </c>
      <c r="D499" s="9">
        <v>32564</v>
      </c>
      <c r="F499" s="9" t="s">
        <v>2581</v>
      </c>
      <c r="H499" s="15" t="s">
        <v>471</v>
      </c>
      <c r="J499" s="9" t="s">
        <v>2112</v>
      </c>
    </row>
    <row r="500" spans="2:10">
      <c r="B500" s="9" t="str">
        <f t="shared" si="28"/>
        <v>0x7F35</v>
      </c>
      <c r="D500" s="9">
        <v>32565</v>
      </c>
      <c r="F500" s="9" t="s">
        <v>2582</v>
      </c>
      <c r="H500" s="15" t="s">
        <v>471</v>
      </c>
      <c r="J500" s="9" t="s">
        <v>2112</v>
      </c>
    </row>
    <row r="501" spans="2:10">
      <c r="B501" s="9" t="str">
        <f t="shared" si="28"/>
        <v>0x7F36</v>
      </c>
      <c r="D501" s="9">
        <v>32566</v>
      </c>
      <c r="F501" s="9" t="s">
        <v>2583</v>
      </c>
      <c r="H501" s="15" t="s">
        <v>471</v>
      </c>
      <c r="J501" s="9" t="s">
        <v>2112</v>
      </c>
    </row>
    <row r="502" spans="2:10">
      <c r="B502" s="9" t="str">
        <f t="shared" si="28"/>
        <v>0x7F37</v>
      </c>
      <c r="D502" s="9">
        <v>32567</v>
      </c>
      <c r="F502" s="9" t="s">
        <v>2584</v>
      </c>
      <c r="H502" s="15" t="s">
        <v>471</v>
      </c>
      <c r="J502" s="9" t="s">
        <v>2112</v>
      </c>
    </row>
    <row r="503" spans="2:10">
      <c r="B503" s="9" t="str">
        <f t="shared" si="28"/>
        <v>0x7F38</v>
      </c>
      <c r="D503" s="9">
        <v>32568</v>
      </c>
      <c r="F503" s="9" t="s">
        <v>2585</v>
      </c>
      <c r="H503" s="15" t="s">
        <v>471</v>
      </c>
      <c r="J503" s="9" t="s">
        <v>2112</v>
      </c>
    </row>
    <row r="504" spans="2:10">
      <c r="B504" s="9" t="str">
        <f t="shared" si="28"/>
        <v>0x7F39</v>
      </c>
      <c r="D504" s="9">
        <v>32569</v>
      </c>
      <c r="F504" s="9" t="s">
        <v>2586</v>
      </c>
      <c r="H504" s="15" t="s">
        <v>471</v>
      </c>
      <c r="J504" s="9" t="s">
        <v>2530</v>
      </c>
    </row>
    <row r="505" spans="2:10">
      <c r="B505" s="9" t="str">
        <f t="shared" si="28"/>
        <v>0x7F3A</v>
      </c>
      <c r="D505" s="9">
        <v>32570</v>
      </c>
      <c r="F505" s="9" t="s">
        <v>2587</v>
      </c>
      <c r="H505" s="15" t="s">
        <v>471</v>
      </c>
      <c r="J505" s="9" t="s">
        <v>2112</v>
      </c>
    </row>
    <row r="506" spans="2:10">
      <c r="B506" s="9" t="str">
        <f t="shared" si="28"/>
        <v>0x7F3B</v>
      </c>
      <c r="D506" s="9">
        <v>32571</v>
      </c>
      <c r="F506" s="9" t="s">
        <v>2588</v>
      </c>
      <c r="H506" s="15" t="s">
        <v>471</v>
      </c>
      <c r="J506" s="9" t="s">
        <v>2112</v>
      </c>
    </row>
    <row r="507" spans="2:10">
      <c r="B507" s="9" t="str">
        <f t="shared" si="28"/>
        <v>0x7F3C</v>
      </c>
      <c r="D507" s="9">
        <v>32572</v>
      </c>
      <c r="F507" s="9" t="s">
        <v>2589</v>
      </c>
      <c r="H507" s="15" t="s">
        <v>471</v>
      </c>
      <c r="J507" s="9" t="s">
        <v>2112</v>
      </c>
    </row>
    <row r="508" spans="2:10">
      <c r="B508" s="9" t="str">
        <f t="shared" si="28"/>
        <v>0x7F3D</v>
      </c>
      <c r="D508" s="9">
        <v>32573</v>
      </c>
      <c r="F508" s="9" t="s">
        <v>2590</v>
      </c>
      <c r="H508" s="15" t="s">
        <v>471</v>
      </c>
      <c r="J508" s="9" t="s">
        <v>2112</v>
      </c>
    </row>
    <row r="509" spans="2:10">
      <c r="B509" s="9" t="str">
        <f t="shared" si="28"/>
        <v>0x7F3E</v>
      </c>
      <c r="D509" s="9">
        <v>32574</v>
      </c>
      <c r="F509" s="9" t="s">
        <v>2591</v>
      </c>
      <c r="H509" s="15" t="s">
        <v>471</v>
      </c>
      <c r="J509" s="9" t="s">
        <v>2112</v>
      </c>
    </row>
    <row r="510" spans="2:10">
      <c r="B510" s="9" t="str">
        <f t="shared" si="28"/>
        <v>0x7F3F</v>
      </c>
      <c r="D510" s="9">
        <v>32575</v>
      </c>
      <c r="F510" s="9" t="s">
        <v>2592</v>
      </c>
      <c r="H510" s="15" t="s">
        <v>471</v>
      </c>
      <c r="J510" s="9" t="s">
        <v>2112</v>
      </c>
    </row>
    <row r="511" spans="2:10">
      <c r="B511" s="9" t="str">
        <f t="shared" ref="B511:B543" si="29">"0x"&amp;DEC2HEX(D511,4)</f>
        <v>0x7F40</v>
      </c>
      <c r="D511" s="9">
        <v>32576</v>
      </c>
      <c r="F511" s="9" t="s">
        <v>2593</v>
      </c>
      <c r="H511" s="15" t="s">
        <v>471</v>
      </c>
      <c r="J511" s="9" t="s">
        <v>2112</v>
      </c>
    </row>
    <row r="512" spans="2:10">
      <c r="B512" s="9" t="str">
        <f t="shared" si="29"/>
        <v>0x7F41</v>
      </c>
      <c r="D512" s="9">
        <v>32577</v>
      </c>
      <c r="F512" s="9" t="s">
        <v>2594</v>
      </c>
      <c r="H512" s="15" t="s">
        <v>471</v>
      </c>
      <c r="J512" s="9" t="s">
        <v>2530</v>
      </c>
    </row>
    <row r="513" spans="2:10">
      <c r="B513" s="9" t="str">
        <f t="shared" si="29"/>
        <v>0x7F42</v>
      </c>
      <c r="D513" s="9">
        <v>32578</v>
      </c>
      <c r="F513" s="9" t="s">
        <v>2595</v>
      </c>
      <c r="H513" s="15" t="s">
        <v>471</v>
      </c>
      <c r="J513" s="9" t="s">
        <v>2112</v>
      </c>
    </row>
    <row r="514" spans="2:10">
      <c r="B514" s="9" t="str">
        <f t="shared" si="29"/>
        <v>0x7F43</v>
      </c>
      <c r="D514" s="9">
        <v>32579</v>
      </c>
      <c r="F514" s="9" t="s">
        <v>2596</v>
      </c>
      <c r="H514" s="15" t="s">
        <v>471</v>
      </c>
      <c r="J514" s="9" t="s">
        <v>2112</v>
      </c>
    </row>
    <row r="515" spans="2:10">
      <c r="B515" s="9" t="str">
        <f t="shared" si="29"/>
        <v>0x7F44</v>
      </c>
      <c r="D515" s="9">
        <v>32580</v>
      </c>
      <c r="F515" s="9" t="s">
        <v>2597</v>
      </c>
      <c r="H515" s="15" t="s">
        <v>471</v>
      </c>
      <c r="J515" s="9" t="s">
        <v>2112</v>
      </c>
    </row>
    <row r="516" spans="2:10">
      <c r="B516" s="9" t="str">
        <f t="shared" si="29"/>
        <v>0x7F45</v>
      </c>
      <c r="D516" s="9">
        <v>32581</v>
      </c>
      <c r="F516" s="9" t="s">
        <v>2598</v>
      </c>
      <c r="H516" s="15" t="s">
        <v>471</v>
      </c>
      <c r="J516" s="9" t="s">
        <v>2112</v>
      </c>
    </row>
    <row r="517" spans="2:10">
      <c r="B517" s="9" t="str">
        <f t="shared" si="29"/>
        <v>0x7F46</v>
      </c>
      <c r="D517" s="9">
        <v>32582</v>
      </c>
      <c r="F517" s="9" t="s">
        <v>2599</v>
      </c>
      <c r="H517" s="15" t="s">
        <v>471</v>
      </c>
      <c r="J517" s="9" t="s">
        <v>2112</v>
      </c>
    </row>
    <row r="518" spans="2:10">
      <c r="B518" s="9" t="str">
        <f t="shared" si="29"/>
        <v>0x7F47</v>
      </c>
      <c r="D518" s="9">
        <v>32583</v>
      </c>
      <c r="F518" s="9" t="s">
        <v>2600</v>
      </c>
      <c r="H518" s="15" t="s">
        <v>471</v>
      </c>
      <c r="J518" s="9" t="s">
        <v>2112</v>
      </c>
    </row>
    <row r="519" spans="2:10">
      <c r="B519" s="9" t="str">
        <f t="shared" si="29"/>
        <v>0x7F48</v>
      </c>
      <c r="D519" s="9">
        <v>32584</v>
      </c>
      <c r="F519" s="9" t="s">
        <v>2601</v>
      </c>
      <c r="H519" s="15" t="s">
        <v>471</v>
      </c>
      <c r="J519" s="9" t="s">
        <v>2112</v>
      </c>
    </row>
    <row r="520" spans="2:10">
      <c r="B520" s="9" t="str">
        <f t="shared" si="29"/>
        <v>0x7F49</v>
      </c>
      <c r="D520" s="9">
        <v>32585</v>
      </c>
      <c r="F520" s="9" t="s">
        <v>2602</v>
      </c>
      <c r="H520" s="15" t="s">
        <v>471</v>
      </c>
      <c r="J520" s="9" t="s">
        <v>2530</v>
      </c>
    </row>
    <row r="521" spans="2:10">
      <c r="B521" s="9" t="str">
        <f t="shared" si="29"/>
        <v>0x7F4A</v>
      </c>
      <c r="D521" s="9">
        <v>32586</v>
      </c>
      <c r="F521" s="9" t="s">
        <v>2603</v>
      </c>
      <c r="H521" s="15" t="s">
        <v>471</v>
      </c>
      <c r="J521" s="9" t="s">
        <v>2112</v>
      </c>
    </row>
    <row r="522" spans="2:10">
      <c r="B522" s="9" t="str">
        <f t="shared" si="29"/>
        <v>0x7F4B</v>
      </c>
      <c r="D522" s="9">
        <v>32587</v>
      </c>
      <c r="F522" s="9" t="s">
        <v>2604</v>
      </c>
      <c r="H522" s="15" t="s">
        <v>471</v>
      </c>
      <c r="J522" s="9" t="s">
        <v>2112</v>
      </c>
    </row>
    <row r="523" spans="2:10">
      <c r="B523" s="9" t="str">
        <f t="shared" si="29"/>
        <v>0x7F4C</v>
      </c>
      <c r="D523" s="9">
        <v>32588</v>
      </c>
      <c r="F523" s="9" t="s">
        <v>2605</v>
      </c>
      <c r="H523" s="15" t="s">
        <v>471</v>
      </c>
      <c r="J523" s="9" t="s">
        <v>2112</v>
      </c>
    </row>
    <row r="524" spans="2:10">
      <c r="B524" s="9" t="str">
        <f t="shared" si="29"/>
        <v>0x7F4D</v>
      </c>
      <c r="D524" s="9">
        <v>32589</v>
      </c>
      <c r="F524" s="9" t="s">
        <v>2606</v>
      </c>
      <c r="H524" s="15" t="s">
        <v>471</v>
      </c>
      <c r="J524" s="9" t="s">
        <v>2112</v>
      </c>
    </row>
    <row r="525" spans="2:10">
      <c r="B525" s="9" t="str">
        <f t="shared" si="29"/>
        <v>0x7F4E</v>
      </c>
      <c r="D525" s="9">
        <v>32590</v>
      </c>
      <c r="F525" s="9" t="s">
        <v>2607</v>
      </c>
      <c r="H525" s="15" t="s">
        <v>471</v>
      </c>
      <c r="J525" s="9" t="s">
        <v>2112</v>
      </c>
    </row>
    <row r="526" spans="2:10">
      <c r="B526" s="9" t="str">
        <f t="shared" si="29"/>
        <v>0x7F4F</v>
      </c>
      <c r="D526" s="9">
        <v>32591</v>
      </c>
      <c r="F526" s="9" t="s">
        <v>2608</v>
      </c>
      <c r="H526" s="15" t="s">
        <v>471</v>
      </c>
      <c r="J526" s="9" t="s">
        <v>2112</v>
      </c>
    </row>
    <row r="527" spans="2:10">
      <c r="B527" s="9" t="str">
        <f t="shared" si="29"/>
        <v>0x7F50</v>
      </c>
      <c r="D527" s="9">
        <v>32592</v>
      </c>
      <c r="F527" s="9" t="s">
        <v>2609</v>
      </c>
      <c r="H527" s="15" t="s">
        <v>471</v>
      </c>
      <c r="J527" s="9" t="s">
        <v>2112</v>
      </c>
    </row>
    <row r="528" spans="2:10">
      <c r="B528" s="9" t="str">
        <f t="shared" si="29"/>
        <v>0x7F51</v>
      </c>
      <c r="D528" s="9">
        <v>32593</v>
      </c>
      <c r="F528" s="9" t="s">
        <v>2610</v>
      </c>
      <c r="H528" s="15" t="s">
        <v>471</v>
      </c>
      <c r="J528" s="9" t="s">
        <v>2530</v>
      </c>
    </row>
    <row r="529" spans="2:10">
      <c r="B529" s="9" t="str">
        <f t="shared" si="29"/>
        <v>0x7F52</v>
      </c>
      <c r="D529" s="9">
        <v>32594</v>
      </c>
      <c r="F529" s="9" t="s">
        <v>2611</v>
      </c>
      <c r="H529" s="15" t="s">
        <v>471</v>
      </c>
      <c r="J529" s="9" t="s">
        <v>2112</v>
      </c>
    </row>
    <row r="530" spans="2:10">
      <c r="B530" s="9" t="str">
        <f t="shared" si="29"/>
        <v>0x7F53</v>
      </c>
      <c r="D530" s="9">
        <v>32595</v>
      </c>
      <c r="F530" s="9" t="s">
        <v>2612</v>
      </c>
      <c r="H530" s="15" t="s">
        <v>471</v>
      </c>
      <c r="J530" s="9" t="s">
        <v>2112</v>
      </c>
    </row>
    <row r="531" spans="2:10">
      <c r="B531" s="9" t="str">
        <f t="shared" si="29"/>
        <v>0x7F54</v>
      </c>
      <c r="D531" s="9">
        <v>32596</v>
      </c>
      <c r="F531" s="9" t="s">
        <v>2613</v>
      </c>
      <c r="H531" s="15" t="s">
        <v>471</v>
      </c>
      <c r="J531" s="9" t="s">
        <v>2112</v>
      </c>
    </row>
    <row r="532" spans="2:10">
      <c r="B532" s="9" t="str">
        <f t="shared" si="29"/>
        <v>0x7F55</v>
      </c>
      <c r="D532" s="9">
        <v>32597</v>
      </c>
      <c r="F532" s="9" t="s">
        <v>2614</v>
      </c>
      <c r="H532" s="15" t="s">
        <v>471</v>
      </c>
      <c r="J532" s="9" t="s">
        <v>2112</v>
      </c>
    </row>
    <row r="533" spans="2:10">
      <c r="B533" s="9" t="str">
        <f t="shared" si="29"/>
        <v>0x7F56</v>
      </c>
      <c r="D533" s="9">
        <v>32598</v>
      </c>
      <c r="F533" s="9" t="s">
        <v>2615</v>
      </c>
      <c r="H533" s="15" t="s">
        <v>471</v>
      </c>
      <c r="J533" s="9" t="s">
        <v>2112</v>
      </c>
    </row>
    <row r="534" spans="2:10">
      <c r="B534" s="9" t="str">
        <f t="shared" si="29"/>
        <v>0x7F57</v>
      </c>
      <c r="D534" s="9">
        <v>32599</v>
      </c>
      <c r="F534" s="9" t="s">
        <v>2616</v>
      </c>
      <c r="H534" s="15" t="s">
        <v>471</v>
      </c>
      <c r="J534" s="9" t="s">
        <v>2112</v>
      </c>
    </row>
    <row r="535" spans="2:10">
      <c r="B535" s="9" t="str">
        <f t="shared" si="29"/>
        <v>0x7F58</v>
      </c>
      <c r="D535" s="9">
        <v>32600</v>
      </c>
      <c r="F535" s="9" t="s">
        <v>2617</v>
      </c>
      <c r="H535" s="15" t="s">
        <v>471</v>
      </c>
      <c r="J535" s="9" t="s">
        <v>2112</v>
      </c>
    </row>
    <row r="536" spans="2:10">
      <c r="B536" s="9" t="str">
        <f t="shared" si="29"/>
        <v>0x7F59</v>
      </c>
      <c r="D536" s="9">
        <v>32601</v>
      </c>
      <c r="F536" s="9" t="s">
        <v>2618</v>
      </c>
      <c r="H536" s="15" t="s">
        <v>471</v>
      </c>
      <c r="J536" s="9" t="s">
        <v>2530</v>
      </c>
    </row>
    <row r="537" spans="2:10">
      <c r="B537" s="9" t="str">
        <f t="shared" si="29"/>
        <v>0x7F5A</v>
      </c>
      <c r="D537" s="9">
        <v>32602</v>
      </c>
      <c r="F537" s="9" t="s">
        <v>2619</v>
      </c>
      <c r="H537" s="15" t="s">
        <v>471</v>
      </c>
      <c r="J537" s="9" t="s">
        <v>2112</v>
      </c>
    </row>
    <row r="538" spans="2:10">
      <c r="B538" s="9" t="str">
        <f t="shared" si="29"/>
        <v>0x7F5B</v>
      </c>
      <c r="D538" s="9">
        <v>32603</v>
      </c>
      <c r="F538" s="9" t="s">
        <v>2620</v>
      </c>
      <c r="H538" s="15" t="s">
        <v>471</v>
      </c>
      <c r="J538" s="9" t="s">
        <v>2112</v>
      </c>
    </row>
    <row r="539" spans="2:10">
      <c r="B539" s="9" t="str">
        <f t="shared" si="29"/>
        <v>0x7F5C</v>
      </c>
      <c r="D539" s="9">
        <v>32604</v>
      </c>
      <c r="F539" s="9" t="s">
        <v>2621</v>
      </c>
      <c r="H539" s="15" t="s">
        <v>471</v>
      </c>
      <c r="J539" s="9" t="s">
        <v>2112</v>
      </c>
    </row>
    <row r="540" spans="2:10">
      <c r="B540" s="9" t="str">
        <f t="shared" si="29"/>
        <v>0x7F5D</v>
      </c>
      <c r="D540" s="9">
        <v>32605</v>
      </c>
      <c r="F540" s="9" t="s">
        <v>2622</v>
      </c>
      <c r="H540" s="15" t="s">
        <v>471</v>
      </c>
      <c r="J540" s="9" t="s">
        <v>2112</v>
      </c>
    </row>
    <row r="541" spans="2:10">
      <c r="B541" s="9" t="str">
        <f t="shared" si="29"/>
        <v>0x7F5E</v>
      </c>
      <c r="D541" s="9">
        <v>32606</v>
      </c>
      <c r="F541" s="9" t="s">
        <v>2623</v>
      </c>
      <c r="H541" s="15" t="s">
        <v>471</v>
      </c>
      <c r="J541" s="9" t="s">
        <v>2112</v>
      </c>
    </row>
    <row r="542" spans="2:10">
      <c r="B542" s="9" t="str">
        <f t="shared" si="29"/>
        <v>0x7F5F</v>
      </c>
      <c r="D542" s="9">
        <v>32607</v>
      </c>
      <c r="F542" s="9" t="s">
        <v>2624</v>
      </c>
      <c r="H542" s="15" t="s">
        <v>471</v>
      </c>
      <c r="J542" s="9" t="s">
        <v>2112</v>
      </c>
    </row>
    <row r="543" spans="2:10">
      <c r="B543" s="9" t="str">
        <f t="shared" si="29"/>
        <v>0x7F60</v>
      </c>
      <c r="D543" s="9">
        <v>32608</v>
      </c>
      <c r="F543" s="9" t="s">
        <v>2625</v>
      </c>
      <c r="H543" s="15" t="s">
        <v>471</v>
      </c>
      <c r="J543" s="9" t="s">
        <v>2112</v>
      </c>
    </row>
  </sheetData>
  <phoneticPr fontId="4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B079F-895A-4527-A9CB-0D18146B4771}">
  <dimension ref="A1:M92"/>
  <sheetViews>
    <sheetView workbookViewId="0">
      <pane ySplit="1" topLeftCell="A2" activePane="bottomLeft" state="frozen"/>
      <selection pane="bottomLeft" activeCell="F18" sqref="F18"/>
    </sheetView>
  </sheetViews>
  <sheetFormatPr defaultColWidth="9" defaultRowHeight="12.75"/>
  <cols>
    <col min="1" max="1" width="40.140625" style="16" customWidth="1"/>
    <col min="2" max="2" width="9.140625" style="16" customWidth="1"/>
    <col min="3" max="3" width="8.42578125" style="16" customWidth="1"/>
    <col min="4" max="5" width="9" style="16"/>
    <col min="6" max="6" width="33.28515625" style="16" customWidth="1"/>
    <col min="7" max="7" width="13.140625" style="16" customWidth="1"/>
    <col min="8" max="8" width="9" style="16"/>
    <col min="9" max="9" width="7.140625" style="16" customWidth="1"/>
    <col min="10" max="10" width="33.5703125" style="1" customWidth="1"/>
    <col min="11" max="11" width="15.7109375" style="1" customWidth="1"/>
    <col min="12" max="12" width="14.85546875" style="1" customWidth="1"/>
    <col min="13" max="16384" width="9" style="16"/>
  </cols>
  <sheetData>
    <row r="1" spans="1:13" s="39" customFormat="1">
      <c r="A1" s="39" t="s">
        <v>27</v>
      </c>
      <c r="B1" s="39" t="s">
        <v>2626</v>
      </c>
      <c r="C1" s="39" t="s">
        <v>2627</v>
      </c>
      <c r="D1" s="39" t="s">
        <v>2628</v>
      </c>
      <c r="E1" s="39" t="s">
        <v>2629</v>
      </c>
      <c r="F1" s="39" t="s">
        <v>418</v>
      </c>
      <c r="G1" s="39" t="s">
        <v>2630</v>
      </c>
      <c r="H1" s="39" t="s">
        <v>2631</v>
      </c>
      <c r="I1" s="39" t="s">
        <v>2632</v>
      </c>
      <c r="J1" s="5" t="s">
        <v>422</v>
      </c>
      <c r="K1" s="5" t="s">
        <v>480</v>
      </c>
      <c r="L1" s="5" t="s">
        <v>481</v>
      </c>
    </row>
    <row r="2" spans="1:13">
      <c r="A2" s="26" t="s">
        <v>2633</v>
      </c>
    </row>
    <row r="3" spans="1:13">
      <c r="B3" s="16" t="str">
        <f t="shared" ref="B3:B11" si="0">"0x"&amp;DEC2HEX(D3,4)</f>
        <v>0xC350</v>
      </c>
      <c r="C3" s="16" t="str">
        <f t="shared" ref="C3:C11" si="1">"0x"&amp;DEC2HEX(E3,4)</f>
        <v>0xC351</v>
      </c>
      <c r="D3" s="16">
        <v>50000</v>
      </c>
      <c r="E3" s="16">
        <f t="shared" ref="E3:E11" si="2">D3+I3-1</f>
        <v>50001</v>
      </c>
      <c r="F3" s="16" t="s">
        <v>2634</v>
      </c>
      <c r="G3" s="16" t="s">
        <v>2635</v>
      </c>
      <c r="H3" s="16" t="s">
        <v>427</v>
      </c>
      <c r="I3" s="16">
        <v>2</v>
      </c>
      <c r="J3" s="1" t="s">
        <v>2636</v>
      </c>
      <c r="L3" s="1" t="s">
        <v>2637</v>
      </c>
    </row>
    <row r="4" spans="1:13">
      <c r="B4" s="16" t="str">
        <f t="shared" si="0"/>
        <v>0xC352</v>
      </c>
      <c r="C4" s="16" t="str">
        <f t="shared" si="1"/>
        <v>0xC352</v>
      </c>
      <c r="D4" s="16">
        <f t="shared" ref="D4:D11" si="3">D3+I3</f>
        <v>50002</v>
      </c>
      <c r="E4" s="16">
        <f t="shared" si="2"/>
        <v>50002</v>
      </c>
      <c r="F4" s="16" t="s">
        <v>2638</v>
      </c>
      <c r="G4" s="16" t="s">
        <v>2635</v>
      </c>
      <c r="H4" s="16" t="s">
        <v>427</v>
      </c>
      <c r="I4" s="16">
        <v>1</v>
      </c>
      <c r="J4" s="1">
        <v>1</v>
      </c>
      <c r="L4" s="1" t="s">
        <v>2637</v>
      </c>
    </row>
    <row r="5" spans="1:13">
      <c r="B5" s="16" t="str">
        <f t="shared" si="0"/>
        <v>0xC353</v>
      </c>
      <c r="C5" s="16" t="str">
        <f t="shared" si="1"/>
        <v>0xC353</v>
      </c>
      <c r="D5" s="16">
        <f t="shared" si="3"/>
        <v>50003</v>
      </c>
      <c r="E5" s="16">
        <f t="shared" si="2"/>
        <v>50003</v>
      </c>
      <c r="F5" s="16" t="s">
        <v>2639</v>
      </c>
      <c r="G5" s="16" t="s">
        <v>2635</v>
      </c>
      <c r="H5" s="16" t="s">
        <v>427</v>
      </c>
      <c r="I5" s="16">
        <v>1</v>
      </c>
      <c r="J5" s="1">
        <v>65</v>
      </c>
      <c r="L5" s="1" t="s">
        <v>2637</v>
      </c>
    </row>
    <row r="6" spans="1:13" ht="38.25">
      <c r="B6" s="16" t="str">
        <f t="shared" si="0"/>
        <v>0xC354</v>
      </c>
      <c r="C6" s="16" t="str">
        <f t="shared" si="1"/>
        <v>0xC363</v>
      </c>
      <c r="D6" s="16">
        <f t="shared" si="3"/>
        <v>50004</v>
      </c>
      <c r="E6" s="16">
        <f t="shared" si="2"/>
        <v>50019</v>
      </c>
      <c r="F6" s="16" t="s">
        <v>2640</v>
      </c>
      <c r="G6" s="16" t="s">
        <v>2641</v>
      </c>
      <c r="H6" s="16" t="s">
        <v>427</v>
      </c>
      <c r="I6" s="16">
        <v>16</v>
      </c>
      <c r="J6" s="1" t="s">
        <v>2642</v>
      </c>
      <c r="K6" s="1" t="s">
        <v>2643</v>
      </c>
      <c r="L6" s="1" t="s">
        <v>2637</v>
      </c>
    </row>
    <row r="7" spans="1:13" ht="44.25" customHeight="1">
      <c r="B7" s="16" t="str">
        <f t="shared" si="0"/>
        <v>0xC364</v>
      </c>
      <c r="C7" s="16" t="str">
        <f t="shared" si="1"/>
        <v>0xC373</v>
      </c>
      <c r="D7" s="16">
        <f t="shared" si="3"/>
        <v>50020</v>
      </c>
      <c r="E7" s="16">
        <f t="shared" si="2"/>
        <v>50035</v>
      </c>
      <c r="F7" s="16" t="s">
        <v>2644</v>
      </c>
      <c r="G7" s="16" t="s">
        <v>2641</v>
      </c>
      <c r="H7" s="16" t="s">
        <v>427</v>
      </c>
      <c r="I7" s="16">
        <v>16</v>
      </c>
      <c r="J7" s="1" t="s">
        <v>2645</v>
      </c>
      <c r="K7" s="1" t="s">
        <v>2646</v>
      </c>
      <c r="L7" s="1" t="s">
        <v>2637</v>
      </c>
    </row>
    <row r="8" spans="1:13" ht="102">
      <c r="B8" s="16" t="str">
        <f t="shared" si="0"/>
        <v>0xC374</v>
      </c>
      <c r="C8" s="16" t="str">
        <f t="shared" si="1"/>
        <v>0xC37B</v>
      </c>
      <c r="D8" s="16">
        <f t="shared" si="3"/>
        <v>50036</v>
      </c>
      <c r="E8" s="16">
        <f t="shared" si="2"/>
        <v>50043</v>
      </c>
      <c r="F8" s="16" t="s">
        <v>2647</v>
      </c>
      <c r="G8" s="16" t="s">
        <v>2641</v>
      </c>
      <c r="H8" s="16" t="s">
        <v>427</v>
      </c>
      <c r="I8" s="16">
        <v>8</v>
      </c>
      <c r="J8" s="1" t="s">
        <v>2648</v>
      </c>
      <c r="K8" s="1" t="s">
        <v>2649</v>
      </c>
      <c r="L8" s="1" t="s">
        <v>2637</v>
      </c>
      <c r="M8" s="1" t="s">
        <v>2650</v>
      </c>
    </row>
    <row r="9" spans="1:13" ht="60.75" customHeight="1">
      <c r="B9" s="16" t="str">
        <f t="shared" si="0"/>
        <v>0xC37C</v>
      </c>
      <c r="C9" s="16" t="str">
        <f t="shared" si="1"/>
        <v>0xC383</v>
      </c>
      <c r="D9" s="16">
        <f t="shared" si="3"/>
        <v>50044</v>
      </c>
      <c r="E9" s="16">
        <f t="shared" si="2"/>
        <v>50051</v>
      </c>
      <c r="F9" s="16" t="s">
        <v>2651</v>
      </c>
      <c r="G9" s="16" t="s">
        <v>2641</v>
      </c>
      <c r="H9" s="16" t="s">
        <v>427</v>
      </c>
      <c r="I9" s="16">
        <v>8</v>
      </c>
      <c r="J9" s="1" t="s">
        <v>2652</v>
      </c>
      <c r="K9" s="1" t="s">
        <v>2653</v>
      </c>
      <c r="L9" s="1" t="s">
        <v>2637</v>
      </c>
    </row>
    <row r="10" spans="1:13">
      <c r="B10" s="16" t="str">
        <f t="shared" si="0"/>
        <v>0xC384</v>
      </c>
      <c r="C10" s="16" t="str">
        <f t="shared" si="1"/>
        <v>0xC393</v>
      </c>
      <c r="D10" s="16">
        <f t="shared" si="3"/>
        <v>50052</v>
      </c>
      <c r="E10" s="16">
        <f t="shared" si="2"/>
        <v>50067</v>
      </c>
      <c r="F10" s="16" t="s">
        <v>450</v>
      </c>
      <c r="G10" s="16" t="s">
        <v>2641</v>
      </c>
      <c r="H10" s="16" t="s">
        <v>427</v>
      </c>
      <c r="I10" s="16">
        <v>16</v>
      </c>
      <c r="J10" s="1" t="s">
        <v>2654</v>
      </c>
      <c r="L10" s="1" t="s">
        <v>2637</v>
      </c>
    </row>
    <row r="11" spans="1:13">
      <c r="B11" s="16" t="str">
        <f t="shared" si="0"/>
        <v>0xC394</v>
      </c>
      <c r="C11" s="16" t="str">
        <f t="shared" si="1"/>
        <v>0xC394</v>
      </c>
      <c r="D11" s="16">
        <f t="shared" si="3"/>
        <v>50068</v>
      </c>
      <c r="E11" s="16">
        <f t="shared" si="2"/>
        <v>50068</v>
      </c>
      <c r="F11" s="16" t="s">
        <v>2655</v>
      </c>
      <c r="G11" s="16" t="s">
        <v>639</v>
      </c>
      <c r="H11" s="16" t="s">
        <v>427</v>
      </c>
      <c r="I11" s="16">
        <v>1</v>
      </c>
      <c r="J11" s="1" t="s">
        <v>2656</v>
      </c>
      <c r="L11" s="1" t="s">
        <v>2637</v>
      </c>
    </row>
    <row r="12" spans="1:13">
      <c r="A12" s="26" t="s">
        <v>2657</v>
      </c>
    </row>
    <row r="13" spans="1:13" ht="89.25">
      <c r="B13" s="16" t="str">
        <f t="shared" ref="B13:B50" si="4">"0x"&amp;DEC2HEX(D13,4)</f>
        <v>0xC395</v>
      </c>
      <c r="C13" s="16" t="str">
        <f t="shared" ref="C13:C50" si="5">"0x"&amp;DEC2HEX(E13,4)</f>
        <v>0xC395</v>
      </c>
      <c r="D13" s="16">
        <f>E11+1</f>
        <v>50069</v>
      </c>
      <c r="E13" s="16">
        <f t="shared" ref="E13:E50" si="6">D13+I13-1</f>
        <v>50069</v>
      </c>
      <c r="F13" s="16" t="s">
        <v>2638</v>
      </c>
      <c r="G13" s="16" t="s">
        <v>2635</v>
      </c>
      <c r="H13" s="16" t="s">
        <v>427</v>
      </c>
      <c r="I13" s="16">
        <v>1</v>
      </c>
      <c r="J13" s="1" t="s">
        <v>2658</v>
      </c>
      <c r="L13" s="1" t="s">
        <v>2637</v>
      </c>
    </row>
    <row r="14" spans="1:13">
      <c r="B14" s="16" t="str">
        <f t="shared" si="4"/>
        <v>0xC396</v>
      </c>
      <c r="C14" s="16" t="str">
        <f t="shared" si="5"/>
        <v>0xC396</v>
      </c>
      <c r="D14" s="16">
        <f t="shared" ref="D14:D50" si="7">D13+I13</f>
        <v>50070</v>
      </c>
      <c r="E14" s="16">
        <f t="shared" si="6"/>
        <v>50070</v>
      </c>
      <c r="F14" s="16" t="s">
        <v>2659</v>
      </c>
      <c r="G14" s="16" t="s">
        <v>2635</v>
      </c>
      <c r="H14" s="16" t="s">
        <v>427</v>
      </c>
      <c r="I14" s="16">
        <v>1</v>
      </c>
      <c r="J14" s="1">
        <f>SUM(I15:I90)</f>
        <v>105</v>
      </c>
      <c r="L14" s="1" t="s">
        <v>2637</v>
      </c>
    </row>
    <row r="15" spans="1:13" ht="25.5">
      <c r="B15" s="16" t="str">
        <f t="shared" si="4"/>
        <v>0xC397</v>
      </c>
      <c r="C15" s="16" t="str">
        <f t="shared" si="5"/>
        <v>0xC397</v>
      </c>
      <c r="D15" s="16">
        <f t="shared" si="7"/>
        <v>50071</v>
      </c>
      <c r="E15" s="16">
        <f t="shared" si="6"/>
        <v>50071</v>
      </c>
      <c r="F15" s="1" t="s">
        <v>2660</v>
      </c>
      <c r="G15" s="16" t="s">
        <v>802</v>
      </c>
      <c r="H15" s="16" t="s">
        <v>427</v>
      </c>
      <c r="I15" s="16">
        <v>1</v>
      </c>
      <c r="J15" s="1" t="s">
        <v>2661</v>
      </c>
      <c r="L15" s="1" t="s">
        <v>2637</v>
      </c>
    </row>
    <row r="16" spans="1:13" ht="25.5">
      <c r="B16" s="16" t="str">
        <f t="shared" si="4"/>
        <v>0xC398</v>
      </c>
      <c r="C16" s="16" t="str">
        <f t="shared" si="5"/>
        <v>0xC398</v>
      </c>
      <c r="D16" s="16">
        <f t="shared" si="7"/>
        <v>50072</v>
      </c>
      <c r="E16" s="16">
        <f t="shared" si="6"/>
        <v>50072</v>
      </c>
      <c r="F16" s="1" t="s">
        <v>2662</v>
      </c>
      <c r="G16" s="16" t="s">
        <v>802</v>
      </c>
      <c r="H16" s="16" t="s">
        <v>427</v>
      </c>
      <c r="I16" s="16">
        <v>1</v>
      </c>
      <c r="J16" s="1" t="s">
        <v>2661</v>
      </c>
      <c r="K16" s="1" t="s">
        <v>2663</v>
      </c>
      <c r="L16" s="1" t="s">
        <v>2637</v>
      </c>
    </row>
    <row r="17" spans="2:12" ht="25.5">
      <c r="B17" s="16" t="str">
        <f t="shared" si="4"/>
        <v>0xC399</v>
      </c>
      <c r="C17" s="16" t="str">
        <f t="shared" si="5"/>
        <v>0xC399</v>
      </c>
      <c r="D17" s="16">
        <f t="shared" si="7"/>
        <v>50073</v>
      </c>
      <c r="E17" s="16">
        <f t="shared" si="6"/>
        <v>50073</v>
      </c>
      <c r="F17" s="1" t="s">
        <v>2664</v>
      </c>
      <c r="G17" s="16" t="s">
        <v>802</v>
      </c>
      <c r="H17" s="16" t="s">
        <v>427</v>
      </c>
      <c r="I17" s="16">
        <v>1</v>
      </c>
      <c r="J17" s="1" t="s">
        <v>2661</v>
      </c>
      <c r="L17" s="1" t="s">
        <v>2637</v>
      </c>
    </row>
    <row r="18" spans="2:12" ht="25.5">
      <c r="B18" s="16" t="str">
        <f t="shared" si="4"/>
        <v>0xC39A</v>
      </c>
      <c r="C18" s="16" t="str">
        <f t="shared" si="5"/>
        <v>0xC39A</v>
      </c>
      <c r="D18" s="16">
        <f t="shared" si="7"/>
        <v>50074</v>
      </c>
      <c r="E18" s="16">
        <f t="shared" si="6"/>
        <v>50074</v>
      </c>
      <c r="F18" s="1" t="s">
        <v>2665</v>
      </c>
      <c r="G18" s="16" t="s">
        <v>802</v>
      </c>
      <c r="H18" s="16" t="s">
        <v>427</v>
      </c>
      <c r="I18" s="16">
        <v>1</v>
      </c>
      <c r="J18" s="1" t="s">
        <v>2661</v>
      </c>
      <c r="L18" s="1" t="s">
        <v>2637</v>
      </c>
    </row>
    <row r="19" spans="2:12" ht="38.25">
      <c r="B19" s="16" t="str">
        <f t="shared" si="4"/>
        <v>0xC39B</v>
      </c>
      <c r="C19" s="16" t="str">
        <f t="shared" si="5"/>
        <v>0xC39B</v>
      </c>
      <c r="D19" s="16">
        <f t="shared" si="7"/>
        <v>50075</v>
      </c>
      <c r="E19" s="16">
        <f t="shared" si="6"/>
        <v>50075</v>
      </c>
      <c r="F19" s="1" t="s">
        <v>2666</v>
      </c>
      <c r="G19" s="16" t="s">
        <v>2667</v>
      </c>
      <c r="H19" s="16" t="s">
        <v>427</v>
      </c>
      <c r="I19" s="16">
        <v>1</v>
      </c>
      <c r="J19" s="1" t="s">
        <v>2668</v>
      </c>
      <c r="K19" s="17"/>
      <c r="L19" s="1" t="s">
        <v>2637</v>
      </c>
    </row>
    <row r="20" spans="2:12" ht="38.25">
      <c r="B20" s="16" t="str">
        <f t="shared" si="4"/>
        <v>0xC39C</v>
      </c>
      <c r="C20" s="16" t="str">
        <f t="shared" si="5"/>
        <v>0xC39C</v>
      </c>
      <c r="D20" s="16">
        <f t="shared" si="7"/>
        <v>50076</v>
      </c>
      <c r="E20" s="16">
        <f t="shared" si="6"/>
        <v>50076</v>
      </c>
      <c r="F20" s="1" t="s">
        <v>2669</v>
      </c>
      <c r="G20" s="16" t="s">
        <v>802</v>
      </c>
      <c r="H20" s="16" t="s">
        <v>427</v>
      </c>
      <c r="I20" s="16">
        <v>1</v>
      </c>
      <c r="J20" s="1" t="s">
        <v>2670</v>
      </c>
      <c r="L20" s="1" t="s">
        <v>2637</v>
      </c>
    </row>
    <row r="21" spans="2:12" ht="38.25">
      <c r="B21" s="16" t="str">
        <f t="shared" si="4"/>
        <v>0xC39D</v>
      </c>
      <c r="C21" s="16" t="str">
        <f t="shared" si="5"/>
        <v>0xC39D</v>
      </c>
      <c r="D21" s="16">
        <f t="shared" si="7"/>
        <v>50077</v>
      </c>
      <c r="E21" s="16">
        <f t="shared" si="6"/>
        <v>50077</v>
      </c>
      <c r="F21" s="1" t="s">
        <v>2671</v>
      </c>
      <c r="G21" s="16" t="s">
        <v>802</v>
      </c>
      <c r="H21" s="16" t="s">
        <v>427</v>
      </c>
      <c r="I21" s="16">
        <v>1</v>
      </c>
      <c r="J21" s="1" t="s">
        <v>2670</v>
      </c>
      <c r="L21" s="1" t="s">
        <v>2637</v>
      </c>
    </row>
    <row r="22" spans="2:12" ht="38.25">
      <c r="B22" s="16" t="str">
        <f t="shared" si="4"/>
        <v>0xC39E</v>
      </c>
      <c r="C22" s="16" t="str">
        <f t="shared" si="5"/>
        <v>0xC39E</v>
      </c>
      <c r="D22" s="16">
        <f t="shared" si="7"/>
        <v>50078</v>
      </c>
      <c r="E22" s="16">
        <f t="shared" si="6"/>
        <v>50078</v>
      </c>
      <c r="F22" s="1" t="s">
        <v>2672</v>
      </c>
      <c r="G22" s="16" t="s">
        <v>802</v>
      </c>
      <c r="H22" s="16" t="s">
        <v>427</v>
      </c>
      <c r="I22" s="16">
        <v>1</v>
      </c>
      <c r="J22" s="1" t="s">
        <v>2670</v>
      </c>
      <c r="L22" s="1" t="s">
        <v>2637</v>
      </c>
    </row>
    <row r="23" spans="2:12" ht="38.25">
      <c r="B23" s="16" t="str">
        <f t="shared" si="4"/>
        <v>0xC39F</v>
      </c>
      <c r="C23" s="16" t="str">
        <f t="shared" si="5"/>
        <v>0xC39F</v>
      </c>
      <c r="D23" s="16">
        <f t="shared" si="7"/>
        <v>50079</v>
      </c>
      <c r="E23" s="16">
        <f t="shared" si="6"/>
        <v>50079</v>
      </c>
      <c r="F23" s="1" t="s">
        <v>2673</v>
      </c>
      <c r="G23" s="16" t="s">
        <v>802</v>
      </c>
      <c r="H23" s="16" t="s">
        <v>427</v>
      </c>
      <c r="I23" s="16">
        <v>1</v>
      </c>
      <c r="J23" s="1" t="s">
        <v>2670</v>
      </c>
      <c r="L23" s="1" t="s">
        <v>2637</v>
      </c>
    </row>
    <row r="24" spans="2:12" ht="38.25">
      <c r="B24" s="16" t="str">
        <f t="shared" si="4"/>
        <v>0xC3A0</v>
      </c>
      <c r="C24" s="16" t="str">
        <f t="shared" si="5"/>
        <v>0xC3A0</v>
      </c>
      <c r="D24" s="16">
        <f t="shared" si="7"/>
        <v>50080</v>
      </c>
      <c r="E24" s="16">
        <f t="shared" si="6"/>
        <v>50080</v>
      </c>
      <c r="F24" s="1" t="s">
        <v>2674</v>
      </c>
      <c r="G24" s="16" t="s">
        <v>802</v>
      </c>
      <c r="H24" s="16" t="s">
        <v>427</v>
      </c>
      <c r="I24" s="16">
        <v>1</v>
      </c>
      <c r="J24" s="1" t="s">
        <v>2670</v>
      </c>
      <c r="L24" s="1" t="s">
        <v>2637</v>
      </c>
    </row>
    <row r="25" spans="2:12" ht="38.25">
      <c r="B25" s="16" t="str">
        <f t="shared" si="4"/>
        <v>0xC3A1</v>
      </c>
      <c r="C25" s="16" t="str">
        <f t="shared" si="5"/>
        <v>0xC3A1</v>
      </c>
      <c r="D25" s="16">
        <f t="shared" si="7"/>
        <v>50081</v>
      </c>
      <c r="E25" s="16">
        <f t="shared" si="6"/>
        <v>50081</v>
      </c>
      <c r="F25" s="1" t="s">
        <v>2675</v>
      </c>
      <c r="G25" s="16" t="s">
        <v>802</v>
      </c>
      <c r="H25" s="16" t="s">
        <v>427</v>
      </c>
      <c r="I25" s="16">
        <v>1</v>
      </c>
      <c r="J25" s="1" t="s">
        <v>2670</v>
      </c>
      <c r="L25" s="1" t="s">
        <v>2637</v>
      </c>
    </row>
    <row r="26" spans="2:12" ht="38.25">
      <c r="B26" s="16" t="str">
        <f t="shared" si="4"/>
        <v>0xC3A2</v>
      </c>
      <c r="C26" s="16" t="str">
        <f t="shared" si="5"/>
        <v>0xC3A2</v>
      </c>
      <c r="D26" s="16">
        <f t="shared" si="7"/>
        <v>50082</v>
      </c>
      <c r="E26" s="16">
        <f t="shared" si="6"/>
        <v>50082</v>
      </c>
      <c r="F26" s="1" t="s">
        <v>2676</v>
      </c>
      <c r="G26" s="16" t="s">
        <v>802</v>
      </c>
      <c r="H26" s="16" t="s">
        <v>427</v>
      </c>
      <c r="I26" s="16">
        <v>1</v>
      </c>
      <c r="J26" s="1" t="s">
        <v>2670</v>
      </c>
      <c r="L26" s="1" t="s">
        <v>2637</v>
      </c>
    </row>
    <row r="27" spans="2:12" ht="38.25">
      <c r="B27" s="16" t="str">
        <f t="shared" si="4"/>
        <v>0xC3A3</v>
      </c>
      <c r="C27" s="16" t="str">
        <f t="shared" si="5"/>
        <v>0xC3A3</v>
      </c>
      <c r="D27" s="16">
        <f t="shared" si="7"/>
        <v>50083</v>
      </c>
      <c r="E27" s="16">
        <f t="shared" si="6"/>
        <v>50083</v>
      </c>
      <c r="F27" s="1" t="s">
        <v>2677</v>
      </c>
      <c r="G27" s="16" t="s">
        <v>802</v>
      </c>
      <c r="H27" s="16" t="s">
        <v>427</v>
      </c>
      <c r="I27" s="16">
        <v>1</v>
      </c>
      <c r="J27" s="1" t="s">
        <v>2670</v>
      </c>
      <c r="L27" s="1" t="s">
        <v>2637</v>
      </c>
    </row>
    <row r="28" spans="2:12" ht="25.5">
      <c r="B28" s="16" t="str">
        <f t="shared" si="4"/>
        <v>0xC3A4</v>
      </c>
      <c r="C28" s="16" t="str">
        <f t="shared" si="5"/>
        <v>0xC3A4</v>
      </c>
      <c r="D28" s="16">
        <f t="shared" si="7"/>
        <v>50084</v>
      </c>
      <c r="E28" s="16">
        <f t="shared" si="6"/>
        <v>50084</v>
      </c>
      <c r="F28" s="1" t="s">
        <v>2678</v>
      </c>
      <c r="G28" s="16" t="s">
        <v>2667</v>
      </c>
      <c r="H28" s="16" t="s">
        <v>427</v>
      </c>
      <c r="I28" s="16">
        <v>1</v>
      </c>
      <c r="J28" s="1" t="s">
        <v>2679</v>
      </c>
      <c r="K28" s="17"/>
      <c r="L28" s="1" t="s">
        <v>2637</v>
      </c>
    </row>
    <row r="29" spans="2:12">
      <c r="B29" s="16" t="str">
        <f t="shared" si="4"/>
        <v>0xC3A5</v>
      </c>
      <c r="C29" s="16" t="str">
        <f t="shared" si="5"/>
        <v>0xC3A5</v>
      </c>
      <c r="D29" s="16">
        <f t="shared" si="7"/>
        <v>50085</v>
      </c>
      <c r="E29" s="16">
        <f t="shared" si="6"/>
        <v>50085</v>
      </c>
      <c r="F29" s="1" t="s">
        <v>2680</v>
      </c>
      <c r="G29" s="16" t="s">
        <v>802</v>
      </c>
      <c r="H29" s="16" t="s">
        <v>427</v>
      </c>
      <c r="I29" s="16">
        <v>1</v>
      </c>
      <c r="J29" s="1" t="s">
        <v>2681</v>
      </c>
      <c r="L29" s="1" t="s">
        <v>2637</v>
      </c>
    </row>
    <row r="30" spans="2:12">
      <c r="B30" s="16" t="str">
        <f t="shared" si="4"/>
        <v>0xC3A6</v>
      </c>
      <c r="C30" s="16" t="str">
        <f t="shared" si="5"/>
        <v>0xC3A6</v>
      </c>
      <c r="D30" s="16">
        <f t="shared" si="7"/>
        <v>50086</v>
      </c>
      <c r="E30" s="16">
        <f t="shared" si="6"/>
        <v>50086</v>
      </c>
      <c r="F30" s="1" t="s">
        <v>2682</v>
      </c>
      <c r="G30" s="16" t="s">
        <v>2667</v>
      </c>
      <c r="H30" s="16" t="s">
        <v>427</v>
      </c>
      <c r="I30" s="16">
        <v>1</v>
      </c>
      <c r="J30" s="1" t="s">
        <v>2683</v>
      </c>
      <c r="L30" s="1" t="s">
        <v>2637</v>
      </c>
    </row>
    <row r="31" spans="2:12" ht="38.25">
      <c r="B31" s="16" t="str">
        <f t="shared" si="4"/>
        <v>0xC3A7</v>
      </c>
      <c r="C31" s="16" t="str">
        <f t="shared" si="5"/>
        <v>0xC3A7</v>
      </c>
      <c r="D31" s="16">
        <f t="shared" si="7"/>
        <v>50087</v>
      </c>
      <c r="E31" s="16">
        <f t="shared" si="6"/>
        <v>50087</v>
      </c>
      <c r="F31" s="1" t="s">
        <v>2684</v>
      </c>
      <c r="G31" s="16" t="s">
        <v>802</v>
      </c>
      <c r="H31" s="16" t="s">
        <v>427</v>
      </c>
      <c r="I31" s="16">
        <v>1</v>
      </c>
      <c r="J31" s="1" t="s">
        <v>2685</v>
      </c>
      <c r="K31" s="1" t="s">
        <v>2686</v>
      </c>
      <c r="L31" s="1" t="s">
        <v>2637</v>
      </c>
    </row>
    <row r="32" spans="2:12" ht="38.25">
      <c r="B32" s="16" t="str">
        <f t="shared" si="4"/>
        <v>0xC3A8</v>
      </c>
      <c r="C32" s="16" t="str">
        <f t="shared" si="5"/>
        <v>0xC3A8</v>
      </c>
      <c r="D32" s="16">
        <f t="shared" si="7"/>
        <v>50088</v>
      </c>
      <c r="E32" s="16">
        <f t="shared" si="6"/>
        <v>50088</v>
      </c>
      <c r="F32" s="1" t="s">
        <v>2687</v>
      </c>
      <c r="G32" s="16" t="s">
        <v>802</v>
      </c>
      <c r="H32" s="16" t="s">
        <v>427</v>
      </c>
      <c r="I32" s="16">
        <v>1</v>
      </c>
      <c r="J32" s="1" t="s">
        <v>2685</v>
      </c>
      <c r="K32" s="1" t="s">
        <v>2688</v>
      </c>
      <c r="L32" s="1" t="s">
        <v>2637</v>
      </c>
    </row>
    <row r="33" spans="2:12" ht="38.25">
      <c r="B33" s="16" t="str">
        <f t="shared" si="4"/>
        <v>0xC3A9</v>
      </c>
      <c r="C33" s="16" t="str">
        <f t="shared" si="5"/>
        <v>0xC3A9</v>
      </c>
      <c r="D33" s="16">
        <f t="shared" si="7"/>
        <v>50089</v>
      </c>
      <c r="E33" s="16">
        <f t="shared" si="6"/>
        <v>50089</v>
      </c>
      <c r="F33" s="1" t="s">
        <v>2689</v>
      </c>
      <c r="G33" s="16" t="s">
        <v>802</v>
      </c>
      <c r="H33" s="16" t="s">
        <v>427</v>
      </c>
      <c r="I33" s="16">
        <v>1</v>
      </c>
      <c r="J33" s="1" t="s">
        <v>2685</v>
      </c>
      <c r="L33" s="1" t="s">
        <v>2637</v>
      </c>
    </row>
    <row r="34" spans="2:12" ht="38.25">
      <c r="B34" s="16" t="str">
        <f t="shared" si="4"/>
        <v>0xC3AA</v>
      </c>
      <c r="C34" s="16" t="str">
        <f t="shared" si="5"/>
        <v>0xC3AA</v>
      </c>
      <c r="D34" s="16">
        <f t="shared" si="7"/>
        <v>50090</v>
      </c>
      <c r="E34" s="16">
        <f t="shared" si="6"/>
        <v>50090</v>
      </c>
      <c r="F34" s="1" t="s">
        <v>2690</v>
      </c>
      <c r="G34" s="16" t="s">
        <v>802</v>
      </c>
      <c r="H34" s="16" t="s">
        <v>427</v>
      </c>
      <c r="I34" s="16">
        <v>1</v>
      </c>
      <c r="J34" s="1" t="s">
        <v>2685</v>
      </c>
      <c r="L34" s="1" t="s">
        <v>2637</v>
      </c>
    </row>
    <row r="35" spans="2:12" ht="25.5">
      <c r="B35" s="16" t="str">
        <f t="shared" si="4"/>
        <v>0xC3AB</v>
      </c>
      <c r="C35" s="16" t="str">
        <f t="shared" si="5"/>
        <v>0xC3AB</v>
      </c>
      <c r="D35" s="16">
        <f t="shared" si="7"/>
        <v>50091</v>
      </c>
      <c r="E35" s="16">
        <f t="shared" si="6"/>
        <v>50091</v>
      </c>
      <c r="F35" s="1" t="s">
        <v>2691</v>
      </c>
      <c r="G35" s="16" t="s">
        <v>2667</v>
      </c>
      <c r="H35" s="16" t="s">
        <v>427</v>
      </c>
      <c r="I35" s="16">
        <v>1</v>
      </c>
      <c r="J35" s="1" t="s">
        <v>2692</v>
      </c>
      <c r="K35" s="17"/>
      <c r="L35" s="1" t="s">
        <v>2637</v>
      </c>
    </row>
    <row r="36" spans="2:12" ht="38.25">
      <c r="B36" s="16" t="str">
        <f t="shared" si="4"/>
        <v>0xC3AC</v>
      </c>
      <c r="C36" s="16" t="str">
        <f t="shared" si="5"/>
        <v>0xC3AC</v>
      </c>
      <c r="D36" s="16">
        <f t="shared" si="7"/>
        <v>50092</v>
      </c>
      <c r="E36" s="16">
        <f t="shared" si="6"/>
        <v>50092</v>
      </c>
      <c r="F36" s="1" t="s">
        <v>2693</v>
      </c>
      <c r="G36" s="16" t="s">
        <v>802</v>
      </c>
      <c r="H36" s="16" t="s">
        <v>427</v>
      </c>
      <c r="I36" s="16">
        <v>1</v>
      </c>
      <c r="J36" s="1" t="s">
        <v>2694</v>
      </c>
      <c r="K36" s="1" t="s">
        <v>2695</v>
      </c>
      <c r="L36" s="1" t="s">
        <v>2637</v>
      </c>
    </row>
    <row r="37" spans="2:12" ht="38.25">
      <c r="B37" s="16" t="str">
        <f t="shared" si="4"/>
        <v>0xC3AD</v>
      </c>
      <c r="C37" s="16" t="str">
        <f t="shared" si="5"/>
        <v>0xC3AD</v>
      </c>
      <c r="D37" s="16">
        <f t="shared" si="7"/>
        <v>50093</v>
      </c>
      <c r="E37" s="16">
        <f t="shared" si="6"/>
        <v>50093</v>
      </c>
      <c r="F37" s="1" t="s">
        <v>2696</v>
      </c>
      <c r="G37" s="16" t="s">
        <v>802</v>
      </c>
      <c r="H37" s="16" t="s">
        <v>427</v>
      </c>
      <c r="I37" s="16">
        <v>1</v>
      </c>
      <c r="J37" s="1" t="s">
        <v>2694</v>
      </c>
      <c r="L37" s="1" t="s">
        <v>2637</v>
      </c>
    </row>
    <row r="38" spans="2:12" ht="38.25">
      <c r="B38" s="16" t="str">
        <f t="shared" si="4"/>
        <v>0xC3AE</v>
      </c>
      <c r="C38" s="16" t="str">
        <f t="shared" si="5"/>
        <v>0xC3AE</v>
      </c>
      <c r="D38" s="16">
        <f t="shared" si="7"/>
        <v>50094</v>
      </c>
      <c r="E38" s="16">
        <f t="shared" si="6"/>
        <v>50094</v>
      </c>
      <c r="F38" s="1" t="s">
        <v>2697</v>
      </c>
      <c r="G38" s="16" t="s">
        <v>802</v>
      </c>
      <c r="H38" s="16" t="s">
        <v>427</v>
      </c>
      <c r="I38" s="16">
        <v>1</v>
      </c>
      <c r="J38" s="1" t="s">
        <v>2694</v>
      </c>
      <c r="L38" s="1" t="s">
        <v>2637</v>
      </c>
    </row>
    <row r="39" spans="2:12" ht="38.25">
      <c r="B39" s="16" t="str">
        <f t="shared" si="4"/>
        <v>0xC3AF</v>
      </c>
      <c r="C39" s="16" t="str">
        <f t="shared" si="5"/>
        <v>0xC3AF</v>
      </c>
      <c r="D39" s="16">
        <f t="shared" si="7"/>
        <v>50095</v>
      </c>
      <c r="E39" s="16">
        <f t="shared" si="6"/>
        <v>50095</v>
      </c>
      <c r="F39" s="1" t="s">
        <v>2698</v>
      </c>
      <c r="G39" s="16" t="s">
        <v>802</v>
      </c>
      <c r="H39" s="16" t="s">
        <v>427</v>
      </c>
      <c r="I39" s="16">
        <v>1</v>
      </c>
      <c r="J39" s="1" t="s">
        <v>2694</v>
      </c>
      <c r="L39" s="1" t="s">
        <v>2637</v>
      </c>
    </row>
    <row r="40" spans="2:12" ht="25.5">
      <c r="B40" s="16" t="str">
        <f t="shared" si="4"/>
        <v>0xC3B0</v>
      </c>
      <c r="C40" s="16" t="str">
        <f t="shared" si="5"/>
        <v>0xC3B0</v>
      </c>
      <c r="D40" s="16">
        <f t="shared" si="7"/>
        <v>50096</v>
      </c>
      <c r="E40" s="16">
        <f t="shared" si="6"/>
        <v>50096</v>
      </c>
      <c r="F40" s="1" t="s">
        <v>2699</v>
      </c>
      <c r="G40" s="16" t="s">
        <v>2667</v>
      </c>
      <c r="H40" s="16" t="s">
        <v>427</v>
      </c>
      <c r="I40" s="16">
        <v>1</v>
      </c>
      <c r="J40" s="1" t="s">
        <v>2700</v>
      </c>
      <c r="K40" s="17" t="s">
        <v>2701</v>
      </c>
      <c r="L40" s="1" t="s">
        <v>2637</v>
      </c>
    </row>
    <row r="41" spans="2:12" ht="38.25">
      <c r="B41" s="16" t="str">
        <f t="shared" si="4"/>
        <v>0xC3B1</v>
      </c>
      <c r="C41" s="16" t="str">
        <f t="shared" si="5"/>
        <v>0xC3B1</v>
      </c>
      <c r="D41" s="16">
        <f t="shared" si="7"/>
        <v>50097</v>
      </c>
      <c r="E41" s="16">
        <f t="shared" si="6"/>
        <v>50097</v>
      </c>
      <c r="F41" s="1" t="s">
        <v>2702</v>
      </c>
      <c r="G41" s="16" t="s">
        <v>802</v>
      </c>
      <c r="H41" s="16" t="s">
        <v>427</v>
      </c>
      <c r="I41" s="16">
        <v>1</v>
      </c>
      <c r="J41" s="1" t="s">
        <v>2703</v>
      </c>
      <c r="L41" s="1" t="s">
        <v>2637</v>
      </c>
    </row>
    <row r="42" spans="2:12" ht="38.25">
      <c r="B42" s="16" t="str">
        <f t="shared" si="4"/>
        <v>0xC3B2</v>
      </c>
      <c r="C42" s="16" t="str">
        <f t="shared" si="5"/>
        <v>0xC3B2</v>
      </c>
      <c r="D42" s="16">
        <f t="shared" si="7"/>
        <v>50098</v>
      </c>
      <c r="E42" s="16">
        <f t="shared" si="6"/>
        <v>50098</v>
      </c>
      <c r="F42" s="1" t="s">
        <v>2704</v>
      </c>
      <c r="G42" s="16" t="s">
        <v>802</v>
      </c>
      <c r="H42" s="16" t="s">
        <v>427</v>
      </c>
      <c r="I42" s="16">
        <v>1</v>
      </c>
      <c r="J42" s="1" t="s">
        <v>2703</v>
      </c>
      <c r="K42" s="17" t="s">
        <v>2705</v>
      </c>
      <c r="L42" s="1" t="s">
        <v>2637</v>
      </c>
    </row>
    <row r="43" spans="2:12" ht="38.25">
      <c r="B43" s="16" t="str">
        <f t="shared" si="4"/>
        <v>0xC3B3</v>
      </c>
      <c r="C43" s="16" t="str">
        <f t="shared" si="5"/>
        <v>0xC3B3</v>
      </c>
      <c r="D43" s="16">
        <f t="shared" si="7"/>
        <v>50099</v>
      </c>
      <c r="E43" s="16">
        <f t="shared" si="6"/>
        <v>50099</v>
      </c>
      <c r="F43" s="1" t="s">
        <v>2706</v>
      </c>
      <c r="G43" s="16" t="s">
        <v>802</v>
      </c>
      <c r="H43" s="16" t="s">
        <v>427</v>
      </c>
      <c r="I43" s="16">
        <v>1</v>
      </c>
      <c r="J43" s="1" t="s">
        <v>2703</v>
      </c>
      <c r="K43" s="1" t="s">
        <v>2707</v>
      </c>
      <c r="L43" s="1" t="s">
        <v>2637</v>
      </c>
    </row>
    <row r="44" spans="2:12" ht="38.25">
      <c r="B44" s="16" t="str">
        <f t="shared" si="4"/>
        <v>0xC3B4</v>
      </c>
      <c r="C44" s="16" t="str">
        <f t="shared" si="5"/>
        <v>0xC3B4</v>
      </c>
      <c r="D44" s="16">
        <f t="shared" si="7"/>
        <v>50100</v>
      </c>
      <c r="E44" s="16">
        <f t="shared" si="6"/>
        <v>50100</v>
      </c>
      <c r="F44" s="1" t="s">
        <v>2708</v>
      </c>
      <c r="G44" s="16" t="s">
        <v>802</v>
      </c>
      <c r="H44" s="16" t="s">
        <v>427</v>
      </c>
      <c r="I44" s="16">
        <v>1</v>
      </c>
      <c r="J44" s="1" t="s">
        <v>2703</v>
      </c>
      <c r="L44" s="1" t="s">
        <v>2637</v>
      </c>
    </row>
    <row r="45" spans="2:12" ht="25.5">
      <c r="B45" s="16" t="str">
        <f t="shared" si="4"/>
        <v>0xC3B5</v>
      </c>
      <c r="C45" s="16" t="str">
        <f t="shared" si="5"/>
        <v>0xC3B5</v>
      </c>
      <c r="D45" s="16">
        <f t="shared" si="7"/>
        <v>50101</v>
      </c>
      <c r="E45" s="16">
        <f t="shared" si="6"/>
        <v>50101</v>
      </c>
      <c r="F45" s="1" t="s">
        <v>2709</v>
      </c>
      <c r="G45" s="16" t="s">
        <v>2667</v>
      </c>
      <c r="H45" s="16" t="s">
        <v>427</v>
      </c>
      <c r="I45" s="16">
        <v>1</v>
      </c>
      <c r="J45" s="1" t="s">
        <v>2710</v>
      </c>
      <c r="K45" s="17" t="s">
        <v>2701</v>
      </c>
      <c r="L45" s="1" t="s">
        <v>2637</v>
      </c>
    </row>
    <row r="46" spans="2:12">
      <c r="B46" s="16" t="str">
        <f t="shared" si="4"/>
        <v>0xC3B6</v>
      </c>
      <c r="C46" s="16" t="str">
        <f t="shared" si="5"/>
        <v>0xC3B6</v>
      </c>
      <c r="D46" s="16">
        <f t="shared" si="7"/>
        <v>50102</v>
      </c>
      <c r="E46" s="16">
        <f t="shared" si="6"/>
        <v>50102</v>
      </c>
      <c r="F46" s="1" t="s">
        <v>2711</v>
      </c>
      <c r="G46" s="16" t="s">
        <v>802</v>
      </c>
      <c r="H46" s="16" t="s">
        <v>427</v>
      </c>
      <c r="I46" s="16">
        <v>1</v>
      </c>
      <c r="J46" s="1" t="s">
        <v>2712</v>
      </c>
      <c r="L46" s="1" t="s">
        <v>2637</v>
      </c>
    </row>
    <row r="47" spans="2:12">
      <c r="B47" s="16" t="str">
        <f t="shared" si="4"/>
        <v>0xC3B7</v>
      </c>
      <c r="C47" s="16" t="str">
        <f t="shared" si="5"/>
        <v>0xC3B7</v>
      </c>
      <c r="D47" s="16">
        <f t="shared" si="7"/>
        <v>50103</v>
      </c>
      <c r="E47" s="16">
        <f t="shared" si="6"/>
        <v>50103</v>
      </c>
      <c r="F47" s="1" t="s">
        <v>2713</v>
      </c>
      <c r="G47" s="16" t="s">
        <v>802</v>
      </c>
      <c r="H47" s="16" t="s">
        <v>427</v>
      </c>
      <c r="I47" s="16">
        <v>1</v>
      </c>
      <c r="J47" s="1" t="s">
        <v>2714</v>
      </c>
      <c r="L47" s="1" t="s">
        <v>2637</v>
      </c>
    </row>
    <row r="48" spans="2:12">
      <c r="B48" s="16" t="str">
        <f t="shared" si="4"/>
        <v>0xC3B8</v>
      </c>
      <c r="C48" s="16" t="str">
        <f t="shared" si="5"/>
        <v>0xC3B8</v>
      </c>
      <c r="D48" s="16">
        <f t="shared" si="7"/>
        <v>50104</v>
      </c>
      <c r="E48" s="16">
        <f t="shared" si="6"/>
        <v>50104</v>
      </c>
      <c r="F48" s="1" t="s">
        <v>2715</v>
      </c>
      <c r="G48" s="16" t="s">
        <v>802</v>
      </c>
      <c r="H48" s="16" t="s">
        <v>427</v>
      </c>
      <c r="I48" s="16">
        <v>1</v>
      </c>
      <c r="J48" s="1" t="s">
        <v>2714</v>
      </c>
      <c r="L48" s="1" t="s">
        <v>2637</v>
      </c>
    </row>
    <row r="49" spans="2:12">
      <c r="B49" s="16" t="str">
        <f t="shared" si="4"/>
        <v>0xC3B9</v>
      </c>
      <c r="C49" s="16" t="str">
        <f t="shared" si="5"/>
        <v>0xC3B9</v>
      </c>
      <c r="D49" s="16">
        <f t="shared" si="7"/>
        <v>50105</v>
      </c>
      <c r="E49" s="16">
        <f t="shared" si="6"/>
        <v>50105</v>
      </c>
      <c r="F49" s="1" t="s">
        <v>2716</v>
      </c>
      <c r="G49" s="16" t="s">
        <v>802</v>
      </c>
      <c r="H49" s="16" t="s">
        <v>427</v>
      </c>
      <c r="I49" s="16">
        <v>1</v>
      </c>
      <c r="J49" s="1" t="s">
        <v>2714</v>
      </c>
      <c r="L49" s="1" t="s">
        <v>2637</v>
      </c>
    </row>
    <row r="50" spans="2:12">
      <c r="B50" s="16" t="str">
        <f t="shared" si="4"/>
        <v>0xC3BA</v>
      </c>
      <c r="C50" s="16" t="str">
        <f t="shared" si="5"/>
        <v>0xC3BA</v>
      </c>
      <c r="D50" s="16">
        <f t="shared" si="7"/>
        <v>50106</v>
      </c>
      <c r="E50" s="16">
        <f t="shared" si="6"/>
        <v>50106</v>
      </c>
      <c r="F50" s="1" t="s">
        <v>2717</v>
      </c>
      <c r="G50" s="16" t="s">
        <v>2667</v>
      </c>
      <c r="H50" s="16" t="s">
        <v>427</v>
      </c>
      <c r="I50" s="16">
        <v>1</v>
      </c>
      <c r="J50" s="1" t="s">
        <v>2718</v>
      </c>
      <c r="L50" s="1" t="s">
        <v>2637</v>
      </c>
    </row>
    <row r="51" spans="2:12">
      <c r="F51" s="1"/>
    </row>
    <row r="52" spans="2:12" ht="38.25">
      <c r="B52" s="16" t="str">
        <f t="shared" ref="B52:B60" si="8">"0x"&amp;DEC2HEX(D52,4)</f>
        <v>0xC3BB</v>
      </c>
      <c r="C52" s="16" t="str">
        <f t="shared" ref="C52:C60" si="9">"0x"&amp;DEC2HEX(E52,4)</f>
        <v>0xC3BC</v>
      </c>
      <c r="D52" s="16">
        <f>D50+I50</f>
        <v>50107</v>
      </c>
      <c r="E52" s="16">
        <f t="shared" ref="E52:E60" si="10">D52+I52-1</f>
        <v>50108</v>
      </c>
      <c r="F52" s="1" t="s">
        <v>2719</v>
      </c>
      <c r="G52" s="16" t="s">
        <v>2720</v>
      </c>
      <c r="H52" s="16" t="s">
        <v>471</v>
      </c>
      <c r="I52" s="16">
        <v>2</v>
      </c>
      <c r="J52" s="1" t="s">
        <v>2721</v>
      </c>
      <c r="K52" s="6" t="s">
        <v>2722</v>
      </c>
      <c r="L52" s="1" t="s">
        <v>2637</v>
      </c>
    </row>
    <row r="53" spans="2:12" ht="51">
      <c r="B53" s="16" t="str">
        <f t="shared" si="8"/>
        <v>0xC3BD</v>
      </c>
      <c r="C53" s="16" t="str">
        <f t="shared" si="9"/>
        <v>0xC3BE</v>
      </c>
      <c r="D53" s="16">
        <f t="shared" ref="D53:D60" si="11">D52+I52</f>
        <v>50109</v>
      </c>
      <c r="E53" s="16">
        <f t="shared" si="10"/>
        <v>50110</v>
      </c>
      <c r="F53" s="1" t="s">
        <v>2723</v>
      </c>
      <c r="G53" s="16" t="s">
        <v>2720</v>
      </c>
      <c r="H53" s="16" t="s">
        <v>471</v>
      </c>
      <c r="I53" s="16">
        <v>2</v>
      </c>
      <c r="J53" s="1" t="s">
        <v>2724</v>
      </c>
      <c r="L53" s="1" t="s">
        <v>2637</v>
      </c>
    </row>
    <row r="54" spans="2:12" ht="51">
      <c r="B54" s="16" t="str">
        <f t="shared" si="8"/>
        <v>0xC3BF</v>
      </c>
      <c r="C54" s="16" t="str">
        <f t="shared" si="9"/>
        <v>0xC3C0</v>
      </c>
      <c r="D54" s="16">
        <f t="shared" si="11"/>
        <v>50111</v>
      </c>
      <c r="E54" s="16">
        <f t="shared" si="10"/>
        <v>50112</v>
      </c>
      <c r="F54" s="1" t="s">
        <v>2725</v>
      </c>
      <c r="G54" s="16" t="s">
        <v>2720</v>
      </c>
      <c r="H54" s="16" t="s">
        <v>471</v>
      </c>
      <c r="I54" s="16">
        <v>2</v>
      </c>
      <c r="J54" s="1" t="s">
        <v>2724</v>
      </c>
      <c r="L54" s="1" t="s">
        <v>2637</v>
      </c>
    </row>
    <row r="55" spans="2:12" ht="51">
      <c r="B55" s="16" t="str">
        <f t="shared" si="8"/>
        <v>0xC3C1</v>
      </c>
      <c r="C55" s="16" t="str">
        <f t="shared" si="9"/>
        <v>0xC3C2</v>
      </c>
      <c r="D55" s="16">
        <f t="shared" si="11"/>
        <v>50113</v>
      </c>
      <c r="E55" s="16">
        <f t="shared" si="10"/>
        <v>50114</v>
      </c>
      <c r="F55" s="1" t="s">
        <v>2726</v>
      </c>
      <c r="G55" s="16" t="s">
        <v>2720</v>
      </c>
      <c r="H55" s="16" t="s">
        <v>471</v>
      </c>
      <c r="I55" s="16">
        <v>2</v>
      </c>
      <c r="J55" s="1" t="s">
        <v>2724</v>
      </c>
      <c r="L55" s="1" t="s">
        <v>2637</v>
      </c>
    </row>
    <row r="56" spans="2:12" ht="38.25">
      <c r="B56" s="16" t="str">
        <f t="shared" si="8"/>
        <v>0xC3C3</v>
      </c>
      <c r="C56" s="16" t="str">
        <f t="shared" si="9"/>
        <v>0xC3C4</v>
      </c>
      <c r="D56" s="16">
        <f t="shared" si="11"/>
        <v>50115</v>
      </c>
      <c r="E56" s="16">
        <f t="shared" si="10"/>
        <v>50116</v>
      </c>
      <c r="F56" s="1" t="s">
        <v>2727</v>
      </c>
      <c r="G56" s="16" t="s">
        <v>2720</v>
      </c>
      <c r="H56" s="16" t="s">
        <v>471</v>
      </c>
      <c r="I56" s="16">
        <v>2</v>
      </c>
      <c r="J56" s="1" t="s">
        <v>2724</v>
      </c>
      <c r="K56" s="6" t="s">
        <v>2728</v>
      </c>
      <c r="L56" s="1" t="s">
        <v>2637</v>
      </c>
    </row>
    <row r="57" spans="2:12" ht="51">
      <c r="B57" s="16" t="str">
        <f t="shared" si="8"/>
        <v>0xC3C5</v>
      </c>
      <c r="C57" s="16" t="str">
        <f t="shared" si="9"/>
        <v>0xC3C6</v>
      </c>
      <c r="D57" s="16">
        <f t="shared" si="11"/>
        <v>50117</v>
      </c>
      <c r="E57" s="16">
        <f t="shared" si="10"/>
        <v>50118</v>
      </c>
      <c r="F57" s="1" t="s">
        <v>2729</v>
      </c>
      <c r="G57" s="16" t="s">
        <v>2720</v>
      </c>
      <c r="H57" s="16" t="s">
        <v>471</v>
      </c>
      <c r="I57" s="16">
        <v>2</v>
      </c>
      <c r="J57" s="1" t="s">
        <v>2724</v>
      </c>
      <c r="L57" s="1" t="s">
        <v>2637</v>
      </c>
    </row>
    <row r="58" spans="2:12" ht="51">
      <c r="B58" s="16" t="str">
        <f t="shared" si="8"/>
        <v>0xC3C7</v>
      </c>
      <c r="C58" s="16" t="str">
        <f t="shared" si="9"/>
        <v>0xC3C8</v>
      </c>
      <c r="D58" s="16">
        <f t="shared" si="11"/>
        <v>50119</v>
      </c>
      <c r="E58" s="16">
        <f t="shared" si="10"/>
        <v>50120</v>
      </c>
      <c r="F58" s="1" t="s">
        <v>2730</v>
      </c>
      <c r="G58" s="16" t="s">
        <v>2720</v>
      </c>
      <c r="H58" s="16" t="s">
        <v>471</v>
      </c>
      <c r="I58" s="16">
        <v>2</v>
      </c>
      <c r="J58" s="1" t="s">
        <v>2724</v>
      </c>
      <c r="L58" s="1" t="s">
        <v>2637</v>
      </c>
    </row>
    <row r="59" spans="2:12" ht="51">
      <c r="B59" s="16" t="str">
        <f t="shared" si="8"/>
        <v>0xC3C9</v>
      </c>
      <c r="C59" s="16" t="str">
        <f t="shared" si="9"/>
        <v>0xC3CA</v>
      </c>
      <c r="D59" s="16">
        <f t="shared" si="11"/>
        <v>50121</v>
      </c>
      <c r="E59" s="16">
        <f t="shared" si="10"/>
        <v>50122</v>
      </c>
      <c r="F59" s="1" t="s">
        <v>2731</v>
      </c>
      <c r="G59" s="16" t="s">
        <v>2720</v>
      </c>
      <c r="H59" s="16" t="s">
        <v>471</v>
      </c>
      <c r="I59" s="16">
        <v>2</v>
      </c>
      <c r="J59" s="1" t="s">
        <v>2724</v>
      </c>
      <c r="L59" s="1" t="s">
        <v>2637</v>
      </c>
    </row>
    <row r="60" spans="2:12" ht="38.25">
      <c r="B60" s="16" t="str">
        <f t="shared" si="8"/>
        <v>0xC3CB</v>
      </c>
      <c r="C60" s="16" t="str">
        <f t="shared" si="9"/>
        <v>0xC3CB</v>
      </c>
      <c r="D60" s="16">
        <f t="shared" si="11"/>
        <v>50123</v>
      </c>
      <c r="E60" s="16">
        <f t="shared" si="10"/>
        <v>50123</v>
      </c>
      <c r="F60" s="1" t="s">
        <v>2732</v>
      </c>
      <c r="G60" s="16" t="s">
        <v>2667</v>
      </c>
      <c r="H60" s="16" t="s">
        <v>427</v>
      </c>
      <c r="I60" s="16">
        <v>1</v>
      </c>
      <c r="J60" s="1" t="s">
        <v>2733</v>
      </c>
      <c r="L60" s="1" t="s">
        <v>2637</v>
      </c>
    </row>
    <row r="61" spans="2:12">
      <c r="F61" s="1"/>
    </row>
    <row r="62" spans="2:12" ht="25.5">
      <c r="B62" s="16" t="str">
        <f t="shared" ref="B62:B70" si="12">"0x"&amp;DEC2HEX(D62,4)</f>
        <v>0xC3CC</v>
      </c>
      <c r="C62" s="16" t="str">
        <f t="shared" ref="C62:C70" si="13">"0x"&amp;DEC2HEX(E62,4)</f>
        <v>0xC3CD</v>
      </c>
      <c r="D62" s="16">
        <f>D60+I60</f>
        <v>50124</v>
      </c>
      <c r="E62" s="16">
        <f t="shared" ref="E62:E70" si="14">D62+I62-1</f>
        <v>50125</v>
      </c>
      <c r="F62" s="1" t="s">
        <v>2734</v>
      </c>
      <c r="G62" s="16" t="s">
        <v>2720</v>
      </c>
      <c r="H62" s="16" t="s">
        <v>471</v>
      </c>
      <c r="I62" s="16">
        <v>2</v>
      </c>
      <c r="J62" s="1" t="s">
        <v>2735</v>
      </c>
      <c r="K62" s="6" t="s">
        <v>2736</v>
      </c>
    </row>
    <row r="63" spans="2:12" ht="25.5">
      <c r="B63" s="16" t="str">
        <f t="shared" si="12"/>
        <v>0xC3CE</v>
      </c>
      <c r="C63" s="16" t="str">
        <f t="shared" si="13"/>
        <v>0xC3CF</v>
      </c>
      <c r="D63" s="16">
        <f t="shared" ref="D63:D70" si="15">D62+I62</f>
        <v>50126</v>
      </c>
      <c r="E63" s="16">
        <f t="shared" si="14"/>
        <v>50127</v>
      </c>
      <c r="F63" s="1" t="s">
        <v>2737</v>
      </c>
      <c r="G63" s="16" t="s">
        <v>2720</v>
      </c>
      <c r="H63" s="16" t="s">
        <v>471</v>
      </c>
      <c r="I63" s="16">
        <v>2</v>
      </c>
      <c r="K63" s="6"/>
    </row>
    <row r="64" spans="2:12" ht="25.5">
      <c r="B64" s="16" t="str">
        <f t="shared" si="12"/>
        <v>0xC3D0</v>
      </c>
      <c r="C64" s="16" t="str">
        <f t="shared" si="13"/>
        <v>0xC3D1</v>
      </c>
      <c r="D64" s="16">
        <f t="shared" si="15"/>
        <v>50128</v>
      </c>
      <c r="E64" s="16">
        <f t="shared" si="14"/>
        <v>50129</v>
      </c>
      <c r="F64" s="1" t="s">
        <v>2738</v>
      </c>
      <c r="G64" s="16" t="s">
        <v>2720</v>
      </c>
      <c r="H64" s="16" t="s">
        <v>471</v>
      </c>
      <c r="I64" s="16">
        <v>2</v>
      </c>
      <c r="K64" s="6"/>
    </row>
    <row r="65" spans="2:12" ht="25.5">
      <c r="B65" s="16" t="str">
        <f t="shared" si="12"/>
        <v>0xC3D2</v>
      </c>
      <c r="C65" s="16" t="str">
        <f t="shared" si="13"/>
        <v>0xC3D3</v>
      </c>
      <c r="D65" s="16">
        <f t="shared" si="15"/>
        <v>50130</v>
      </c>
      <c r="E65" s="16">
        <f t="shared" si="14"/>
        <v>50131</v>
      </c>
      <c r="F65" s="1" t="s">
        <v>2739</v>
      </c>
      <c r="G65" s="16" t="s">
        <v>2720</v>
      </c>
      <c r="H65" s="16" t="s">
        <v>471</v>
      </c>
      <c r="I65" s="16">
        <v>2</v>
      </c>
      <c r="K65" s="6"/>
    </row>
    <row r="66" spans="2:12">
      <c r="B66" s="16" t="str">
        <f t="shared" si="12"/>
        <v>0xC3D4</v>
      </c>
      <c r="C66" s="16" t="str">
        <f t="shared" si="13"/>
        <v>0xC3D5</v>
      </c>
      <c r="D66" s="16">
        <f t="shared" si="15"/>
        <v>50132</v>
      </c>
      <c r="E66" s="16">
        <f t="shared" si="14"/>
        <v>50133</v>
      </c>
      <c r="F66" s="1" t="s">
        <v>2740</v>
      </c>
      <c r="G66" s="16" t="s">
        <v>2720</v>
      </c>
      <c r="H66" s="16" t="s">
        <v>471</v>
      </c>
      <c r="I66" s="16">
        <v>2</v>
      </c>
      <c r="K66" s="6" t="s">
        <v>2741</v>
      </c>
    </row>
    <row r="67" spans="2:12" ht="25.5">
      <c r="B67" s="16" t="str">
        <f t="shared" si="12"/>
        <v>0xC3D6</v>
      </c>
      <c r="C67" s="16" t="str">
        <f t="shared" si="13"/>
        <v>0xC3D7</v>
      </c>
      <c r="D67" s="16">
        <f t="shared" si="15"/>
        <v>50134</v>
      </c>
      <c r="E67" s="16">
        <f t="shared" si="14"/>
        <v>50135</v>
      </c>
      <c r="F67" s="1" t="s">
        <v>2742</v>
      </c>
      <c r="G67" s="16" t="s">
        <v>2720</v>
      </c>
      <c r="H67" s="16" t="s">
        <v>471</v>
      </c>
      <c r="I67" s="16">
        <v>2</v>
      </c>
    </row>
    <row r="68" spans="2:12" ht="25.5">
      <c r="B68" s="16" t="str">
        <f t="shared" si="12"/>
        <v>0xC3D8</v>
      </c>
      <c r="C68" s="16" t="str">
        <f t="shared" si="13"/>
        <v>0xC3D9</v>
      </c>
      <c r="D68" s="16">
        <f t="shared" si="15"/>
        <v>50136</v>
      </c>
      <c r="E68" s="16">
        <f t="shared" si="14"/>
        <v>50137</v>
      </c>
      <c r="F68" s="1" t="s">
        <v>2743</v>
      </c>
      <c r="G68" s="16" t="s">
        <v>2720</v>
      </c>
      <c r="H68" s="16" t="s">
        <v>471</v>
      </c>
      <c r="I68" s="16">
        <v>2</v>
      </c>
    </row>
    <row r="69" spans="2:12" ht="25.5">
      <c r="B69" s="16" t="str">
        <f t="shared" si="12"/>
        <v>0xC3DA</v>
      </c>
      <c r="C69" s="16" t="str">
        <f t="shared" si="13"/>
        <v>0xC3DB</v>
      </c>
      <c r="D69" s="16">
        <f t="shared" si="15"/>
        <v>50138</v>
      </c>
      <c r="E69" s="16">
        <f t="shared" si="14"/>
        <v>50139</v>
      </c>
      <c r="F69" s="1" t="s">
        <v>2744</v>
      </c>
      <c r="G69" s="16" t="s">
        <v>2720</v>
      </c>
      <c r="H69" s="16" t="s">
        <v>471</v>
      </c>
      <c r="I69" s="16">
        <v>2</v>
      </c>
    </row>
    <row r="70" spans="2:12" ht="38.25">
      <c r="B70" s="16" t="str">
        <f t="shared" si="12"/>
        <v>0xC3DC</v>
      </c>
      <c r="C70" s="16" t="str">
        <f t="shared" si="13"/>
        <v>0xC3DC</v>
      </c>
      <c r="D70" s="16">
        <f t="shared" si="15"/>
        <v>50140</v>
      </c>
      <c r="E70" s="16">
        <f t="shared" si="14"/>
        <v>50140</v>
      </c>
      <c r="F70" s="1" t="s">
        <v>2745</v>
      </c>
      <c r="G70" s="16" t="s">
        <v>2667</v>
      </c>
      <c r="H70" s="16" t="s">
        <v>427</v>
      </c>
      <c r="I70" s="16">
        <v>1</v>
      </c>
      <c r="J70" s="1" t="s">
        <v>2733</v>
      </c>
      <c r="L70" s="1" t="s">
        <v>2637</v>
      </c>
    </row>
    <row r="71" spans="2:12">
      <c r="F71" s="1"/>
    </row>
    <row r="72" spans="2:12" ht="25.5">
      <c r="B72" s="16" t="str">
        <f t="shared" ref="B72:B88" si="16">"0x"&amp;DEC2HEX(D72,4)</f>
        <v>0xC3DD</v>
      </c>
      <c r="C72" s="16" t="str">
        <f t="shared" ref="C72:C88" si="17">"0x"&amp;DEC2HEX(E72,4)</f>
        <v>0xC3DE</v>
      </c>
      <c r="D72" s="16">
        <f>D70+I70</f>
        <v>50141</v>
      </c>
      <c r="E72" s="16">
        <f t="shared" ref="E72:E88" si="18">D72+I72-1</f>
        <v>50142</v>
      </c>
      <c r="F72" s="1" t="s">
        <v>2746</v>
      </c>
      <c r="G72" s="16" t="s">
        <v>2720</v>
      </c>
      <c r="H72" s="16" t="s">
        <v>471</v>
      </c>
      <c r="I72" s="16">
        <v>2</v>
      </c>
    </row>
    <row r="73" spans="2:12" ht="25.5">
      <c r="B73" s="16" t="str">
        <f t="shared" si="16"/>
        <v>0xC3DF</v>
      </c>
      <c r="C73" s="16" t="str">
        <f t="shared" si="17"/>
        <v>0xC3E0</v>
      </c>
      <c r="D73" s="16">
        <f t="shared" ref="D73:D88" si="19">D72+I72</f>
        <v>50143</v>
      </c>
      <c r="E73" s="16">
        <f t="shared" si="18"/>
        <v>50144</v>
      </c>
      <c r="F73" s="1" t="s">
        <v>2747</v>
      </c>
      <c r="G73" s="16" t="s">
        <v>2720</v>
      </c>
      <c r="H73" s="16" t="s">
        <v>471</v>
      </c>
      <c r="I73" s="16">
        <v>2</v>
      </c>
    </row>
    <row r="74" spans="2:12" ht="25.5">
      <c r="B74" s="16" t="str">
        <f t="shared" si="16"/>
        <v>0xC3E1</v>
      </c>
      <c r="C74" s="16" t="str">
        <f t="shared" si="17"/>
        <v>0xC3E2</v>
      </c>
      <c r="D74" s="16">
        <f t="shared" si="19"/>
        <v>50145</v>
      </c>
      <c r="E74" s="16">
        <f t="shared" si="18"/>
        <v>50146</v>
      </c>
      <c r="F74" s="1" t="s">
        <v>2748</v>
      </c>
      <c r="G74" s="16" t="s">
        <v>2720</v>
      </c>
      <c r="H74" s="16" t="s">
        <v>471</v>
      </c>
      <c r="I74" s="16">
        <v>2</v>
      </c>
    </row>
    <row r="75" spans="2:12" ht="25.5">
      <c r="B75" s="16" t="str">
        <f t="shared" si="16"/>
        <v>0xC3E3</v>
      </c>
      <c r="C75" s="16" t="str">
        <f t="shared" si="17"/>
        <v>0xC3E4</v>
      </c>
      <c r="D75" s="16">
        <f t="shared" si="19"/>
        <v>50147</v>
      </c>
      <c r="E75" s="16">
        <f t="shared" si="18"/>
        <v>50148</v>
      </c>
      <c r="F75" s="1" t="s">
        <v>2749</v>
      </c>
      <c r="G75" s="16" t="s">
        <v>2720</v>
      </c>
      <c r="H75" s="16" t="s">
        <v>471</v>
      </c>
      <c r="I75" s="16">
        <v>2</v>
      </c>
    </row>
    <row r="76" spans="2:12" ht="25.5">
      <c r="B76" s="16" t="str">
        <f t="shared" si="16"/>
        <v>0xC3E5</v>
      </c>
      <c r="C76" s="16" t="str">
        <f t="shared" si="17"/>
        <v>0xC3E6</v>
      </c>
      <c r="D76" s="16">
        <f t="shared" si="19"/>
        <v>50149</v>
      </c>
      <c r="E76" s="16">
        <f t="shared" si="18"/>
        <v>50150</v>
      </c>
      <c r="F76" s="1" t="s">
        <v>2750</v>
      </c>
      <c r="G76" s="16" t="s">
        <v>2720</v>
      </c>
      <c r="H76" s="16" t="s">
        <v>471</v>
      </c>
      <c r="I76" s="16">
        <v>2</v>
      </c>
    </row>
    <row r="77" spans="2:12" ht="25.5">
      <c r="B77" s="16" t="str">
        <f t="shared" si="16"/>
        <v>0xC3E7</v>
      </c>
      <c r="C77" s="16" t="str">
        <f t="shared" si="17"/>
        <v>0xC3E8</v>
      </c>
      <c r="D77" s="16">
        <f t="shared" si="19"/>
        <v>50151</v>
      </c>
      <c r="E77" s="16">
        <f t="shared" si="18"/>
        <v>50152</v>
      </c>
      <c r="F77" s="1" t="s">
        <v>2751</v>
      </c>
      <c r="G77" s="16" t="s">
        <v>2720</v>
      </c>
      <c r="H77" s="16" t="s">
        <v>471</v>
      </c>
      <c r="I77" s="16">
        <v>2</v>
      </c>
    </row>
    <row r="78" spans="2:12" ht="25.5">
      <c r="B78" s="16" t="str">
        <f t="shared" si="16"/>
        <v>0xC3E9</v>
      </c>
      <c r="C78" s="16" t="str">
        <f t="shared" si="17"/>
        <v>0xC3EA</v>
      </c>
      <c r="D78" s="16">
        <f t="shared" si="19"/>
        <v>50153</v>
      </c>
      <c r="E78" s="16">
        <f t="shared" si="18"/>
        <v>50154</v>
      </c>
      <c r="F78" s="1" t="s">
        <v>2752</v>
      </c>
      <c r="G78" s="16" t="s">
        <v>2720</v>
      </c>
      <c r="H78" s="16" t="s">
        <v>471</v>
      </c>
      <c r="I78" s="16">
        <v>2</v>
      </c>
    </row>
    <row r="79" spans="2:12" ht="25.5">
      <c r="B79" s="16" t="str">
        <f t="shared" si="16"/>
        <v>0xC3EB</v>
      </c>
      <c r="C79" s="16" t="str">
        <f t="shared" si="17"/>
        <v>0xC3EC</v>
      </c>
      <c r="D79" s="16">
        <f t="shared" si="19"/>
        <v>50155</v>
      </c>
      <c r="E79" s="16">
        <f t="shared" si="18"/>
        <v>50156</v>
      </c>
      <c r="F79" s="1" t="s">
        <v>2753</v>
      </c>
      <c r="G79" s="16" t="s">
        <v>2720</v>
      </c>
      <c r="H79" s="16" t="s">
        <v>471</v>
      </c>
      <c r="I79" s="16">
        <v>2</v>
      </c>
    </row>
    <row r="80" spans="2:12" ht="25.5">
      <c r="B80" s="16" t="str">
        <f t="shared" si="16"/>
        <v>0xC3ED</v>
      </c>
      <c r="C80" s="16" t="str">
        <f t="shared" si="17"/>
        <v>0xC3EE</v>
      </c>
      <c r="D80" s="16">
        <f t="shared" si="19"/>
        <v>50157</v>
      </c>
      <c r="E80" s="16">
        <f t="shared" si="18"/>
        <v>50158</v>
      </c>
      <c r="F80" s="1" t="s">
        <v>2754</v>
      </c>
      <c r="G80" s="16" t="s">
        <v>2720</v>
      </c>
      <c r="H80" s="16" t="s">
        <v>471</v>
      </c>
      <c r="I80" s="16">
        <v>2</v>
      </c>
    </row>
    <row r="81" spans="2:12" ht="25.5">
      <c r="B81" s="16" t="str">
        <f t="shared" si="16"/>
        <v>0xC3EF</v>
      </c>
      <c r="C81" s="16" t="str">
        <f t="shared" si="17"/>
        <v>0xC3F0</v>
      </c>
      <c r="D81" s="16">
        <f t="shared" si="19"/>
        <v>50159</v>
      </c>
      <c r="E81" s="16">
        <f t="shared" si="18"/>
        <v>50160</v>
      </c>
      <c r="F81" s="1" t="s">
        <v>2755</v>
      </c>
      <c r="G81" s="16" t="s">
        <v>2720</v>
      </c>
      <c r="H81" s="16" t="s">
        <v>471</v>
      </c>
      <c r="I81" s="16">
        <v>2</v>
      </c>
    </row>
    <row r="82" spans="2:12" ht="25.5">
      <c r="B82" s="16" t="str">
        <f t="shared" si="16"/>
        <v>0xC3F1</v>
      </c>
      <c r="C82" s="16" t="str">
        <f t="shared" si="17"/>
        <v>0xC3F2</v>
      </c>
      <c r="D82" s="16">
        <f t="shared" si="19"/>
        <v>50161</v>
      </c>
      <c r="E82" s="16">
        <f t="shared" si="18"/>
        <v>50162</v>
      </c>
      <c r="F82" s="1" t="s">
        <v>2756</v>
      </c>
      <c r="G82" s="16" t="s">
        <v>2720</v>
      </c>
      <c r="H82" s="16" t="s">
        <v>471</v>
      </c>
      <c r="I82" s="16">
        <v>2</v>
      </c>
    </row>
    <row r="83" spans="2:12" ht="25.5">
      <c r="B83" s="16" t="str">
        <f t="shared" si="16"/>
        <v>0xC3F3</v>
      </c>
      <c r="C83" s="16" t="str">
        <f t="shared" si="17"/>
        <v>0xC3F4</v>
      </c>
      <c r="D83" s="16">
        <f t="shared" si="19"/>
        <v>50163</v>
      </c>
      <c r="E83" s="16">
        <f t="shared" si="18"/>
        <v>50164</v>
      </c>
      <c r="F83" s="1" t="s">
        <v>2757</v>
      </c>
      <c r="G83" s="16" t="s">
        <v>2720</v>
      </c>
      <c r="H83" s="16" t="s">
        <v>471</v>
      </c>
      <c r="I83" s="16">
        <v>2</v>
      </c>
      <c r="K83" s="16"/>
      <c r="L83" s="16"/>
    </row>
    <row r="84" spans="2:12" ht="25.5">
      <c r="B84" s="16" t="str">
        <f t="shared" si="16"/>
        <v>0xC3F5</v>
      </c>
      <c r="C84" s="16" t="str">
        <f t="shared" si="17"/>
        <v>0xC3F6</v>
      </c>
      <c r="D84" s="16">
        <f t="shared" si="19"/>
        <v>50165</v>
      </c>
      <c r="E84" s="16">
        <f t="shared" si="18"/>
        <v>50166</v>
      </c>
      <c r="F84" s="1" t="s">
        <v>2758</v>
      </c>
      <c r="G84" s="16" t="s">
        <v>2720</v>
      </c>
      <c r="H84" s="16" t="s">
        <v>471</v>
      </c>
      <c r="I84" s="16">
        <v>2</v>
      </c>
      <c r="K84" s="16"/>
      <c r="L84" s="16"/>
    </row>
    <row r="85" spans="2:12" ht="25.5">
      <c r="B85" s="16" t="str">
        <f t="shared" si="16"/>
        <v>0xC3F7</v>
      </c>
      <c r="C85" s="16" t="str">
        <f t="shared" si="17"/>
        <v>0xC3F8</v>
      </c>
      <c r="D85" s="16">
        <f t="shared" si="19"/>
        <v>50167</v>
      </c>
      <c r="E85" s="16">
        <f t="shared" si="18"/>
        <v>50168</v>
      </c>
      <c r="F85" s="1" t="s">
        <v>2759</v>
      </c>
      <c r="G85" s="16" t="s">
        <v>2720</v>
      </c>
      <c r="H85" s="16" t="s">
        <v>471</v>
      </c>
      <c r="I85" s="16">
        <v>2</v>
      </c>
      <c r="K85" s="16"/>
      <c r="L85" s="16"/>
    </row>
    <row r="86" spans="2:12" ht="25.5">
      <c r="B86" s="16" t="str">
        <f t="shared" si="16"/>
        <v>0xC3F9</v>
      </c>
      <c r="C86" s="16" t="str">
        <f t="shared" si="17"/>
        <v>0xC3FA</v>
      </c>
      <c r="D86" s="16">
        <f t="shared" si="19"/>
        <v>50169</v>
      </c>
      <c r="E86" s="16">
        <f t="shared" si="18"/>
        <v>50170</v>
      </c>
      <c r="F86" s="1" t="s">
        <v>2760</v>
      </c>
      <c r="G86" s="16" t="s">
        <v>2720</v>
      </c>
      <c r="H86" s="16" t="s">
        <v>471</v>
      </c>
      <c r="I86" s="16">
        <v>2</v>
      </c>
      <c r="K86" s="16"/>
      <c r="L86" s="16"/>
    </row>
    <row r="87" spans="2:12" ht="25.5">
      <c r="B87" s="16" t="str">
        <f t="shared" si="16"/>
        <v>0xC3FB</v>
      </c>
      <c r="C87" s="16" t="str">
        <f t="shared" si="17"/>
        <v>0xC3FC</v>
      </c>
      <c r="D87" s="16">
        <f t="shared" si="19"/>
        <v>50171</v>
      </c>
      <c r="E87" s="16">
        <f t="shared" si="18"/>
        <v>50172</v>
      </c>
      <c r="F87" s="1" t="s">
        <v>2761</v>
      </c>
      <c r="G87" s="16" t="s">
        <v>2720</v>
      </c>
      <c r="H87" s="16" t="s">
        <v>471</v>
      </c>
      <c r="I87" s="16">
        <v>2</v>
      </c>
      <c r="K87" s="16"/>
      <c r="L87" s="16"/>
    </row>
    <row r="88" spans="2:12" ht="38.25">
      <c r="B88" s="16" t="str">
        <f t="shared" si="16"/>
        <v>0xC3FD</v>
      </c>
      <c r="C88" s="16" t="str">
        <f t="shared" si="17"/>
        <v>0xC3FD</v>
      </c>
      <c r="D88" s="16">
        <f t="shared" si="19"/>
        <v>50173</v>
      </c>
      <c r="E88" s="16">
        <f t="shared" si="18"/>
        <v>50173</v>
      </c>
      <c r="F88" s="1" t="s">
        <v>2762</v>
      </c>
      <c r="G88" s="16" t="s">
        <v>2667</v>
      </c>
      <c r="H88" s="16" t="s">
        <v>427</v>
      </c>
      <c r="I88" s="16">
        <v>1</v>
      </c>
      <c r="J88" s="1" t="s">
        <v>2733</v>
      </c>
      <c r="K88" s="16"/>
      <c r="L88" s="16"/>
    </row>
    <row r="89" spans="2:12">
      <c r="F89" s="1"/>
      <c r="K89" s="16"/>
      <c r="L89" s="16"/>
    </row>
    <row r="90" spans="2:12">
      <c r="B90" s="16" t="str">
        <f t="shared" ref="B90:C92" si="20">"0x"&amp;DEC2HEX(D90,4)</f>
        <v>0xC3FE</v>
      </c>
      <c r="C90" s="16" t="str">
        <f t="shared" si="20"/>
        <v>0xC3FF</v>
      </c>
      <c r="D90" s="16">
        <f>D88+I88</f>
        <v>50174</v>
      </c>
      <c r="E90" s="16">
        <f>D90+I90-1</f>
        <v>50175</v>
      </c>
      <c r="F90" s="1" t="s">
        <v>2763</v>
      </c>
      <c r="G90" s="16" t="s">
        <v>2764</v>
      </c>
      <c r="H90" s="16" t="s">
        <v>427</v>
      </c>
      <c r="I90" s="16">
        <v>2</v>
      </c>
      <c r="J90" s="1">
        <v>0</v>
      </c>
      <c r="K90" s="16"/>
      <c r="L90" s="16"/>
    </row>
    <row r="91" spans="2:12">
      <c r="B91" s="16" t="str">
        <f t="shared" si="20"/>
        <v>0xC400</v>
      </c>
      <c r="C91" s="16" t="str">
        <f t="shared" si="20"/>
        <v>0xC400</v>
      </c>
      <c r="D91" s="16">
        <f>D90+I90</f>
        <v>50176</v>
      </c>
      <c r="E91" s="16">
        <f>D91+I91-1</f>
        <v>50176</v>
      </c>
      <c r="F91" s="1" t="s">
        <v>2765</v>
      </c>
      <c r="G91" s="16" t="s">
        <v>2635</v>
      </c>
      <c r="I91" s="16">
        <v>1</v>
      </c>
      <c r="J91" s="1" t="s">
        <v>2766</v>
      </c>
      <c r="K91" s="16"/>
      <c r="L91" s="16"/>
    </row>
    <row r="92" spans="2:12">
      <c r="B92" s="16" t="str">
        <f t="shared" si="20"/>
        <v>0xC401</v>
      </c>
      <c r="C92" s="16" t="str">
        <f t="shared" si="20"/>
        <v>0xC401</v>
      </c>
      <c r="D92" s="16">
        <f>D91+I91</f>
        <v>50177</v>
      </c>
      <c r="E92" s="16">
        <f>D92+I92-1</f>
        <v>50177</v>
      </c>
      <c r="F92" s="1" t="s">
        <v>2767</v>
      </c>
      <c r="G92" s="16" t="s">
        <v>2635</v>
      </c>
      <c r="I92" s="16">
        <v>1</v>
      </c>
      <c r="J92" s="1" t="s">
        <v>409</v>
      </c>
      <c r="K92" s="16"/>
      <c r="L92" s="16"/>
    </row>
  </sheetData>
  <phoneticPr fontId="4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53"/>
  <sheetViews>
    <sheetView topLeftCell="A4" workbookViewId="0">
      <selection activeCell="E27" sqref="E27:G27"/>
    </sheetView>
  </sheetViews>
  <sheetFormatPr defaultColWidth="9" defaultRowHeight="12.75"/>
  <cols>
    <col min="1" max="1" width="32.28515625" style="26" customWidth="1"/>
    <col min="2" max="2" width="9" style="16"/>
    <col min="3" max="3" width="15.85546875" style="16" customWidth="1"/>
    <col min="4" max="4" width="9" style="16"/>
    <col min="5" max="5" width="16.140625" style="16" customWidth="1"/>
    <col min="6" max="6" width="14.42578125" style="16" customWidth="1"/>
    <col min="7" max="7" width="9" style="16"/>
    <col min="8" max="8" width="38.5703125" style="16" customWidth="1"/>
    <col min="9" max="16384" width="9" style="16"/>
  </cols>
  <sheetData>
    <row r="1" spans="1:7">
      <c r="A1" s="26" t="s">
        <v>2768</v>
      </c>
    </row>
    <row r="3" spans="1:7">
      <c r="A3" s="41" t="s">
        <v>2769</v>
      </c>
      <c r="B3" s="138" t="s">
        <v>2770</v>
      </c>
      <c r="C3" s="138"/>
      <c r="D3" s="138"/>
      <c r="E3" s="138" t="s">
        <v>2771</v>
      </c>
      <c r="F3" s="138"/>
      <c r="G3" s="139"/>
    </row>
    <row r="4" spans="1:7">
      <c r="A4" s="33"/>
      <c r="B4" s="33" t="s">
        <v>2772</v>
      </c>
      <c r="C4" s="33" t="s">
        <v>2773</v>
      </c>
      <c r="D4" s="33" t="s">
        <v>2774</v>
      </c>
      <c r="E4" s="33" t="s">
        <v>2772</v>
      </c>
      <c r="F4" s="33" t="s">
        <v>2773</v>
      </c>
      <c r="G4" s="33" t="s">
        <v>2774</v>
      </c>
    </row>
    <row r="5" spans="1:7">
      <c r="A5" s="25" t="s">
        <v>2775</v>
      </c>
      <c r="B5" s="24" t="s">
        <v>2776</v>
      </c>
      <c r="C5" s="24" t="s">
        <v>2777</v>
      </c>
      <c r="D5" s="24" t="s">
        <v>2778</v>
      </c>
      <c r="E5" s="24" t="s">
        <v>2779</v>
      </c>
      <c r="F5" s="24" t="s">
        <v>2780</v>
      </c>
      <c r="G5" s="24" t="s">
        <v>3264</v>
      </c>
    </row>
    <row r="6" spans="1:7">
      <c r="A6" s="25" t="s">
        <v>2781</v>
      </c>
      <c r="B6" s="24" t="s">
        <v>2782</v>
      </c>
      <c r="C6" s="24" t="s">
        <v>2783</v>
      </c>
      <c r="D6" s="24" t="s">
        <v>2784</v>
      </c>
      <c r="E6" s="24" t="s">
        <v>2785</v>
      </c>
      <c r="F6" s="24" t="s">
        <v>2786</v>
      </c>
      <c r="G6" s="24" t="s">
        <v>3265</v>
      </c>
    </row>
    <row r="7" spans="1:7">
      <c r="A7" s="25"/>
      <c r="B7" s="24"/>
      <c r="C7" s="24"/>
      <c r="D7" s="24"/>
      <c r="E7" s="24"/>
      <c r="F7" s="24"/>
      <c r="G7" s="24"/>
    </row>
    <row r="8" spans="1:7">
      <c r="A8" s="140"/>
      <c r="B8" s="140"/>
      <c r="C8" s="140"/>
      <c r="D8" s="140"/>
      <c r="E8" s="140"/>
      <c r="F8" s="140"/>
      <c r="G8" s="140"/>
    </row>
    <row r="9" spans="1:7">
      <c r="A9" s="141" t="s">
        <v>2787</v>
      </c>
      <c r="B9" s="138" t="s">
        <v>2770</v>
      </c>
      <c r="C9" s="138"/>
      <c r="D9" s="138"/>
      <c r="E9" s="138" t="s">
        <v>2771</v>
      </c>
      <c r="F9" s="138"/>
      <c r="G9" s="139"/>
    </row>
    <row r="10" spans="1:7" ht="17.100000000000001" customHeight="1">
      <c r="A10" s="142"/>
      <c r="B10" s="143" t="s">
        <v>2788</v>
      </c>
      <c r="C10" s="136"/>
      <c r="D10" s="136"/>
      <c r="E10" s="143" t="s">
        <v>2788</v>
      </c>
      <c r="F10" s="136"/>
      <c r="G10" s="136"/>
    </row>
    <row r="11" spans="1:7">
      <c r="A11" s="25" t="s">
        <v>2789</v>
      </c>
      <c r="B11" s="136" t="s">
        <v>2790</v>
      </c>
      <c r="C11" s="136"/>
      <c r="D11" s="136"/>
      <c r="E11" s="136" t="s">
        <v>2791</v>
      </c>
      <c r="F11" s="136"/>
      <c r="G11" s="136"/>
    </row>
    <row r="12" spans="1:7">
      <c r="A12" s="25" t="s">
        <v>2792</v>
      </c>
      <c r="B12" s="136" t="s">
        <v>2793</v>
      </c>
      <c r="C12" s="136"/>
      <c r="D12" s="136"/>
      <c r="E12" s="136" t="s">
        <v>2794</v>
      </c>
      <c r="F12" s="136"/>
      <c r="G12" s="136"/>
    </row>
    <row r="13" spans="1:7">
      <c r="A13" s="25" t="s">
        <v>2795</v>
      </c>
      <c r="B13" s="136" t="s">
        <v>2796</v>
      </c>
      <c r="C13" s="136"/>
      <c r="D13" s="136"/>
      <c r="E13" s="136" t="s">
        <v>2797</v>
      </c>
      <c r="F13" s="136"/>
      <c r="G13" s="136"/>
    </row>
    <row r="14" spans="1:7">
      <c r="A14" s="25" t="s">
        <v>2798</v>
      </c>
      <c r="B14" s="136" t="s">
        <v>2799</v>
      </c>
      <c r="C14" s="136"/>
      <c r="D14" s="136"/>
      <c r="E14" s="136" t="s">
        <v>2800</v>
      </c>
      <c r="F14" s="136"/>
      <c r="G14" s="136"/>
    </row>
    <row r="15" spans="1:7">
      <c r="A15" s="25" t="s">
        <v>2801</v>
      </c>
      <c r="B15" s="136" t="s">
        <v>2802</v>
      </c>
      <c r="C15" s="136"/>
      <c r="D15" s="136"/>
      <c r="E15" s="136" t="s">
        <v>2803</v>
      </c>
      <c r="F15" s="136"/>
      <c r="G15" s="136"/>
    </row>
    <row r="16" spans="1:7">
      <c r="A16" s="25" t="s">
        <v>2804</v>
      </c>
      <c r="B16" s="136" t="s">
        <v>2805</v>
      </c>
      <c r="C16" s="136"/>
      <c r="D16" s="136"/>
      <c r="E16" s="136" t="s">
        <v>2806</v>
      </c>
      <c r="F16" s="136"/>
      <c r="G16" s="136"/>
    </row>
    <row r="17" spans="1:8">
      <c r="A17" s="25" t="s">
        <v>2807</v>
      </c>
      <c r="B17" s="136" t="s">
        <v>2808</v>
      </c>
      <c r="C17" s="136"/>
      <c r="D17" s="136"/>
      <c r="E17" s="136" t="s">
        <v>2809</v>
      </c>
      <c r="F17" s="136"/>
      <c r="G17" s="136"/>
    </row>
    <row r="18" spans="1:8">
      <c r="A18" s="25" t="s">
        <v>2810</v>
      </c>
      <c r="B18" s="136" t="s">
        <v>2811</v>
      </c>
      <c r="C18" s="136"/>
      <c r="D18" s="136"/>
      <c r="E18" s="136" t="s">
        <v>2812</v>
      </c>
      <c r="F18" s="136"/>
      <c r="G18" s="136"/>
    </row>
    <row r="19" spans="1:8">
      <c r="A19" s="34" t="s">
        <v>2813</v>
      </c>
      <c r="B19" s="137" t="s">
        <v>2814</v>
      </c>
      <c r="C19" s="137"/>
      <c r="D19" s="137"/>
      <c r="E19" s="137" t="s">
        <v>2815</v>
      </c>
      <c r="F19" s="137"/>
      <c r="G19" s="137"/>
    </row>
    <row r="20" spans="1:8">
      <c r="A20" s="35"/>
      <c r="B20" s="36"/>
      <c r="C20" s="36"/>
      <c r="D20" s="36"/>
      <c r="E20" s="36"/>
      <c r="F20" s="36"/>
      <c r="G20" s="37"/>
    </row>
    <row r="21" spans="1:8">
      <c r="A21" s="42" t="s">
        <v>2816</v>
      </c>
      <c r="B21" s="133" t="s">
        <v>2817</v>
      </c>
      <c r="C21" s="134"/>
      <c r="D21" s="135"/>
      <c r="E21" s="133" t="s">
        <v>2818</v>
      </c>
      <c r="F21" s="134"/>
      <c r="G21" s="135"/>
    </row>
    <row r="22" spans="1:8" ht="15">
      <c r="A22" s="109" t="s">
        <v>3339</v>
      </c>
      <c r="B22" s="154" t="s">
        <v>3337</v>
      </c>
      <c r="C22" s="154"/>
      <c r="D22" s="154"/>
      <c r="E22" s="150"/>
      <c r="F22" s="151"/>
      <c r="G22" s="152"/>
      <c r="H22" s="109" t="s">
        <v>3346</v>
      </c>
    </row>
    <row r="23" spans="1:8" ht="15">
      <c r="A23" s="109" t="s">
        <v>3340</v>
      </c>
      <c r="B23" s="154"/>
      <c r="C23" s="154"/>
      <c r="D23" s="154"/>
      <c r="E23" s="149" t="s">
        <v>3338</v>
      </c>
      <c r="F23" s="149"/>
      <c r="G23" s="149"/>
      <c r="H23" s="109" t="s">
        <v>3347</v>
      </c>
    </row>
    <row r="24" spans="1:8" ht="15">
      <c r="A24" s="109" t="s">
        <v>3341</v>
      </c>
      <c r="B24" s="154" t="s">
        <v>3337</v>
      </c>
      <c r="C24" s="154"/>
      <c r="D24" s="154"/>
      <c r="E24" s="150"/>
      <c r="F24" s="151"/>
      <c r="G24" s="152"/>
      <c r="H24" s="109" t="s">
        <v>3348</v>
      </c>
    </row>
    <row r="25" spans="1:8" ht="15">
      <c r="A25" s="109" t="s">
        <v>3342</v>
      </c>
      <c r="B25" s="154"/>
      <c r="C25" s="154"/>
      <c r="D25" s="154"/>
      <c r="E25" s="149" t="s">
        <v>3338</v>
      </c>
      <c r="F25" s="149"/>
      <c r="G25" s="149"/>
      <c r="H25" s="109" t="s">
        <v>3349</v>
      </c>
    </row>
    <row r="26" spans="1:8" ht="15">
      <c r="A26" s="109" t="s">
        <v>3343</v>
      </c>
      <c r="B26" s="136" t="s">
        <v>3344</v>
      </c>
      <c r="C26" s="136"/>
      <c r="D26" s="136"/>
      <c r="E26" s="147"/>
      <c r="F26" s="153"/>
      <c r="G26" s="148"/>
      <c r="H26" s="109" t="s">
        <v>3350</v>
      </c>
    </row>
    <row r="27" spans="1:8" ht="15">
      <c r="A27" s="109" t="s">
        <v>3345</v>
      </c>
      <c r="B27" s="136" t="s">
        <v>3337</v>
      </c>
      <c r="C27" s="136"/>
      <c r="D27" s="136"/>
      <c r="E27" s="147"/>
      <c r="F27" s="153"/>
      <c r="G27" s="148"/>
      <c r="H27" s="109" t="s">
        <v>3351</v>
      </c>
    </row>
    <row r="29" spans="1:8">
      <c r="A29" s="41" t="s">
        <v>2819</v>
      </c>
      <c r="B29" s="138" t="s">
        <v>2770</v>
      </c>
      <c r="C29" s="138"/>
      <c r="D29" s="138" t="s">
        <v>2771</v>
      </c>
      <c r="E29" s="138"/>
    </row>
    <row r="30" spans="1:8">
      <c r="A30" s="33"/>
      <c r="B30" s="33" t="s">
        <v>2772</v>
      </c>
      <c r="C30" s="33" t="s">
        <v>2773</v>
      </c>
      <c r="D30" s="33" t="s">
        <v>2772</v>
      </c>
      <c r="E30" s="33" t="s">
        <v>2773</v>
      </c>
    </row>
    <row r="31" spans="1:8">
      <c r="A31" s="25" t="s">
        <v>2820</v>
      </c>
      <c r="B31" s="24" t="s">
        <v>2821</v>
      </c>
      <c r="C31" s="24" t="s">
        <v>2822</v>
      </c>
      <c r="D31" s="24" t="s">
        <v>2823</v>
      </c>
      <c r="E31" s="24" t="s">
        <v>2824</v>
      </c>
    </row>
    <row r="32" spans="1:8">
      <c r="A32" s="25" t="s">
        <v>2825</v>
      </c>
      <c r="B32" s="24" t="s">
        <v>2826</v>
      </c>
      <c r="C32" s="24" t="s">
        <v>2827</v>
      </c>
      <c r="D32" s="24" t="s">
        <v>2828</v>
      </c>
      <c r="E32" s="24" t="s">
        <v>2829</v>
      </c>
    </row>
    <row r="35" spans="1:5">
      <c r="A35" s="41" t="s">
        <v>3266</v>
      </c>
      <c r="B35" s="138" t="s">
        <v>2770</v>
      </c>
      <c r="C35" s="138"/>
      <c r="D35" s="138" t="s">
        <v>2771</v>
      </c>
      <c r="E35" s="138"/>
    </row>
    <row r="36" spans="1:5">
      <c r="A36" s="144" t="s">
        <v>3267</v>
      </c>
      <c r="B36" s="145"/>
      <c r="C36" s="145"/>
      <c r="D36" s="145"/>
      <c r="E36" s="146"/>
    </row>
    <row r="37" spans="1:5">
      <c r="A37" s="33"/>
      <c r="B37" s="144" t="s">
        <v>2772</v>
      </c>
      <c r="C37" s="146"/>
      <c r="D37" s="144" t="s">
        <v>2772</v>
      </c>
      <c r="E37" s="146"/>
    </row>
    <row r="38" spans="1:5">
      <c r="A38" s="25" t="s">
        <v>3278</v>
      </c>
      <c r="B38" s="147" t="s">
        <v>3268</v>
      </c>
      <c r="C38" s="148"/>
      <c r="D38" s="147" t="s">
        <v>3269</v>
      </c>
      <c r="E38" s="148"/>
    </row>
    <row r="39" spans="1:5">
      <c r="A39" s="25" t="s">
        <v>3279</v>
      </c>
      <c r="B39" s="147" t="s">
        <v>3270</v>
      </c>
      <c r="C39" s="148"/>
      <c r="D39" s="147" t="s">
        <v>3271</v>
      </c>
      <c r="E39" s="148"/>
    </row>
    <row r="40" spans="1:5">
      <c r="A40" s="144" t="s">
        <v>3267</v>
      </c>
      <c r="B40" s="145"/>
      <c r="C40" s="145"/>
      <c r="D40" s="145"/>
      <c r="E40" s="146"/>
    </row>
    <row r="41" spans="1:5" ht="15" customHeight="1">
      <c r="A41" s="33"/>
      <c r="B41" s="144" t="s">
        <v>2773</v>
      </c>
      <c r="C41" s="146"/>
      <c r="D41" s="144" t="s">
        <v>2773</v>
      </c>
      <c r="E41" s="146"/>
    </row>
    <row r="42" spans="1:5" ht="15" customHeight="1">
      <c r="A42" s="25" t="s">
        <v>3280</v>
      </c>
      <c r="B42" s="147" t="s">
        <v>3268</v>
      </c>
      <c r="C42" s="148"/>
      <c r="D42" s="147" t="s">
        <v>3269</v>
      </c>
      <c r="E42" s="148"/>
    </row>
    <row r="43" spans="1:5" ht="15" customHeight="1">
      <c r="A43" s="25" t="s">
        <v>3281</v>
      </c>
      <c r="B43" s="147" t="s">
        <v>3270</v>
      </c>
      <c r="C43" s="148"/>
      <c r="D43" s="147" t="s">
        <v>3271</v>
      </c>
      <c r="E43" s="148"/>
    </row>
    <row r="44" spans="1:5">
      <c r="A44" s="144" t="s">
        <v>3272</v>
      </c>
      <c r="B44" s="145"/>
      <c r="C44" s="145"/>
      <c r="D44" s="145"/>
      <c r="E44" s="146"/>
    </row>
    <row r="45" spans="1:5">
      <c r="A45" s="33"/>
      <c r="B45" s="144" t="s">
        <v>2772</v>
      </c>
      <c r="C45" s="146"/>
      <c r="D45" s="144" t="s">
        <v>2772</v>
      </c>
      <c r="E45" s="146"/>
    </row>
    <row r="46" spans="1:5">
      <c r="A46" s="25" t="s">
        <v>3282</v>
      </c>
      <c r="B46" s="147" t="s">
        <v>3273</v>
      </c>
      <c r="C46" s="148"/>
      <c r="D46" s="147" t="s">
        <v>3275</v>
      </c>
      <c r="E46" s="148"/>
    </row>
    <row r="47" spans="1:5">
      <c r="A47" s="25" t="s">
        <v>3283</v>
      </c>
      <c r="B47" s="147" t="s">
        <v>3274</v>
      </c>
      <c r="C47" s="148"/>
      <c r="D47" s="147" t="s">
        <v>3276</v>
      </c>
      <c r="E47" s="148"/>
    </row>
    <row r="48" spans="1:5">
      <c r="A48" s="144" t="s">
        <v>3272</v>
      </c>
      <c r="B48" s="145"/>
      <c r="C48" s="145"/>
      <c r="D48" s="145"/>
      <c r="E48" s="146"/>
    </row>
    <row r="49" spans="1:5" ht="15" customHeight="1">
      <c r="A49" s="33"/>
      <c r="B49" s="144" t="s">
        <v>2773</v>
      </c>
      <c r="C49" s="146"/>
      <c r="D49" s="144" t="s">
        <v>2773</v>
      </c>
      <c r="E49" s="146"/>
    </row>
    <row r="50" spans="1:5" ht="15" customHeight="1">
      <c r="A50" s="25" t="s">
        <v>3284</v>
      </c>
      <c r="B50" s="147" t="s">
        <v>3273</v>
      </c>
      <c r="C50" s="148"/>
      <c r="D50" s="147" t="s">
        <v>3275</v>
      </c>
      <c r="E50" s="148"/>
    </row>
    <row r="51" spans="1:5" ht="15" customHeight="1">
      <c r="A51" s="25" t="s">
        <v>3285</v>
      </c>
      <c r="B51" s="147" t="s">
        <v>3274</v>
      </c>
      <c r="C51" s="148"/>
      <c r="D51" s="147" t="s">
        <v>3276</v>
      </c>
      <c r="E51" s="148"/>
    </row>
    <row r="53" spans="1:5" ht="38.25">
      <c r="A53" s="6" t="s">
        <v>3277</v>
      </c>
      <c r="C53" s="1"/>
    </row>
  </sheetData>
  <mergeCells count="72">
    <mergeCell ref="B27:D27"/>
    <mergeCell ref="E23:G23"/>
    <mergeCell ref="E25:G25"/>
    <mergeCell ref="E22:G22"/>
    <mergeCell ref="E24:G24"/>
    <mergeCell ref="E26:G26"/>
    <mergeCell ref="E27:G27"/>
    <mergeCell ref="B25:D25"/>
    <mergeCell ref="B24:D24"/>
    <mergeCell ref="B22:D22"/>
    <mergeCell ref="B23:D23"/>
    <mergeCell ref="B26:D26"/>
    <mergeCell ref="B50:C50"/>
    <mergeCell ref="D50:E50"/>
    <mergeCell ref="B51:C51"/>
    <mergeCell ref="D51:E51"/>
    <mergeCell ref="B47:C47"/>
    <mergeCell ref="D47:E47"/>
    <mergeCell ref="A48:E48"/>
    <mergeCell ref="B49:C49"/>
    <mergeCell ref="D49:E49"/>
    <mergeCell ref="A44:E44"/>
    <mergeCell ref="B45:C45"/>
    <mergeCell ref="D45:E45"/>
    <mergeCell ref="B46:C46"/>
    <mergeCell ref="D46:E46"/>
    <mergeCell ref="B41:C41"/>
    <mergeCell ref="B42:C42"/>
    <mergeCell ref="B43:C43"/>
    <mergeCell ref="D37:E37"/>
    <mergeCell ref="D38:E38"/>
    <mergeCell ref="D39:E39"/>
    <mergeCell ref="D41:E41"/>
    <mergeCell ref="D42:E42"/>
    <mergeCell ref="D43:E43"/>
    <mergeCell ref="B35:C35"/>
    <mergeCell ref="D35:E35"/>
    <mergeCell ref="A36:E36"/>
    <mergeCell ref="A40:E40"/>
    <mergeCell ref="B37:C37"/>
    <mergeCell ref="B38:C38"/>
    <mergeCell ref="B39:C39"/>
    <mergeCell ref="B29:C29"/>
    <mergeCell ref="D29:E29"/>
    <mergeCell ref="B3:D3"/>
    <mergeCell ref="E3:G3"/>
    <mergeCell ref="A8:G8"/>
    <mergeCell ref="A9:A10"/>
    <mergeCell ref="B9:D9"/>
    <mergeCell ref="E9:G9"/>
    <mergeCell ref="B10:D10"/>
    <mergeCell ref="E10:G10"/>
    <mergeCell ref="B11:D11"/>
    <mergeCell ref="E11:G11"/>
    <mergeCell ref="B12:D12"/>
    <mergeCell ref="E12:G12"/>
    <mergeCell ref="B13:D13"/>
    <mergeCell ref="E13:G13"/>
    <mergeCell ref="B14:D14"/>
    <mergeCell ref="E14:G14"/>
    <mergeCell ref="B15:D15"/>
    <mergeCell ref="E15:G15"/>
    <mergeCell ref="B16:D16"/>
    <mergeCell ref="E16:G16"/>
    <mergeCell ref="B21:D21"/>
    <mergeCell ref="E21:G21"/>
    <mergeCell ref="B17:D17"/>
    <mergeCell ref="E17:G17"/>
    <mergeCell ref="B18:D18"/>
    <mergeCell ref="E18:G18"/>
    <mergeCell ref="B19:D19"/>
    <mergeCell ref="E19:G19"/>
  </mergeCells>
  <phoneticPr fontId="4" type="noConversion"/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CA7E9-5B42-4FDF-A29B-86AB98E9A9C0}">
  <dimension ref="A1:L7"/>
  <sheetViews>
    <sheetView workbookViewId="0">
      <selection activeCell="A7" sqref="A7:XFD7"/>
    </sheetView>
  </sheetViews>
  <sheetFormatPr defaultColWidth="8.7109375" defaultRowHeight="15"/>
  <cols>
    <col min="1" max="1" width="13.7109375" style="55" customWidth="1"/>
    <col min="2" max="2" width="16.7109375" style="55" customWidth="1"/>
    <col min="3" max="4" width="16.85546875" style="55" customWidth="1"/>
    <col min="5" max="5" width="15.85546875" style="55" customWidth="1"/>
    <col min="6" max="6" width="27.5703125" style="55" customWidth="1"/>
    <col min="7" max="7" width="13.140625" style="55" customWidth="1"/>
    <col min="8" max="8" width="10.7109375" style="55" customWidth="1"/>
    <col min="9" max="16384" width="8.7109375" style="55"/>
  </cols>
  <sheetData>
    <row r="1" spans="1:12" s="39" customFormat="1" ht="12.75">
      <c r="A1" s="39" t="s">
        <v>27</v>
      </c>
      <c r="B1" s="39" t="s">
        <v>414</v>
      </c>
      <c r="C1" s="39" t="s">
        <v>415</v>
      </c>
      <c r="D1" s="39" t="s">
        <v>416</v>
      </c>
      <c r="E1" s="39" t="s">
        <v>417</v>
      </c>
      <c r="F1" s="39" t="s">
        <v>418</v>
      </c>
      <c r="G1" s="39" t="s">
        <v>419</v>
      </c>
      <c r="H1" s="39" t="s">
        <v>421</v>
      </c>
      <c r="I1" s="39" t="s">
        <v>420</v>
      </c>
      <c r="J1" s="39" t="s">
        <v>422</v>
      </c>
      <c r="K1" s="39" t="s">
        <v>480</v>
      </c>
      <c r="L1" s="39" t="s">
        <v>659</v>
      </c>
    </row>
    <row r="2" spans="1:12" s="39" customFormat="1" ht="12.75"/>
    <row r="3" spans="1:12">
      <c r="A3" s="55" t="s">
        <v>130</v>
      </c>
      <c r="B3" s="55" t="s">
        <v>131</v>
      </c>
      <c r="C3" s="55" t="s">
        <v>132</v>
      </c>
      <c r="D3" s="55">
        <v>9248</v>
      </c>
      <c r="E3" s="55">
        <v>9249</v>
      </c>
      <c r="F3" s="55" t="s">
        <v>2830</v>
      </c>
      <c r="G3" s="55" t="s">
        <v>639</v>
      </c>
      <c r="H3" s="55" t="s">
        <v>471</v>
      </c>
    </row>
    <row r="4" spans="1:12">
      <c r="B4" s="55" t="s">
        <v>327</v>
      </c>
      <c r="D4" s="55">
        <v>38144</v>
      </c>
      <c r="F4" s="55" t="s">
        <v>2831</v>
      </c>
      <c r="G4" s="55" t="s">
        <v>639</v>
      </c>
      <c r="H4" s="55" t="s">
        <v>471</v>
      </c>
    </row>
    <row r="5" spans="1:12">
      <c r="B5" s="55" t="s">
        <v>2832</v>
      </c>
      <c r="D5" s="55">
        <v>38145</v>
      </c>
      <c r="F5" s="55" t="s">
        <v>2833</v>
      </c>
      <c r="G5" s="55" t="s">
        <v>639</v>
      </c>
      <c r="H5" s="55" t="s">
        <v>471</v>
      </c>
    </row>
    <row r="6" spans="1:12">
      <c r="B6" s="55" t="s">
        <v>328</v>
      </c>
      <c r="D6" s="55">
        <v>38146</v>
      </c>
      <c r="F6" s="55" t="s">
        <v>2834</v>
      </c>
      <c r="G6" s="55" t="s">
        <v>639</v>
      </c>
      <c r="H6" s="55" t="s">
        <v>427</v>
      </c>
    </row>
    <row r="7" spans="1:12">
      <c r="B7" s="55" t="s">
        <v>3241</v>
      </c>
      <c r="C7" s="55" t="s">
        <v>3242</v>
      </c>
      <c r="D7" s="55">
        <v>38147</v>
      </c>
      <c r="E7" s="55">
        <v>38148</v>
      </c>
      <c r="F7" s="55" t="s">
        <v>3243</v>
      </c>
      <c r="G7" s="55" t="s">
        <v>1151</v>
      </c>
      <c r="H7" s="55" t="s">
        <v>471</v>
      </c>
    </row>
  </sheetData>
  <phoneticPr fontId="27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31CBA751B461D429504C304F44BF873" ma:contentTypeVersion="8" ma:contentTypeDescription="新建文档。" ma:contentTypeScope="" ma:versionID="33f3c56f20f5b3b3f624d78a7533418a">
  <xsd:schema xmlns:xsd="http://www.w3.org/2001/XMLSchema" xmlns:xs="http://www.w3.org/2001/XMLSchema" xmlns:p="http://schemas.microsoft.com/office/2006/metadata/properties" xmlns:ns2="a787541b-d694-42a5-ba3f-5e82d689075e" targetNamespace="http://schemas.microsoft.com/office/2006/metadata/properties" ma:root="true" ma:fieldsID="5f1d6a9a3b5dd7b40fae1364ffd12027" ns2:_="">
    <xsd:import namespace="a787541b-d694-42a5-ba3f-5e82d68907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7541b-d694-42a5-ba3f-5e82d68907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3890C77-D751-4C40-B903-2B0C323BEF1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9854869-6473-48E0-919A-AC927D201734}">
  <ds:schemaRefs>
    <ds:schemaRef ds:uri="http://schemas.microsoft.com/office/infopath/2007/PartnerControls"/>
    <ds:schemaRef ds:uri="http://purl.org/dc/elements/1.1/"/>
    <ds:schemaRef ds:uri="http://purl.org/dc/terms/"/>
    <ds:schemaRef ds:uri="http://www.w3.org/XML/1998/namespace"/>
    <ds:schemaRef ds:uri="http://purl.org/dc/dcmitype/"/>
    <ds:schemaRef ds:uri="205aa15b-8891-471d-aa02-193227239fbf"/>
    <ds:schemaRef ds:uri="http://schemas.microsoft.com/office/2006/documentManagement/types"/>
    <ds:schemaRef ds:uri="http://schemas.openxmlformats.org/package/2006/metadata/core-properties"/>
    <ds:schemaRef ds:uri="3e57311d-03a1-4f91-a165-ba6d7d17ddb8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2AEDD3B0-02FD-46B0-A367-45CF9F38FE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Worksheets</vt:lpstr>
      </vt:variant>
      <vt:variant>
        <vt:i4>26</vt:i4>
      </vt:variant>
      <vt:variant>
        <vt:lpstr>Named Ranges</vt:lpstr>
      </vt:variant>
      <vt:variant>
        <vt:i4>1</vt:i4>
      </vt:variant>
    </vt:vector>
  </HeadingPairs>
  <TitlesOfParts>
    <vt:vector size="27" baseType="lpstr">
      <vt:lpstr>Version History</vt:lpstr>
      <vt:lpstr>Overview</vt:lpstr>
      <vt:lpstr>System Information</vt:lpstr>
      <vt:lpstr>IO Calibration</vt:lpstr>
      <vt:lpstr>Meter Calibration</vt:lpstr>
      <vt:lpstr>Basic Settings</vt:lpstr>
      <vt:lpstr>Communication Module</vt:lpstr>
      <vt:lpstr>Real Time Parameters</vt:lpstr>
      <vt:lpstr>Acuvim-L Parameters</vt:lpstr>
      <vt:lpstr>Independent Input Channel</vt:lpstr>
      <vt:lpstr>Dual Source Energy</vt:lpstr>
      <vt:lpstr>Data Log 1,2,3</vt:lpstr>
      <vt:lpstr>Data Log 4</vt:lpstr>
      <vt:lpstr>Max,Min</vt:lpstr>
      <vt:lpstr>Max,Min(float)</vt:lpstr>
      <vt:lpstr>RO</vt:lpstr>
      <vt:lpstr>Alarm Records｜DI|AO|AI|SOE</vt:lpstr>
      <vt:lpstr>Waveform</vt:lpstr>
      <vt:lpstr>4-30 Class S Readings</vt:lpstr>
      <vt:lpstr>4-30 PQ Event</vt:lpstr>
      <vt:lpstr>TOU Default Setting</vt:lpstr>
      <vt:lpstr>TOU Readings</vt:lpstr>
      <vt:lpstr>TOU Settings</vt:lpstr>
      <vt:lpstr>SunSpec</vt:lpstr>
      <vt:lpstr>Meter Model</vt:lpstr>
      <vt:lpstr>Debug</vt:lpstr>
      <vt:lpstr>'Basic Settings'!OLE_LINK1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2006-09-13T11:21:51Z</dcterms:created>
  <dcterms:modified xsi:type="dcterms:W3CDTF">2025-04-21T15:53:09Z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0x010100231CBA751B461D429504C304F44BF873</vt:lpwstr>
  </property>
  <property fmtid="{D5CDD505-2E9C-101B-9397-08002B2CF9AE}" pid="3" name="MediaServiceImageTags">
    <vt:lpwstr/>
  </property>
  <property fmtid="{D5CDD505-2E9C-101B-9397-08002B2CF9AE}" pid="4" name="Order">
    <vt:r8>794900</vt:r8>
  </property>
  <property fmtid="{D5CDD505-2E9C-101B-9397-08002B2CF9AE}" pid="5" name="xd_Signature">
    <vt:bool>false</vt:bool>
  </property>
  <property fmtid="{D5CDD505-2E9C-101B-9397-08002B2CF9AE}" pid="6" name="SharedWithUsers">
    <vt:lpwstr>15;#Shaohang Cui;#16;#Haibo Song;#23;#Limited Access System Group For Web 3e57311d-03a1-4f91-a165-ba6d7d17ddb8;#17;#Sam Xu;#14;#Simon Chen;#19;#Haoliang Deng;#100;#Hongjian Zhu;#51;#Danyang Kuang</vt:lpwstr>
  </property>
  <property fmtid="{D5CDD505-2E9C-101B-9397-08002B2CF9AE}" pid="7" name="xd_ProgID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  <property fmtid="{D5CDD505-2E9C-101B-9397-08002B2CF9AE}" pid="12" name="_ExtendedDescription">
    <vt:lpwstr/>
  </property>
  <property fmtid="{D5CDD505-2E9C-101B-9397-08002B2CF9AE}" pid="13" name="TriggerFlowInfo">
    <vt:lpwstr/>
  </property>
</Properties>
</file>